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Activities" sheetId="5" state="visible" r:id="rId5"/>
    <sheet xmlns:r="http://schemas.openxmlformats.org/officeDocument/2006/relationships" name="Contracts" sheetId="6" state="visible" r:id="rId6"/>
    <sheet xmlns:r="http://schemas.openxmlformats.org/officeDocument/2006/relationships" name="Options" sheetId="7" state="visible" r:id="rId7"/>
  </sheets>
  <definedNames>
    <definedName name="_xlnm._FilterDatabase" localSheetId="0" hidden="1">'Customers'!$A$1:$K$124</definedName>
    <definedName name="_xlnm._FilterDatabase" localSheetId="1" hidden="1">'Orders'!$A$1:$N$530</definedName>
    <definedName name="_xlnm._FilterDatabase" localSheetId="2" hidden="1">'Invoices'!$A$1:$V$891</definedName>
    <definedName name="_xlnm._FilterDatabase" localSheetId="3" hidden="1">'Payments'!$A$1:$I$603</definedName>
    <definedName name="_xlnm._FilterDatabase" localSheetId="4" hidden="1">'Activities'!$A$1:$H$1</definedName>
    <definedName name="_xlnm._FilterDatabase" localSheetId="5" hidden="1">'Contracts'!$A$1:$R$24</definedName>
    <definedName name="_xlnm._FilterDatabase" localSheetId="6" hidden="1">'Options'!$A$1:$C$9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6D8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2" customWidth="1" min="4" max="4"/>
    <col width="19" customWidth="1" min="5" max="5"/>
    <col width="40" customWidth="1" min="6" max="6"/>
    <col width="34" customWidth="1" min="7" max="7"/>
    <col width="14" customWidth="1" min="8" max="8"/>
    <col width="30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bd</t>
        </is>
      </c>
      <c r="C1" s="1" t="inlineStr">
        <is>
          <t>name</t>
        </is>
      </c>
      <c r="D1" s="1" t="inlineStr">
        <is>
          <t>taxId</t>
        </is>
      </c>
      <c r="E1" s="1" t="inlineStr">
        <is>
          <t>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paymentTerms</t>
        </is>
      </c>
      <c r="I1" s="1" t="inlineStr">
        <is>
          <t>address</t>
        </is>
      </c>
      <c r="J1" s="1" t="inlineStr">
        <is>
          <t>notes</t>
        </is>
      </c>
      <c r="K1" s="1" t="inlineStr">
        <is>
          <t>updatedAt</t>
        </is>
      </c>
    </row>
    <row r="2">
      <c r="A2" t="inlineStr">
        <is>
          <t>cus_bcad520b3837</t>
        </is>
      </c>
      <c r="B2" t="inlineStr"/>
      <c r="C2" t="inlineStr">
        <is>
          <t>金尉股份有限公司</t>
        </is>
      </c>
      <c r="D2" t="inlineStr">
        <is>
          <t>52420159</t>
        </is>
      </c>
      <c r="E2" t="inlineStr">
        <is>
          <t>施瓊茹</t>
        </is>
      </c>
      <c r="F2" t="inlineStr"/>
      <c r="G2" t="inlineStr">
        <is>
          <t>02-2258-5388#6710</t>
        </is>
      </c>
      <c r="H2" t="inlineStr"/>
      <c r="I2" t="inlineStr">
        <is>
          <t>新北市板橋區文化路一段268號20樓之2</t>
        </is>
      </c>
      <c r="J2" t="inlineStr"/>
      <c r="K2" t="inlineStr">
        <is>
          <t>2026-05-18</t>
        </is>
      </c>
    </row>
    <row r="3">
      <c r="A3" t="inlineStr">
        <is>
          <t>cus_bcc35ee5752e</t>
        </is>
      </c>
      <c r="B3" t="inlineStr"/>
      <c r="C3" t="inlineStr">
        <is>
          <t>在線科技股份有限公司</t>
        </is>
      </c>
      <c r="D3" t="inlineStr">
        <is>
          <t>24388805</t>
        </is>
      </c>
      <c r="E3" t="inlineStr">
        <is>
          <t>朱柔均</t>
        </is>
      </c>
      <c r="F3" t="inlineStr"/>
      <c r="G3" t="inlineStr">
        <is>
          <t>02-7716-5147#146(Nancy)</t>
        </is>
      </c>
      <c r="H3" t="inlineStr"/>
      <c r="I3" t="inlineStr">
        <is>
          <t>新北市三重區重新路五段609巷12號2樓之11</t>
        </is>
      </c>
      <c r="J3" t="inlineStr"/>
      <c r="K3" t="inlineStr">
        <is>
          <t>2026-05-18</t>
        </is>
      </c>
    </row>
    <row r="4">
      <c r="A4" t="inlineStr">
        <is>
          <t>cus_8fcb8b0072e6</t>
        </is>
      </c>
      <c r="B4" t="inlineStr"/>
      <c r="C4" t="inlineStr">
        <is>
          <t>成果行銷有限公司</t>
        </is>
      </c>
      <c r="D4" t="inlineStr">
        <is>
          <t>24355261</t>
        </is>
      </c>
      <c r="E4" t="inlineStr">
        <is>
          <t>江宗霖</t>
        </is>
      </c>
      <c r="F4" t="inlineStr"/>
      <c r="G4" t="inlineStr">
        <is>
          <t>02-2711-8835 # 219（ Nick Chiang）</t>
        </is>
      </c>
      <c r="H4" t="inlineStr"/>
      <c r="I4" t="inlineStr">
        <is>
          <t>台北市大安區光復南路102號7樓（華視光復大樓）</t>
        </is>
      </c>
      <c r="J4" t="inlineStr"/>
      <c r="K4" t="inlineStr">
        <is>
          <t>2026-05-18</t>
        </is>
      </c>
    </row>
    <row r="5">
      <c r="A5" t="inlineStr">
        <is>
          <t>cus_7880af1bd682</t>
        </is>
      </c>
      <c r="B5" t="inlineStr">
        <is>
          <t>林哲瑄</t>
        </is>
      </c>
      <c r="C5" t="inlineStr">
        <is>
          <t>威朋大數據股份有限公司</t>
        </is>
      </c>
      <c r="D5" t="inlineStr">
        <is>
          <t>28892170</t>
        </is>
      </c>
      <c r="E5" t="inlineStr">
        <is>
          <t>楊雅筑</t>
        </is>
      </c>
      <c r="F5" t="inlineStr">
        <is>
          <t>sonia.tsai@vpon.com, 收電子發票 twbilling@vpon.com</t>
        </is>
      </c>
      <c r="G5" t="inlineStr">
        <is>
          <t>02-7730-8328 # 209（ Hester Yang）</t>
        </is>
      </c>
      <c r="H5" t="inlineStr"/>
      <c r="I5" t="inlineStr">
        <is>
          <t>台北市松山區復興北路337號7樓</t>
        </is>
      </c>
      <c r="J5" t="inlineStr"/>
      <c r="K5" t="inlineStr">
        <is>
          <t>2026-05-18</t>
        </is>
      </c>
    </row>
    <row r="6">
      <c r="A6" t="inlineStr">
        <is>
          <t>cus_253c0ef1fab2</t>
        </is>
      </c>
      <c r="B6" t="inlineStr">
        <is>
          <t>慶文</t>
        </is>
      </c>
      <c r="C6" t="inlineStr">
        <is>
          <t>東方線上股份有限公司</t>
        </is>
      </c>
      <c r="D6" t="inlineStr">
        <is>
          <t>70570643</t>
        </is>
      </c>
      <c r="E6" t="inlineStr">
        <is>
          <t>蘇湘婷</t>
        </is>
      </c>
      <c r="F6" t="inlineStr">
        <is>
          <t>graceting@isurvey.com.tw</t>
        </is>
      </c>
      <c r="G6" t="inlineStr">
        <is>
          <t>02-27064865#818</t>
        </is>
      </c>
      <c r="H6" t="inlineStr"/>
      <c r="I6" t="inlineStr">
        <is>
          <t>106台北市大安區信義路四段306號7樓</t>
        </is>
      </c>
      <c r="J6" t="inlineStr"/>
      <c r="K6" t="inlineStr">
        <is>
          <t>2026-05-18</t>
        </is>
      </c>
    </row>
    <row r="7">
      <c r="A7" t="inlineStr">
        <is>
          <t>cus_96ae9740e12a</t>
        </is>
      </c>
      <c r="B7" t="inlineStr">
        <is>
          <t>慶文</t>
        </is>
      </c>
      <c r="C7" t="inlineStr">
        <is>
          <t>紅門互動股份有限公司</t>
        </is>
      </c>
      <c r="D7" t="inlineStr">
        <is>
          <t>53278454</t>
        </is>
      </c>
      <c r="E7" t="inlineStr">
        <is>
          <t>游子昀(Lilyan)</t>
        </is>
      </c>
      <c r="F7" t="inlineStr">
        <is>
          <t>finance@reddoor.com.tw</t>
        </is>
      </c>
      <c r="G7" t="inlineStr">
        <is>
          <t>(02) 2570-8111#2801</t>
        </is>
      </c>
      <c r="H7" t="inlineStr"/>
      <c r="I7" t="inlineStr">
        <is>
          <t>105407台北市松山區南京東路四段126號11 樓之1</t>
        </is>
      </c>
      <c r="J7" t="inlineStr"/>
      <c r="K7" t="inlineStr">
        <is>
          <t>2026-05-18</t>
        </is>
      </c>
    </row>
    <row r="8">
      <c r="A8" t="inlineStr">
        <is>
          <t>cus_5576b5481873</t>
        </is>
      </c>
      <c r="B8" t="inlineStr">
        <is>
          <t>陳柏任</t>
        </is>
      </c>
      <c r="C8" t="inlineStr">
        <is>
          <t>康軒文教事業股份有限公司</t>
        </is>
      </c>
      <c r="D8" t="inlineStr">
        <is>
          <t>23142092</t>
        </is>
      </c>
      <c r="E8" t="inlineStr">
        <is>
          <t>林佳妮</t>
        </is>
      </c>
      <c r="F8" t="inlineStr">
        <is>
          <t>nadia_lin@knsh.com.tw</t>
        </is>
      </c>
      <c r="G8" t="inlineStr">
        <is>
          <t>02-8665-1341</t>
        </is>
      </c>
      <c r="H8" t="inlineStr"/>
      <c r="I8" t="inlineStr">
        <is>
          <t>23146 新北市新店區中興路二段218巷11號</t>
        </is>
      </c>
      <c r="J8" t="inlineStr"/>
      <c r="K8" t="inlineStr">
        <is>
          <t>2026-05-18</t>
        </is>
      </c>
    </row>
    <row r="9">
      <c r="A9" t="inlineStr">
        <is>
          <t>cus_9bf4e5d4c066</t>
        </is>
      </c>
      <c r="B9" t="inlineStr">
        <is>
          <t>楊育承</t>
        </is>
      </c>
      <c r="C9" t="inlineStr">
        <is>
          <t>台灣尼爾森愛科股份有限公司</t>
        </is>
      </c>
      <c r="D9" t="inlineStr">
        <is>
          <t>22318430</t>
        </is>
      </c>
      <c r="E9" t="inlineStr">
        <is>
          <t>楊書怡</t>
        </is>
      </c>
      <c r="F9" t="inlineStr">
        <is>
          <t>will.wang@nielseniq.com(可開立電子發票)</t>
        </is>
      </c>
      <c r="G9" t="inlineStr">
        <is>
          <t>02-2171-5713</t>
        </is>
      </c>
      <c r="H9" t="inlineStr"/>
      <c r="I9" t="inlineStr">
        <is>
          <t>台北市松山區南京東路五段188號12樓</t>
        </is>
      </c>
      <c r="J9" t="inlineStr"/>
      <c r="K9" t="inlineStr">
        <is>
          <t>2026-05-18</t>
        </is>
      </c>
    </row>
    <row r="10">
      <c r="A10" t="inlineStr">
        <is>
          <t>cus_ea78377525ac</t>
        </is>
      </c>
      <c r="B10" t="inlineStr">
        <is>
          <t>楊育承</t>
        </is>
      </c>
      <c r="C10" t="inlineStr">
        <is>
          <t>麟數據科技股份有限公司</t>
        </is>
      </c>
      <c r="D10" t="inlineStr">
        <is>
          <t>42840667</t>
        </is>
      </c>
      <c r="E10" t="inlineStr">
        <is>
          <t>徐靖詠Jenny</t>
        </is>
      </c>
      <c r="F10" t="inlineStr">
        <is>
          <t>Jenny.hsu@LnData.com，可收電子發票</t>
        </is>
      </c>
      <c r="G10" t="inlineStr">
        <is>
          <t>02 23948800 #118</t>
        </is>
      </c>
      <c r="H10" t="inlineStr"/>
      <c r="I10" t="inlineStr">
        <is>
          <t>台北市大安區和平東路一段75巷3號2F</t>
        </is>
      </c>
      <c r="J10" t="inlineStr"/>
      <c r="K10" t="inlineStr">
        <is>
          <t>2026-05-18</t>
        </is>
      </c>
    </row>
    <row r="11">
      <c r="A11" t="inlineStr">
        <is>
          <t>cus_728435a6d937</t>
        </is>
      </c>
      <c r="B11" t="inlineStr">
        <is>
          <t>Cobi</t>
        </is>
      </c>
      <c r="C11" t="inlineStr">
        <is>
          <t>果實夥伴股份有限公司</t>
        </is>
      </c>
      <c r="D11" t="inlineStr">
        <is>
          <t>24482512</t>
        </is>
      </c>
      <c r="E11" t="inlineStr">
        <is>
          <t>Emma Wang</t>
        </is>
      </c>
      <c r="F11" t="inlineStr">
        <is>
          <t>emmawang@onead.com.tw</t>
        </is>
      </c>
      <c r="G11" t="inlineStr">
        <is>
          <t>(02)7720-2880 #252</t>
        </is>
      </c>
      <c r="H11" t="inlineStr"/>
      <c r="I11" t="inlineStr">
        <is>
          <t>台北市內湖區瑞光路610號2樓</t>
        </is>
      </c>
      <c r="J11" t="inlineStr"/>
      <c r="K11" t="inlineStr">
        <is>
          <t>2026-05-18</t>
        </is>
      </c>
    </row>
    <row r="12">
      <c r="A12" t="inlineStr">
        <is>
          <t>cus_4351be6be044</t>
        </is>
      </c>
      <c r="B12" t="inlineStr">
        <is>
          <t>許瀞鍶</t>
        </is>
      </c>
      <c r="C12" t="inlineStr">
        <is>
          <t>域動行銷股份有限公司</t>
        </is>
      </c>
      <c r="D12" t="inlineStr">
        <is>
          <t>24450379</t>
        </is>
      </c>
      <c r="E12" t="inlineStr">
        <is>
          <t>趙威典</t>
        </is>
      </c>
      <c r="F12" t="inlineStr">
        <is>
          <t>william.zhao@clickforce.com.tw</t>
        </is>
      </c>
      <c r="G12" t="inlineStr">
        <is>
          <t>2719-8500 # 559</t>
        </is>
      </c>
      <c r="H12" t="inlineStr"/>
      <c r="I12" t="inlineStr">
        <is>
          <t>台北市松山區南京東三段 285 號 10 樓</t>
        </is>
      </c>
      <c r="J12" t="inlineStr"/>
      <c r="K12" t="inlineStr">
        <is>
          <t>2026-05-18</t>
        </is>
      </c>
    </row>
    <row r="13">
      <c r="A13" t="inlineStr">
        <is>
          <t>cus_4a584ce53c9f</t>
        </is>
      </c>
      <c r="B13" t="inlineStr">
        <is>
          <t>Erin</t>
        </is>
      </c>
      <c r="C13" t="inlineStr">
        <is>
          <t>立視科技股份有限公司</t>
        </is>
      </c>
      <c r="D13" t="inlineStr">
        <is>
          <t>28715392</t>
        </is>
      </c>
      <c r="E13" t="inlineStr">
        <is>
          <t>Evelyn Lin</t>
        </is>
      </c>
      <c r="F13" t="inlineStr">
        <is>
          <t>evelyn.lin@tgc-taiwan.com.tw</t>
        </is>
      </c>
      <c r="G13" t="inlineStr">
        <is>
          <t>02-2769-0188#333</t>
        </is>
      </c>
      <c r="H13" t="inlineStr"/>
      <c r="I13" t="inlineStr">
        <is>
          <t>台北市松山區八德路四段760號6樓</t>
        </is>
      </c>
      <c r="J13" t="inlineStr"/>
      <c r="K13" t="inlineStr">
        <is>
          <t>2026-05-18</t>
        </is>
      </c>
    </row>
    <row r="14">
      <c r="A14" t="inlineStr">
        <is>
          <t>cus_18a142f23643</t>
        </is>
      </c>
      <c r="B14" t="inlineStr">
        <is>
          <t>Cobi</t>
        </is>
      </c>
      <c r="C14" t="inlineStr">
        <is>
          <t>市民永續股份有限公司</t>
        </is>
      </c>
      <c r="D14" t="inlineStr">
        <is>
          <t>50771410</t>
        </is>
      </c>
      <c r="E14" t="inlineStr">
        <is>
          <t>林庠序</t>
        </is>
      </c>
      <c r="F14" t="inlineStr">
        <is>
          <t>hsuanwen@greenhope.com.tw</t>
        </is>
      </c>
      <c r="G14" t="inlineStr">
        <is>
          <t>0928-728-716</t>
        </is>
      </c>
      <c r="H14" t="inlineStr"/>
      <c r="I14" t="inlineStr">
        <is>
          <t>臺北市中正區南海路1號13樓</t>
        </is>
      </c>
      <c r="J14" t="inlineStr"/>
      <c r="K14" t="inlineStr">
        <is>
          <t>2026-05-18</t>
        </is>
      </c>
    </row>
    <row r="15">
      <c r="A15" t="inlineStr">
        <is>
          <t>cus_45f7f5ab2cf9</t>
        </is>
      </c>
      <c r="B15" t="inlineStr">
        <is>
          <t>Kate</t>
        </is>
      </c>
      <c r="C15" t="inlineStr">
        <is>
          <t>艾迪英特股份有限公司</t>
        </is>
      </c>
      <c r="D15" t="inlineStr">
        <is>
          <t>53327146</t>
        </is>
      </c>
      <c r="E15" t="inlineStr">
        <is>
          <t>張凱維</t>
        </is>
      </c>
      <c r="F15" t="inlineStr">
        <is>
          <t>kai.chang@thenewslens.com</t>
        </is>
      </c>
      <c r="G15" t="inlineStr">
        <is>
          <t>0921-120-780</t>
        </is>
      </c>
      <c r="H15" t="inlineStr"/>
      <c r="I15" t="inlineStr">
        <is>
          <t>110055台北市信義區菸廠路88號5樓之1</t>
        </is>
      </c>
      <c r="J15" t="inlineStr"/>
      <c r="K15" t="inlineStr">
        <is>
          <t>2026-05-18</t>
        </is>
      </c>
    </row>
    <row r="16">
      <c r="A16" t="inlineStr">
        <is>
          <t>cus_3816722e3e66</t>
        </is>
      </c>
      <c r="B16" t="inlineStr">
        <is>
          <t>瀞鍶</t>
        </is>
      </c>
      <c r="C16" t="inlineStr">
        <is>
          <t>全聯實業股份有限公司</t>
        </is>
      </c>
      <c r="D16" t="inlineStr">
        <is>
          <t>16740494</t>
        </is>
      </c>
      <c r="E16" t="inlineStr">
        <is>
          <t>邱俊皓 Howard</t>
        </is>
      </c>
      <c r="F16" t="inlineStr">
        <is>
          <t>howard_chiu@pxmart.com.tw</t>
        </is>
      </c>
      <c r="G16" t="inlineStr">
        <is>
          <t>02-2532-8000 ext. 1207</t>
        </is>
      </c>
      <c r="H16" t="inlineStr"/>
      <c r="I16" t="inlineStr">
        <is>
          <t>台北市中山區敬業四路33號4樓</t>
        </is>
      </c>
      <c r="J16" t="inlineStr"/>
      <c r="K16" t="inlineStr">
        <is>
          <t>2026-05-18</t>
        </is>
      </c>
    </row>
    <row r="17">
      <c r="A17" t="inlineStr">
        <is>
          <t>cus_6cf846994bdb</t>
        </is>
      </c>
      <c r="B17" t="inlineStr">
        <is>
          <t>Kate</t>
        </is>
      </c>
      <c r="C17" t="inlineStr">
        <is>
          <t>展將數位科技股份有限公司</t>
        </is>
      </c>
      <c r="D17" t="inlineStr">
        <is>
          <t>83288872</t>
        </is>
      </c>
      <c r="E17" t="inlineStr">
        <is>
          <t>Gina</t>
        </is>
      </c>
      <c r="F17" t="inlineStr">
        <is>
          <t>GinaHuang@mediadrive.com.tw</t>
        </is>
      </c>
      <c r="G17" t="inlineStr">
        <is>
          <t>02-2502-5788 Ext. 5707</t>
        </is>
      </c>
      <c r="H17" t="inlineStr"/>
      <c r="I17" t="inlineStr">
        <is>
          <t>台北市中山區建國北路一段80號11樓</t>
        </is>
      </c>
      <c r="J17" t="inlineStr"/>
      <c r="K17" t="inlineStr">
        <is>
          <t>2026-05-18</t>
        </is>
      </c>
    </row>
    <row r="18">
      <c r="A18" t="inlineStr">
        <is>
          <t>cus_41298eb9466b</t>
        </is>
      </c>
      <c r="B18" t="inlineStr">
        <is>
          <t>Erin</t>
        </is>
      </c>
      <c r="C18" t="inlineStr">
        <is>
          <t>王品餐飲股份有限公司</t>
        </is>
      </c>
      <c r="D18" t="inlineStr">
        <is>
          <t>84630426</t>
        </is>
      </c>
      <c r="E18" t="inlineStr">
        <is>
          <t>李文欣</t>
        </is>
      </c>
      <c r="F18" t="inlineStr">
        <is>
          <t>celine.li@wowprime.com</t>
        </is>
      </c>
      <c r="G18" t="inlineStr">
        <is>
          <t>04-2322-1868  EXT: 1181</t>
        </is>
      </c>
      <c r="H18" t="inlineStr"/>
      <c r="I18" t="inlineStr">
        <is>
          <t>台中市西區臺灣大道二段218號25樓</t>
        </is>
      </c>
      <c r="J18" t="inlineStr"/>
      <c r="K18" t="inlineStr">
        <is>
          <t>2026-05-18</t>
        </is>
      </c>
    </row>
    <row r="19">
      <c r="A19" t="inlineStr">
        <is>
          <t>cus_41dc0723f069</t>
        </is>
      </c>
      <c r="B19" t="inlineStr">
        <is>
          <t>Peggy</t>
        </is>
      </c>
      <c r="C19" t="inlineStr">
        <is>
          <t>台灣迪艾思股份有限公司</t>
        </is>
      </c>
      <c r="D19" t="inlineStr">
        <is>
          <t>43910514</t>
        </is>
      </c>
      <c r="E19" t="inlineStr">
        <is>
          <t>鄭芷芸Lucia Cheng</t>
        </is>
      </c>
      <c r="F19" t="inlineStr">
        <is>
          <t>lucia-c-cheng@dactp.com.tw</t>
        </is>
      </c>
      <c r="G19" t="inlineStr">
        <is>
          <t>(02)2546-2968 #660</t>
        </is>
      </c>
      <c r="H19" t="inlineStr"/>
      <c r="I19" t="inlineStr">
        <is>
          <t>台北市大同區南京西路62號12樓</t>
        </is>
      </c>
      <c r="J19" t="inlineStr"/>
      <c r="K19" t="inlineStr">
        <is>
          <t>2026-05-18</t>
        </is>
      </c>
    </row>
    <row r="20">
      <c r="A20" t="inlineStr">
        <is>
          <t>cus_238dcdd6c43a</t>
        </is>
      </c>
      <c r="B20" t="inlineStr">
        <is>
          <t>Peggy</t>
        </is>
      </c>
      <c r="C20" t="inlineStr">
        <is>
          <t>巧克科技新媒體股份有限公司</t>
        </is>
      </c>
      <c r="D20" t="inlineStr">
        <is>
          <t>52588966</t>
        </is>
      </c>
      <c r="E20" t="inlineStr">
        <is>
          <t>張維 Mini Chang</t>
        </is>
      </c>
      <c r="F20" t="inlineStr">
        <is>
          <t>mini.chang@choco.media</t>
        </is>
      </c>
      <c r="G20" t="inlineStr">
        <is>
          <t>02-2719-6620</t>
        </is>
      </c>
      <c r="H20" t="inlineStr"/>
      <c r="I20" t="inlineStr">
        <is>
          <t>105 台北市民權東路三段142號17樓</t>
        </is>
      </c>
      <c r="J20" t="inlineStr"/>
      <c r="K20" t="inlineStr">
        <is>
          <t>2026-05-18</t>
        </is>
      </c>
    </row>
    <row r="21">
      <c r="A21" t="inlineStr">
        <is>
          <t>cus_82f1ec9b8a17</t>
        </is>
      </c>
      <c r="B21" t="inlineStr">
        <is>
          <t>Peggy</t>
        </is>
      </c>
      <c r="C21" t="inlineStr">
        <is>
          <t>聯利媒體股份有限公司</t>
        </is>
      </c>
      <c r="D21" t="inlineStr">
        <is>
          <t>84305300</t>
        </is>
      </c>
      <c r="E21" t="inlineStr">
        <is>
          <t>鄭雅方</t>
        </is>
      </c>
      <c r="F21" t="inlineStr">
        <is>
          <t>avoncheng@tvbs.com.tw</t>
        </is>
      </c>
      <c r="G21" t="inlineStr">
        <is>
          <t>02-2162-8168 #88980</t>
        </is>
      </c>
      <c r="H21" t="inlineStr"/>
      <c r="I21" t="inlineStr">
        <is>
          <t>臺北市內湖區瑞光路451號11樓</t>
        </is>
      </c>
      <c r="J21" t="inlineStr"/>
      <c r="K21" t="inlineStr">
        <is>
          <t>2026-05-18</t>
        </is>
      </c>
    </row>
    <row r="22">
      <c r="A22" t="inlineStr">
        <is>
          <t>cus_710acd4e6353</t>
        </is>
      </c>
      <c r="B22" t="inlineStr">
        <is>
          <t>Peggy</t>
        </is>
      </c>
      <c r="C22" t="inlineStr">
        <is>
          <t>覺數據有限公司</t>
        </is>
      </c>
      <c r="D22" t="inlineStr">
        <is>
          <t>83752765</t>
        </is>
      </c>
      <c r="E22" t="inlineStr">
        <is>
          <t>蘇穎泰</t>
        </is>
      </c>
      <c r="F22" t="inlineStr">
        <is>
          <t>terry@juedata.net</t>
        </is>
      </c>
      <c r="G22" t="inlineStr">
        <is>
          <t>04-37036766 #968</t>
        </is>
      </c>
      <c r="H22" t="inlineStr"/>
      <c r="I22" t="inlineStr">
        <is>
          <t>臺中市西屯區市政北二路236號30樓之5</t>
        </is>
      </c>
      <c r="J22" t="inlineStr"/>
      <c r="K22" t="inlineStr">
        <is>
          <t>2026-05-18</t>
        </is>
      </c>
    </row>
    <row r="23">
      <c r="A23" t="inlineStr">
        <is>
          <t>cus_d162c009e7ba</t>
        </is>
      </c>
      <c r="B23" t="inlineStr">
        <is>
          <t>Peggy</t>
        </is>
      </c>
      <c r="C23" t="inlineStr">
        <is>
          <t>海派提提股份有限公司</t>
        </is>
      </c>
      <c r="D23" t="inlineStr">
        <is>
          <t>00084497</t>
        </is>
      </c>
      <c r="E23" t="inlineStr">
        <is>
          <t>廖梓蒨</t>
        </is>
      </c>
      <c r="F23" t="inlineStr">
        <is>
          <t>joellen.liao@hypertt.net</t>
        </is>
      </c>
      <c r="G23" t="inlineStr">
        <is>
          <t>(02) 66050497</t>
        </is>
      </c>
      <c r="H23" t="inlineStr"/>
      <c r="I23" t="inlineStr">
        <is>
          <t>臺北市大安區忠孝東路4段320號2樓</t>
        </is>
      </c>
      <c r="J23" t="inlineStr"/>
      <c r="K23" t="inlineStr">
        <is>
          <t>2026-05-18</t>
        </is>
      </c>
    </row>
    <row r="24">
      <c r="A24" t="inlineStr">
        <is>
          <t>cus_c5dc9d1310ce</t>
        </is>
      </c>
      <c r="B24" t="inlineStr">
        <is>
          <t>Peggy</t>
        </is>
      </c>
      <c r="C24" t="inlineStr">
        <is>
          <t>沛星互動科技股份有限公司</t>
        </is>
      </c>
      <c r="D24" t="inlineStr">
        <is>
          <t>53102168</t>
        </is>
      </c>
      <c r="E24" t="inlineStr">
        <is>
          <t>Chih Chi Wang</t>
        </is>
      </c>
      <c r="F24" t="inlineStr">
        <is>
          <t>billing@appier.com</t>
        </is>
      </c>
      <c r="G24" t="inlineStr">
        <is>
          <t>02-87802880</t>
        </is>
      </c>
      <c r="H24" t="inlineStr"/>
      <c r="I24" t="inlineStr">
        <is>
          <t>110 台北市信義區松仁路123號6樓</t>
        </is>
      </c>
      <c r="J24" t="inlineStr"/>
      <c r="K24" t="inlineStr">
        <is>
          <t>2026-05-18</t>
        </is>
      </c>
    </row>
    <row r="25">
      <c r="A25" t="inlineStr">
        <is>
          <t>cus_8520e79afc4d</t>
        </is>
      </c>
      <c r="B25" t="inlineStr">
        <is>
          <t>Peggy</t>
        </is>
      </c>
      <c r="C25" t="inlineStr">
        <is>
          <t>全通路科技有限公司</t>
        </is>
      </c>
      <c r="D25" t="inlineStr">
        <is>
          <t>82910724</t>
        </is>
      </c>
      <c r="E25" t="inlineStr">
        <is>
          <t>Kevin Lin 林裕晟</t>
        </is>
      </c>
      <c r="F25" t="inlineStr">
        <is>
          <t>kevin.lin@omnichat.ai</t>
        </is>
      </c>
      <c r="G25" t="inlineStr">
        <is>
          <t>02-77518060</t>
        </is>
      </c>
      <c r="H25" t="inlineStr"/>
      <c r="I25" t="inlineStr">
        <is>
          <t>104 台北市中山區中山北路二段96號14樓1412室</t>
        </is>
      </c>
      <c r="J25" t="inlineStr"/>
      <c r="K25" t="inlineStr">
        <is>
          <t>2026-05-18</t>
        </is>
      </c>
    </row>
    <row r="26">
      <c r="A26" t="inlineStr">
        <is>
          <t>cus_3016f444cfe3</t>
        </is>
      </c>
      <c r="B26" t="inlineStr">
        <is>
          <t>Peggy</t>
        </is>
      </c>
      <c r="C26" t="inlineStr">
        <is>
          <t>狄卡科技股份有限公司</t>
        </is>
      </c>
      <c r="D26" t="inlineStr">
        <is>
          <t>42656367</t>
        </is>
      </c>
      <c r="E26" t="inlineStr">
        <is>
          <t>黃彥齊 Charlie Huang</t>
        </is>
      </c>
      <c r="F26" t="inlineStr">
        <is>
          <t>charlie@dcard.cc</t>
        </is>
      </c>
      <c r="G26" t="inlineStr">
        <is>
          <t>0989-207-755</t>
        </is>
      </c>
      <c r="H26" t="inlineStr"/>
      <c r="I26" t="inlineStr">
        <is>
          <t>臺北市大安區光復南路102號14樓</t>
        </is>
      </c>
      <c r="J26" t="inlineStr"/>
      <c r="K26" t="inlineStr">
        <is>
          <t>2026-05-18</t>
        </is>
      </c>
    </row>
    <row r="27">
      <c r="A27" t="inlineStr">
        <is>
          <t>cus_37c834003b7b</t>
        </is>
      </c>
      <c r="B27" t="inlineStr">
        <is>
          <t>Cobi</t>
        </is>
      </c>
      <c r="C27" t="inlineStr">
        <is>
          <t>台灣先進智慧股份有限公司</t>
        </is>
      </c>
      <c r="D27" t="inlineStr">
        <is>
          <t>82887701</t>
        </is>
      </c>
      <c r="E27" t="inlineStr"/>
      <c r="F27" t="inlineStr">
        <is>
          <t>joseph.lin@amiko.net</t>
        </is>
      </c>
      <c r="G27" t="inlineStr">
        <is>
          <t>(02)66135666</t>
        </is>
      </c>
      <c r="H27" t="inlineStr"/>
      <c r="I27" t="inlineStr">
        <is>
          <t>台北市中正區羅斯福路二段100號25樓</t>
        </is>
      </c>
      <c r="J27" t="inlineStr"/>
      <c r="K27" t="inlineStr">
        <is>
          <t>2026-05-18</t>
        </is>
      </c>
    </row>
    <row r="28">
      <c r="A28" t="inlineStr">
        <is>
          <t>cus_15dd7113b465</t>
        </is>
      </c>
      <c r="B28" t="inlineStr">
        <is>
          <t>許瀞鍶</t>
        </is>
      </c>
      <c r="C28" t="inlineStr">
        <is>
          <t>阿瘦實業股份有限公司</t>
        </is>
      </c>
      <c r="D28" t="inlineStr">
        <is>
          <t>80511709</t>
        </is>
      </c>
      <c r="E28" t="inlineStr">
        <is>
          <t>柴宏德</t>
        </is>
      </c>
      <c r="F28" t="inlineStr">
        <is>
          <t>benjamin@mail.aso.com.tw</t>
        </is>
      </c>
      <c r="G28" t="inlineStr">
        <is>
          <t>(02)6618-9999  #1623</t>
        </is>
      </c>
      <c r="H28" t="inlineStr"/>
      <c r="I28" t="inlineStr">
        <is>
          <t>台北市中山區松江路168號6樓</t>
        </is>
      </c>
      <c r="J28" t="inlineStr"/>
      <c r="K28" t="inlineStr">
        <is>
          <t>2026-05-18</t>
        </is>
      </c>
    </row>
    <row r="29">
      <c r="A29" t="inlineStr">
        <is>
          <t>cus_0b41f3919191</t>
        </is>
      </c>
      <c r="B29" t="inlineStr">
        <is>
          <t>Cobi</t>
        </is>
      </c>
      <c r="C29" t="inlineStr">
        <is>
          <t>禾多移動多媒體股份有限公司</t>
        </is>
      </c>
      <c r="D29" t="inlineStr">
        <is>
          <t>54153827</t>
        </is>
      </c>
      <c r="E29" t="inlineStr">
        <is>
          <t>Janet Juan</t>
        </is>
      </c>
      <c r="F29" t="inlineStr">
        <is>
          <t>janet.juan@avividai.com</t>
        </is>
      </c>
      <c r="G29" t="inlineStr">
        <is>
          <t>02-25853361</t>
        </is>
      </c>
      <c r="H29" t="inlineStr"/>
      <c r="I29" t="inlineStr">
        <is>
          <t>台北市中山區中山北路三段47號5樓</t>
        </is>
      </c>
      <c r="J29" t="inlineStr"/>
      <c r="K29" t="inlineStr">
        <is>
          <t>2026-05-18</t>
        </is>
      </c>
    </row>
    <row r="30">
      <c r="A30" t="inlineStr">
        <is>
          <t>cus_d37d7a6d8a4e</t>
        </is>
      </c>
      <c r="B30" t="inlineStr">
        <is>
          <t>Maggie</t>
        </is>
      </c>
      <c r="C30" t="inlineStr">
        <is>
          <t>黑蓮生技有限公司</t>
        </is>
      </c>
      <c r="D30" t="inlineStr">
        <is>
          <t>83206470</t>
        </is>
      </c>
      <c r="E30" t="inlineStr">
        <is>
          <t>何明</t>
        </is>
      </c>
      <c r="F30" t="inlineStr">
        <is>
          <t>lasalle.freud@gmail.com</t>
        </is>
      </c>
      <c r="G30" t="inlineStr">
        <is>
          <t>04-23059191</t>
        </is>
      </c>
      <c r="H30" t="inlineStr"/>
      <c r="I30" t="inlineStr">
        <is>
          <t>台中市西區忠明南路303號10樓之3A</t>
        </is>
      </c>
      <c r="J30" t="inlineStr"/>
      <c r="K30" t="inlineStr">
        <is>
          <t>2026-05-18</t>
        </is>
      </c>
    </row>
    <row r="31">
      <c r="A31" t="inlineStr">
        <is>
          <t>cus_b8e52468d76b</t>
        </is>
      </c>
      <c r="B31" t="inlineStr">
        <is>
          <t>Maggie</t>
        </is>
      </c>
      <c r="C31" t="inlineStr">
        <is>
          <t>麥麥生技國際有限公司</t>
        </is>
      </c>
      <c r="D31" t="inlineStr">
        <is>
          <t>96590617</t>
        </is>
      </c>
      <c r="E31" t="inlineStr">
        <is>
          <t>陳彥均</t>
        </is>
      </c>
      <c r="F31" t="inlineStr">
        <is>
          <t>3minskincare@gmail.com</t>
        </is>
      </c>
      <c r="G31" t="inlineStr">
        <is>
          <t>02-77538597</t>
        </is>
      </c>
      <c r="H31" t="inlineStr"/>
      <c r="I31" t="inlineStr">
        <is>
          <t>臺北市大安區信義路4段1號2樓</t>
        </is>
      </c>
      <c r="J31" t="inlineStr"/>
      <c r="K31" t="inlineStr">
        <is>
          <t>2026-05-18</t>
        </is>
      </c>
    </row>
    <row r="32">
      <c r="A32" t="inlineStr">
        <is>
          <t>cus_00cf1d9fc303</t>
        </is>
      </c>
      <c r="B32" t="inlineStr">
        <is>
          <t>Erin</t>
        </is>
      </c>
      <c r="C32" t="inlineStr">
        <is>
          <t>鮮速冷鏈科技股份有限公司</t>
        </is>
      </c>
      <c r="D32" t="inlineStr">
        <is>
          <t>42585899</t>
        </is>
      </c>
      <c r="E32" t="inlineStr">
        <is>
          <t>李芷氤 Serene</t>
        </is>
      </c>
      <c r="F32" t="inlineStr">
        <is>
          <t>serene.lee@gogoffcc.com</t>
        </is>
      </c>
      <c r="G32" t="inlineStr">
        <is>
          <t>03-6215252/0920-438893</t>
        </is>
      </c>
      <c r="H32" t="inlineStr"/>
      <c r="I32" t="inlineStr">
        <is>
          <t>台北市松山區民生東路三段156號9樓</t>
        </is>
      </c>
      <c r="J32" t="inlineStr"/>
      <c r="K32" t="inlineStr">
        <is>
          <t>2026-05-18</t>
        </is>
      </c>
    </row>
    <row r="33">
      <c r="A33" t="inlineStr">
        <is>
          <t>cus_dd529e19734e</t>
        </is>
      </c>
      <c r="B33" t="inlineStr">
        <is>
          <t>黃思睿</t>
        </is>
      </c>
      <c r="C33" t="inlineStr">
        <is>
          <t>騰學廣告科技股份有限公司</t>
        </is>
      </c>
      <c r="D33" t="inlineStr">
        <is>
          <t>24748750</t>
        </is>
      </c>
      <c r="E33" t="inlineStr">
        <is>
          <t>林育正 Martin</t>
        </is>
      </c>
      <c r="F33" t="inlineStr">
        <is>
          <t>martin@tenmax.io</t>
        </is>
      </c>
      <c r="G33" t="inlineStr">
        <is>
          <t>0968646656</t>
        </is>
      </c>
      <c r="H33" t="inlineStr"/>
      <c r="I33" t="inlineStr">
        <is>
          <t>106台北市大安區基隆路二段172-1號15樓</t>
        </is>
      </c>
      <c r="J33" t="inlineStr"/>
      <c r="K33" t="inlineStr">
        <is>
          <t>2026-05-18</t>
        </is>
      </c>
    </row>
    <row r="34">
      <c r="A34" t="inlineStr">
        <is>
          <t>cus_ac7d98410c78</t>
        </is>
      </c>
      <c r="B34" t="inlineStr">
        <is>
          <t>Peggy</t>
        </is>
      </c>
      <c r="C34" t="inlineStr">
        <is>
          <t>馥美華股份有限公司</t>
        </is>
      </c>
      <c r="D34" t="inlineStr">
        <is>
          <t>24784896</t>
        </is>
      </c>
      <c r="E34" t="inlineStr">
        <is>
          <t>劉姿蘭</t>
        </is>
      </c>
      <c r="F34" t="inlineStr">
        <is>
          <t>judyliu@juvaly.com</t>
        </is>
      </c>
      <c r="G34" t="inlineStr">
        <is>
          <t>0978-161-517</t>
        </is>
      </c>
      <c r="H34" t="inlineStr"/>
      <c r="I34" t="inlineStr">
        <is>
          <t>臺北市大同區市民大道1段209號10樓之1</t>
        </is>
      </c>
      <c r="J34" t="inlineStr"/>
      <c r="K34" t="inlineStr">
        <is>
          <t>2026-05-18</t>
        </is>
      </c>
    </row>
    <row r="35">
      <c r="A35" t="inlineStr">
        <is>
          <t>cus_d70917d65656</t>
        </is>
      </c>
      <c r="B35" t="inlineStr">
        <is>
          <t>Erin</t>
        </is>
      </c>
      <c r="C35" t="inlineStr">
        <is>
          <t>香港商陽獅銳奇媒體股份有限公司台灣分公司星傳媒體事業處</t>
        </is>
      </c>
      <c r="D35" t="inlineStr">
        <is>
          <t>26287090</t>
        </is>
      </c>
      <c r="E35" t="inlineStr">
        <is>
          <t>葉冠琳</t>
        </is>
      </c>
      <c r="F35" t="inlineStr">
        <is>
          <t>erin_yeh@cmoney.com.tw</t>
        </is>
      </c>
      <c r="G35" t="inlineStr">
        <is>
          <t>02-77348757</t>
        </is>
      </c>
      <c r="H35" t="inlineStr"/>
      <c r="I35" t="inlineStr">
        <is>
          <t>106 台北市大安區信義路四段6號8樓</t>
        </is>
      </c>
      <c r="J35" t="inlineStr"/>
      <c r="K35" t="inlineStr">
        <is>
          <t>2026-05-18</t>
        </is>
      </c>
    </row>
    <row r="36">
      <c r="A36" t="inlineStr">
        <is>
          <t>cus_0ebf11dc9756</t>
        </is>
      </c>
      <c r="B36" t="inlineStr">
        <is>
          <t>Cobi</t>
        </is>
      </c>
      <c r="C36" t="inlineStr">
        <is>
          <t>香港商陽獅銳奇媒體股份有限公司台灣分公司實力媒體事業處</t>
        </is>
      </c>
      <c r="D36" t="inlineStr">
        <is>
          <t>26287084</t>
        </is>
      </c>
      <c r="E36" t="inlineStr">
        <is>
          <t>Jiali Chia</t>
        </is>
      </c>
      <c r="F36" t="inlineStr">
        <is>
          <t>jiali.chia@zenithmedia.com</t>
        </is>
      </c>
      <c r="G36" t="inlineStr">
        <is>
          <t>02-7743 5334</t>
        </is>
      </c>
      <c r="H36" t="inlineStr"/>
      <c r="I36" t="inlineStr">
        <is>
          <t>106台北市大安區信義路四段6號8F</t>
        </is>
      </c>
      <c r="J36" t="inlineStr"/>
      <c r="K36" t="inlineStr">
        <is>
          <t>2026-05-18</t>
        </is>
      </c>
    </row>
    <row r="37">
      <c r="A37" t="inlineStr">
        <is>
          <t>cus_e20a7573f5a1</t>
        </is>
      </c>
      <c r="B37" t="inlineStr">
        <is>
          <t>Cobi</t>
        </is>
      </c>
      <c r="C37" t="inlineStr">
        <is>
          <t>香港商陽獅銳奇媒體股份有限公司台灣分公司 星傳媒體事業處</t>
        </is>
      </c>
      <c r="D37" t="inlineStr">
        <is>
          <t>26287090</t>
        </is>
      </c>
      <c r="E37" t="inlineStr">
        <is>
          <t>Andrea Tseng</t>
        </is>
      </c>
      <c r="F37" t="inlineStr">
        <is>
          <t>Andrea.tseng@starcomww.com</t>
        </is>
      </c>
      <c r="G37" t="inlineStr">
        <is>
          <t>02-77348726</t>
        </is>
      </c>
      <c r="H37" t="inlineStr"/>
      <c r="I37" t="inlineStr">
        <is>
          <t>台北市大安區信義路四段6號8樓</t>
        </is>
      </c>
      <c r="J37" t="inlineStr"/>
      <c r="K37" t="inlineStr">
        <is>
          <t>2026-05-18</t>
        </is>
      </c>
    </row>
    <row r="38">
      <c r="A38" t="inlineStr">
        <is>
          <t>cus_769b585645b5</t>
        </is>
      </c>
      <c r="B38" t="inlineStr">
        <is>
          <t>Cobi</t>
        </is>
      </c>
      <c r="C38" t="inlineStr">
        <is>
          <t>香港商陽獅銳奇媒體股份有限公司台灣分公司
星傳媒體事業處</t>
        </is>
      </c>
      <c r="D38" t="inlineStr">
        <is>
          <t>26287090</t>
        </is>
      </c>
      <c r="E38" t="inlineStr">
        <is>
          <t>Kelly Chang</t>
        </is>
      </c>
      <c r="F38" t="inlineStr">
        <is>
          <t>kelly.chang@starcomww.com</t>
        </is>
      </c>
      <c r="G38" t="inlineStr">
        <is>
          <t>886277348726.0</t>
        </is>
      </c>
      <c r="H38" t="inlineStr"/>
      <c r="I38" t="inlineStr">
        <is>
          <t>106 台北市大安區信義路四段6號8樓</t>
        </is>
      </c>
      <c r="J38" t="inlineStr"/>
      <c r="K38" t="inlineStr">
        <is>
          <t>2026-05-18</t>
        </is>
      </c>
    </row>
    <row r="39">
      <c r="A39" t="inlineStr">
        <is>
          <t>cus_950ead3db6e5</t>
        </is>
      </c>
      <c r="B39" t="inlineStr">
        <is>
          <t>Cobi</t>
        </is>
      </c>
      <c r="C39" t="inlineStr">
        <is>
          <t>香港商陽獅銳奇媒體股份有限公司台灣分公司</t>
        </is>
      </c>
      <c r="D39" t="inlineStr">
        <is>
          <t>70810257</t>
        </is>
      </c>
      <c r="E39" t="inlineStr">
        <is>
          <t>Kim Chen</t>
        </is>
      </c>
      <c r="F39" t="inlineStr">
        <is>
          <t>kim.chen@starcomww.com</t>
        </is>
      </c>
      <c r="G39" t="inlineStr">
        <is>
          <t>(02)77348703</t>
        </is>
      </c>
      <c r="H39" t="inlineStr"/>
      <c r="I39" t="inlineStr">
        <is>
          <t>106 台北市大安區信義路四段6號8樓</t>
        </is>
      </c>
      <c r="J39" t="inlineStr"/>
      <c r="K39" t="inlineStr">
        <is>
          <t>2026-05-18</t>
        </is>
      </c>
    </row>
    <row r="40">
      <c r="A40" t="inlineStr">
        <is>
          <t>cus_910a54bc94d3</t>
        </is>
      </c>
      <c r="B40" t="inlineStr">
        <is>
          <t>Cobi</t>
        </is>
      </c>
      <c r="C40" t="inlineStr">
        <is>
          <t>香港商金獅子廣告股份有限公司台灣分公司</t>
        </is>
      </c>
      <c r="D40" t="inlineStr">
        <is>
          <t>96970476</t>
        </is>
      </c>
      <c r="E40" t="inlineStr">
        <is>
          <t>Yoube Lin</t>
        </is>
      </c>
      <c r="F40" t="inlineStr">
        <is>
          <t>yoube.lin@leoburnett.com.tw</t>
        </is>
      </c>
      <c r="G40" t="inlineStr">
        <is>
          <t>02-7742-8915</t>
        </is>
      </c>
      <c r="H40" t="inlineStr"/>
      <c r="I40" t="inlineStr">
        <is>
          <t>106台北市大安區信義路四段6號6F</t>
        </is>
      </c>
      <c r="J40" t="inlineStr"/>
      <c r="K40" t="inlineStr">
        <is>
          <t>2026-05-18</t>
        </is>
      </c>
    </row>
    <row r="41">
      <c r="A41" t="inlineStr">
        <is>
          <t>cus_11ce6c1312cf</t>
        </is>
      </c>
      <c r="B41" t="inlineStr">
        <is>
          <t>Cobi</t>
        </is>
      </c>
      <c r="C41" t="inlineStr">
        <is>
          <t>電通商業顧問股份有限公司</t>
        </is>
      </c>
      <c r="D41" t="inlineStr">
        <is>
          <t>24546918</t>
        </is>
      </c>
      <c r="E41" t="inlineStr">
        <is>
          <t>趙慧騥 Malo Chao</t>
        </is>
      </c>
      <c r="F41" t="inlineStr">
        <is>
          <t>Malo.Chao@dentsu.com</t>
        </is>
      </c>
      <c r="G41" t="inlineStr">
        <is>
          <t>0933318219</t>
        </is>
      </c>
      <c r="H41" t="inlineStr"/>
      <c r="I41" t="inlineStr">
        <is>
          <t>11073台北市信義區松仁路100號8樓</t>
        </is>
      </c>
      <c r="J41" t="inlineStr"/>
      <c r="K41" t="inlineStr">
        <is>
          <t>2026-05-18</t>
        </is>
      </c>
    </row>
    <row r="42">
      <c r="A42" t="inlineStr">
        <is>
          <t>cus_19ba25b7d36c</t>
        </is>
      </c>
      <c r="B42" t="inlineStr">
        <is>
          <t>劉泳成</t>
        </is>
      </c>
      <c r="C42" t="inlineStr">
        <is>
          <t>雲洋社群行銷股份有限公司</t>
        </is>
      </c>
      <c r="D42" t="inlineStr">
        <is>
          <t>93640261</t>
        </is>
      </c>
      <c r="E42" t="inlineStr">
        <is>
          <t>王曉雲</t>
        </is>
      </c>
      <c r="F42" t="inlineStr">
        <is>
          <t>chantel@leapup.com.tw</t>
        </is>
      </c>
      <c r="G42" t="inlineStr"/>
      <c r="H42" t="inlineStr"/>
      <c r="I42" t="inlineStr">
        <is>
          <t>台北市大安區基隆路二段 172-1 號 13 樓</t>
        </is>
      </c>
      <c r="J42" t="inlineStr"/>
      <c r="K42" t="inlineStr">
        <is>
          <t>2026-05-18</t>
        </is>
      </c>
    </row>
    <row r="43">
      <c r="A43" t="inlineStr">
        <is>
          <t>cus_dce308284fd9</t>
        </is>
      </c>
      <c r="B43" t="inlineStr">
        <is>
          <t>劉泳成</t>
        </is>
      </c>
      <c r="C43" t="inlineStr">
        <is>
          <t>鉌萬興股份有限公司</t>
        </is>
      </c>
      <c r="D43" t="inlineStr">
        <is>
          <t>80492885</t>
        </is>
      </c>
      <c r="E43" t="inlineStr">
        <is>
          <t>謝承儒</t>
        </is>
      </c>
      <c r="F43" t="inlineStr">
        <is>
          <t>ewing0514@gmail.com</t>
        </is>
      </c>
      <c r="G43" t="inlineStr">
        <is>
          <t>0975-660286</t>
        </is>
      </c>
      <c r="H43" t="inlineStr"/>
      <c r="I43" t="inlineStr">
        <is>
          <t>新北市汐止區福德一路342巷3弄16號(2樓)</t>
        </is>
      </c>
      <c r="J43" t="inlineStr"/>
      <c r="K43" t="inlineStr">
        <is>
          <t>2026-05-18</t>
        </is>
      </c>
    </row>
    <row r="44">
      <c r="A44" t="inlineStr">
        <is>
          <t>cus_5bd22cd1ce93</t>
        </is>
      </c>
      <c r="B44" t="inlineStr">
        <is>
          <t>劉泳成</t>
        </is>
      </c>
      <c r="C44" t="inlineStr">
        <is>
          <t>金果科技股份有限公司</t>
        </is>
      </c>
      <c r="D44" t="inlineStr">
        <is>
          <t>90603410</t>
        </is>
      </c>
      <c r="E44" t="inlineStr">
        <is>
          <t>陳威瀚</t>
        </is>
      </c>
      <c r="F44" t="inlineStr">
        <is>
          <t>dora.lai@goldencherry.com.tw</t>
        </is>
      </c>
      <c r="G44" t="inlineStr">
        <is>
          <t>02-27922289</t>
        </is>
      </c>
      <c r="H44" t="inlineStr"/>
      <c r="I44" t="inlineStr">
        <is>
          <t>臺北市內湖區瑞光路168號9樓</t>
        </is>
      </c>
      <c r="J44" t="inlineStr"/>
      <c r="K44" t="inlineStr">
        <is>
          <t>2026-05-18</t>
        </is>
      </c>
    </row>
    <row r="45">
      <c r="A45" t="inlineStr">
        <is>
          <t>cus_219263fb4bec</t>
        </is>
      </c>
      <c r="B45" t="inlineStr">
        <is>
          <t>Erin</t>
        </is>
      </c>
      <c r="C45" t="inlineStr">
        <is>
          <t>跨嘶數位廣告有限公司</t>
        </is>
      </c>
      <c r="D45" t="inlineStr">
        <is>
          <t>89150641</t>
        </is>
      </c>
      <c r="E45" t="inlineStr">
        <is>
          <t>Yolk</t>
        </is>
      </c>
      <c r="F45" t="inlineStr">
        <is>
          <t>yolk.gao@cross-digital.com.tw</t>
        </is>
      </c>
      <c r="G45" t="inlineStr"/>
      <c r="H45" t="inlineStr"/>
      <c r="I45" t="inlineStr">
        <is>
          <t>臺北市大安區安和路2段92號地下1樓</t>
        </is>
      </c>
      <c r="J45" t="inlineStr"/>
      <c r="K45" t="inlineStr">
        <is>
          <t>2026-05-18</t>
        </is>
      </c>
    </row>
    <row r="46">
      <c r="A46" t="inlineStr">
        <is>
          <t>cus_7cd43652bfe2</t>
        </is>
      </c>
      <c r="B46" t="inlineStr">
        <is>
          <t>謝孟倢</t>
        </is>
      </c>
      <c r="C46" t="inlineStr">
        <is>
          <t>走著瞧股份有限公司</t>
        </is>
      </c>
      <c r="D46" t="inlineStr">
        <is>
          <t>53755364</t>
        </is>
      </c>
      <c r="E46" t="inlineStr">
        <is>
          <t>李昕芸 Lucy</t>
        </is>
      </c>
      <c r="F46" t="inlineStr">
        <is>
          <t>lucy.lee@gogolook.com</t>
        </is>
      </c>
      <c r="G46" t="inlineStr">
        <is>
          <t>(02) 2365-8099</t>
        </is>
      </c>
      <c r="H46" t="inlineStr"/>
      <c r="I46" t="inlineStr">
        <is>
          <t>106 台北市大安區敦化南路二段 319號 6 樓</t>
        </is>
      </c>
      <c r="J46" t="inlineStr"/>
      <c r="K46" t="inlineStr">
        <is>
          <t>2026-05-18</t>
        </is>
      </c>
    </row>
    <row r="47">
      <c r="A47" t="inlineStr">
        <is>
          <t>cus_2a658d5b98e0</t>
        </is>
      </c>
      <c r="B47" t="inlineStr">
        <is>
          <t>Cobi</t>
        </is>
      </c>
      <c r="C47" t="inlineStr">
        <is>
          <t>貝立德股份有限公司</t>
        </is>
      </c>
      <c r="D47" t="inlineStr">
        <is>
          <t>70438244</t>
        </is>
      </c>
      <c r="E47" t="inlineStr">
        <is>
          <t>戴筱嬋 Angel</t>
        </is>
      </c>
      <c r="F47" t="inlineStr">
        <is>
          <t>Angel.Tai@dxglobal.com</t>
        </is>
      </c>
      <c r="G47" t="inlineStr">
        <is>
          <t>8979-3040</t>
        </is>
      </c>
      <c r="H47" t="inlineStr"/>
      <c r="I47" t="inlineStr">
        <is>
          <t>台北市信義區松仁路100號8樓</t>
        </is>
      </c>
      <c r="J47" t="inlineStr"/>
      <c r="K47" t="inlineStr">
        <is>
          <t>2026-05-18</t>
        </is>
      </c>
    </row>
    <row r="48">
      <c r="A48" t="inlineStr">
        <is>
          <t>cus_87cb4426ab9a</t>
        </is>
      </c>
      <c r="B48" t="inlineStr">
        <is>
          <t>黃思睿</t>
        </is>
      </c>
      <c r="C48" t="inlineStr">
        <is>
          <t>觔斗雲聯網科技股份有限公司</t>
        </is>
      </c>
      <c r="D48" t="inlineStr">
        <is>
          <t>52621439</t>
        </is>
      </c>
      <c r="E48" t="inlineStr">
        <is>
          <t>吳宜庭 Ting</t>
        </is>
      </c>
      <c r="F48" t="inlineStr">
        <is>
          <t>ting.wu@linego.me</t>
        </is>
      </c>
      <c r="G48" t="inlineStr">
        <is>
          <t>0960-802-725</t>
        </is>
      </c>
      <c r="H48" t="inlineStr"/>
      <c r="I48" t="inlineStr">
        <is>
          <t>臺北市松山區敦化北路168號7樓</t>
        </is>
      </c>
      <c r="J48" t="inlineStr"/>
      <c r="K48" t="inlineStr">
        <is>
          <t>2026-05-18</t>
        </is>
      </c>
    </row>
    <row r="49">
      <c r="A49" t="inlineStr">
        <is>
          <t>cus_3ccacb4db168</t>
        </is>
      </c>
      <c r="B49" t="inlineStr">
        <is>
          <t>Cobi</t>
        </is>
      </c>
      <c r="C49" t="inlineStr">
        <is>
          <t>蒔間有限公司</t>
        </is>
      </c>
      <c r="D49" t="inlineStr">
        <is>
          <t>52632766</t>
        </is>
      </c>
      <c r="E49" t="inlineStr">
        <is>
          <t>簡雪如Amanda</t>
        </is>
      </c>
      <c r="F49" t="inlineStr">
        <is>
          <t>amanda.chien@timelimited.com.tw</t>
        </is>
      </c>
      <c r="G49" t="inlineStr"/>
      <c r="H49" t="inlineStr"/>
      <c r="I49" t="inlineStr">
        <is>
          <t>台北市信義路四段96號9樓</t>
        </is>
      </c>
      <c r="J49" t="inlineStr"/>
      <c r="K49" t="inlineStr">
        <is>
          <t>2026-05-18</t>
        </is>
      </c>
    </row>
    <row r="50">
      <c r="A50" t="inlineStr">
        <is>
          <t>cus_3ad6cee6a2ff</t>
        </is>
      </c>
      <c r="B50" t="inlineStr">
        <is>
          <t>Stanley</t>
        </is>
      </c>
      <c r="C50" t="inlineStr">
        <is>
          <t>萬達寵物事業股份有限公司</t>
        </is>
      </c>
      <c r="D50" t="inlineStr">
        <is>
          <t>53416750</t>
        </is>
      </c>
      <c r="E50" t="inlineStr">
        <is>
          <t>Jack</t>
        </is>
      </c>
      <c r="F50" t="inlineStr">
        <is>
          <t>jack.teng@wonderpet.asia</t>
        </is>
      </c>
      <c r="G50" t="inlineStr"/>
      <c r="H50" t="inlineStr"/>
      <c r="I50" t="inlineStr">
        <is>
          <t>臺北市中山區長安東路1段23號4樓之3</t>
        </is>
      </c>
      <c r="J50" t="inlineStr"/>
      <c r="K50" t="inlineStr">
        <is>
          <t>2026-05-18</t>
        </is>
      </c>
    </row>
    <row r="51">
      <c r="A51" t="inlineStr">
        <is>
          <t>cus_2dcbf927e90b</t>
        </is>
      </c>
      <c r="B51" t="inlineStr">
        <is>
          <t>Maggie</t>
        </is>
      </c>
      <c r="C51" t="inlineStr">
        <is>
          <t>臺灣各種吧股份有限公司</t>
        </is>
      </c>
      <c r="D51" t="inlineStr">
        <is>
          <t>24765574</t>
        </is>
      </c>
      <c r="E51" t="inlineStr">
        <is>
          <t>張柏葦</t>
        </is>
      </c>
      <c r="F51" t="inlineStr">
        <is>
          <t>bowei850817@gmail.com</t>
        </is>
      </c>
      <c r="G51" t="inlineStr">
        <is>
          <t>0970647647</t>
        </is>
      </c>
      <c r="H51" t="inlineStr"/>
      <c r="I51" t="inlineStr">
        <is>
          <t>103台北市大同區承德路二段193號2樓</t>
        </is>
      </c>
      <c r="J51" t="inlineStr"/>
      <c r="K51" t="inlineStr">
        <is>
          <t>2026-05-18</t>
        </is>
      </c>
    </row>
    <row r="52">
      <c r="A52" t="inlineStr">
        <is>
          <t>cus_ee0cc57cfefa</t>
        </is>
      </c>
      <c r="B52" t="inlineStr">
        <is>
          <t>劉泳成</t>
        </is>
      </c>
      <c r="C52" t="inlineStr">
        <is>
          <t>聖洋科技股份有限公司</t>
        </is>
      </c>
      <c r="D52" t="inlineStr">
        <is>
          <t>28112580</t>
        </is>
      </c>
      <c r="E52" t="inlineStr">
        <is>
          <t>蔡念瑾 Candie</t>
        </is>
      </c>
      <c r="F52" t="inlineStr">
        <is>
          <t>candie@cacafly.com</t>
        </is>
      </c>
      <c r="G52" t="inlineStr">
        <is>
          <t>(02)6631-5699 #991</t>
        </is>
      </c>
      <c r="H52" t="inlineStr"/>
      <c r="I52" t="inlineStr">
        <is>
          <t>台北市大安區基隆路二段172-1號13樓</t>
        </is>
      </c>
      <c r="J52" t="inlineStr"/>
      <c r="K52" t="inlineStr">
        <is>
          <t>2026-05-18</t>
        </is>
      </c>
    </row>
    <row r="53">
      <c r="A53" t="inlineStr">
        <is>
          <t>cus_271b47ae9966</t>
        </is>
      </c>
      <c r="B53" t="inlineStr">
        <is>
          <t>Erin</t>
        </is>
      </c>
      <c r="C53" t="inlineStr">
        <is>
          <t>翡麗嘉鉑精品有限公司</t>
        </is>
      </c>
      <c r="D53" t="inlineStr">
        <is>
          <t>00174574</t>
        </is>
      </c>
      <c r="E53" t="inlineStr">
        <is>
          <t>Crystal lee</t>
        </is>
      </c>
      <c r="F53" t="inlineStr">
        <is>
          <t>Crystallee0312@gmail.com</t>
        </is>
      </c>
      <c r="G53" t="inlineStr">
        <is>
          <t>0916-828-707</t>
        </is>
      </c>
      <c r="H53" t="inlineStr"/>
      <c r="I53" t="inlineStr">
        <is>
          <t>臺北市大安區忠孝東路3段211號5樓</t>
        </is>
      </c>
      <c r="J53" t="inlineStr"/>
      <c r="K53" t="inlineStr">
        <is>
          <t>2026-05-18</t>
        </is>
      </c>
    </row>
    <row r="54">
      <c r="A54" t="inlineStr">
        <is>
          <t>cus_817b2a2daf0f</t>
        </is>
      </c>
      <c r="B54" t="inlineStr">
        <is>
          <t>Kate</t>
        </is>
      </c>
      <c r="C54" t="inlineStr">
        <is>
          <t>網讚策略有限公司</t>
        </is>
      </c>
      <c r="D54" t="inlineStr">
        <is>
          <t>54878456</t>
        </is>
      </c>
      <c r="E54" t="inlineStr">
        <is>
          <t>張芳齊 Scarlett</t>
        </is>
      </c>
      <c r="F54" t="inlineStr">
        <is>
          <t>scarlett@bestnet.com.tw</t>
        </is>
      </c>
      <c r="G54" t="inlineStr">
        <is>
          <t>0975168181</t>
        </is>
      </c>
      <c r="H54" t="inlineStr"/>
      <c r="I54" t="inlineStr">
        <is>
          <t>220066 新北市板橋區四川路一段23號8樓</t>
        </is>
      </c>
      <c r="J54" t="inlineStr"/>
      <c r="K54" t="inlineStr">
        <is>
          <t>2026-05-18</t>
        </is>
      </c>
    </row>
    <row r="55">
      <c r="A55" t="inlineStr">
        <is>
          <t>cus_83f1490839fe</t>
        </is>
      </c>
      <c r="B55" t="inlineStr">
        <is>
          <t>劉泳成</t>
        </is>
      </c>
      <c r="C55" t="inlineStr">
        <is>
          <t>綠藤生物科技股份有限公司</t>
        </is>
      </c>
      <c r="D55" t="inlineStr">
        <is>
          <t>29142083</t>
        </is>
      </c>
      <c r="E55" t="inlineStr">
        <is>
          <t>Zina Cheng</t>
        </is>
      </c>
      <c r="F55" t="inlineStr">
        <is>
          <t>zina.cheng@greenvines.com.tw</t>
        </is>
      </c>
      <c r="G55" t="inlineStr">
        <is>
          <t>02-27076788</t>
        </is>
      </c>
      <c r="H55" t="inlineStr"/>
      <c r="I55" t="inlineStr">
        <is>
          <t>臺北市大安區敦化南路2段77號10樓之1</t>
        </is>
      </c>
      <c r="J55" t="inlineStr"/>
      <c r="K55" t="inlineStr">
        <is>
          <t>2026-05-18</t>
        </is>
      </c>
    </row>
    <row r="56">
      <c r="A56" t="inlineStr">
        <is>
          <t>cus_b2d0dc459739</t>
        </is>
      </c>
      <c r="B56" t="inlineStr">
        <is>
          <t>Peggy</t>
        </is>
      </c>
      <c r="C56" t="inlineStr">
        <is>
          <t>米蘭時尚診所</t>
        </is>
      </c>
      <c r="D56" t="inlineStr">
        <is>
          <t>10903344</t>
        </is>
      </c>
      <c r="E56" t="inlineStr">
        <is>
          <t>白佩靈</t>
        </is>
      </c>
      <c r="F56" t="inlineStr">
        <is>
          <t>milanopaipai@gmail.com</t>
        </is>
      </c>
      <c r="G56" t="inlineStr">
        <is>
          <t>04-22589222</t>
        </is>
      </c>
      <c r="H56" t="inlineStr"/>
      <c r="I56" t="inlineStr">
        <is>
          <t>台中市西屯區惠中六街1號</t>
        </is>
      </c>
      <c r="J56" t="inlineStr"/>
      <c r="K56" t="inlineStr">
        <is>
          <t>2026-05-18</t>
        </is>
      </c>
    </row>
    <row r="57">
      <c r="A57" t="inlineStr">
        <is>
          <t>cus_a63074f217c0</t>
        </is>
      </c>
      <c r="B57" t="inlineStr">
        <is>
          <t>Cobi</t>
        </is>
      </c>
      <c r="C57" t="inlineStr">
        <is>
          <t>第一電商有限公司</t>
        </is>
      </c>
      <c r="D57" t="inlineStr">
        <is>
          <t>12963120</t>
        </is>
      </c>
      <c r="E57" t="inlineStr">
        <is>
          <t>謝佩芳</t>
        </is>
      </c>
      <c r="F57" t="inlineStr">
        <is>
          <t>nicky.hsieh@gmail.com</t>
        </is>
      </c>
      <c r="G57" t="inlineStr"/>
      <c r="H57" t="inlineStr"/>
      <c r="I57" t="inlineStr">
        <is>
          <t>台北市士林區忠誠路一段63號7樓</t>
        </is>
      </c>
      <c r="J57" t="inlineStr"/>
      <c r="K57" t="inlineStr">
        <is>
          <t>2026-05-18</t>
        </is>
      </c>
    </row>
    <row r="58">
      <c r="A58" t="inlineStr">
        <is>
          <t>cus_2397e7849eba</t>
        </is>
      </c>
      <c r="B58" t="inlineStr">
        <is>
          <t>黃思睿</t>
        </is>
      </c>
      <c r="C58" t="inlineStr">
        <is>
          <t>睿鼎數位股份有限公司</t>
        </is>
      </c>
      <c r="D58" t="inlineStr">
        <is>
          <t>42837620</t>
        </is>
      </c>
      <c r="E58" t="inlineStr">
        <is>
          <t>羅聖耀</t>
        </is>
      </c>
      <c r="F58" t="inlineStr">
        <is>
          <t>davidlo@12cm.com.tw</t>
        </is>
      </c>
      <c r="G58" t="inlineStr"/>
      <c r="H58" t="inlineStr"/>
      <c r="I58" t="inlineStr">
        <is>
          <t>台北市大安區信義路四段89-1號8樓</t>
        </is>
      </c>
      <c r="J58" t="inlineStr"/>
      <c r="K58" t="inlineStr">
        <is>
          <t>2026-05-18</t>
        </is>
      </c>
    </row>
    <row r="59">
      <c r="A59" t="inlineStr">
        <is>
          <t>cus_9131c5f11930</t>
        </is>
      </c>
      <c r="B59" t="inlineStr">
        <is>
          <t>Peggy</t>
        </is>
      </c>
      <c r="C59" t="inlineStr">
        <is>
          <t>盛禾生醫國際事業有限公司</t>
        </is>
      </c>
      <c r="D59" t="inlineStr">
        <is>
          <t>83537675</t>
        </is>
      </c>
      <c r="E59" t="inlineStr">
        <is>
          <t>簡嘉宏</t>
        </is>
      </c>
      <c r="F59" t="inlineStr">
        <is>
          <t>george@worthbio.com.tw</t>
        </is>
      </c>
      <c r="G59" t="inlineStr">
        <is>
          <t>04-2422-0355 #16</t>
        </is>
      </c>
      <c r="H59" t="inlineStr"/>
      <c r="I59" t="inlineStr">
        <is>
          <t>臺中市北屯區仁和里梅川東路五段398號
4樓之2</t>
        </is>
      </c>
      <c r="J59" t="inlineStr"/>
      <c r="K59" t="inlineStr">
        <is>
          <t>2026-05-18</t>
        </is>
      </c>
    </row>
    <row r="60">
      <c r="A60" t="inlineStr">
        <is>
          <t>cus_d42739550cb8</t>
        </is>
      </c>
      <c r="B60" t="inlineStr">
        <is>
          <t>劉泳成</t>
        </is>
      </c>
      <c r="C60" t="inlineStr">
        <is>
          <t>益普索市場研究股份有限公司</t>
        </is>
      </c>
      <c r="D60" t="inlineStr">
        <is>
          <t>80506608</t>
        </is>
      </c>
      <c r="E60" t="inlineStr">
        <is>
          <t>邱佳明</t>
        </is>
      </c>
      <c r="F60" t="inlineStr">
        <is>
          <t>Jimmy.chiu@ipsos.com</t>
        </is>
      </c>
      <c r="G60" t="inlineStr">
        <is>
          <t>02-27017278#226</t>
        </is>
      </c>
      <c r="H60" t="inlineStr"/>
      <c r="I60" t="inlineStr">
        <is>
          <t>臺北市大安區敦化南路2段105號25樓</t>
        </is>
      </c>
      <c r="J60" t="inlineStr"/>
      <c r="K60" t="inlineStr">
        <is>
          <t>2026-05-18</t>
        </is>
      </c>
    </row>
    <row r="61">
      <c r="A61" t="inlineStr">
        <is>
          <t>cus_71849f516d67</t>
        </is>
      </c>
      <c r="B61" t="inlineStr">
        <is>
          <t>梁芫菁</t>
        </is>
      </c>
      <c r="C61" t="inlineStr">
        <is>
          <t>爭鮮股份有限公司</t>
        </is>
      </c>
      <c r="D61" t="inlineStr">
        <is>
          <t>97286918</t>
        </is>
      </c>
      <c r="E61" t="inlineStr">
        <is>
          <t>林映莉</t>
        </is>
      </c>
      <c r="F61" t="inlineStr"/>
      <c r="G61" t="inlineStr">
        <is>
          <t>02-2760-2200 ext. 1803</t>
        </is>
      </c>
      <c r="H61" t="inlineStr"/>
      <c r="I61" t="inlineStr">
        <is>
          <t>110058 台北市忠孝東路四段559巷16弄21號1F</t>
        </is>
      </c>
      <c r="J61" t="inlineStr"/>
      <c r="K61" t="inlineStr">
        <is>
          <t>2026-05-18</t>
        </is>
      </c>
    </row>
    <row r="62">
      <c r="A62" t="inlineStr">
        <is>
          <t>cus_1fcec1c737d4</t>
        </is>
      </c>
      <c r="B62" t="inlineStr">
        <is>
          <t>Cobi</t>
        </is>
      </c>
      <c r="C62" t="inlineStr">
        <is>
          <t>沛星互動科技股份有限公司.</t>
        </is>
      </c>
      <c r="D62" t="inlineStr">
        <is>
          <t>53102168</t>
        </is>
      </c>
      <c r="E62" t="inlineStr">
        <is>
          <t>Eddie Chen</t>
        </is>
      </c>
      <c r="F62" t="inlineStr">
        <is>
          <t>billing@appier.com; eddie.chen@appier.com ; melody.shen@appier.com</t>
        </is>
      </c>
      <c r="G62" t="inlineStr">
        <is>
          <t>02-87802880</t>
        </is>
      </c>
      <c r="H62" t="inlineStr"/>
      <c r="I62" t="inlineStr">
        <is>
          <t>110 台北市信義區松仁路123號6樓</t>
        </is>
      </c>
      <c r="J62" t="inlineStr"/>
      <c r="K62" t="inlineStr">
        <is>
          <t>2026-05-18</t>
        </is>
      </c>
    </row>
    <row r="63">
      <c r="A63" t="inlineStr">
        <is>
          <t>cus_d9f864173564</t>
        </is>
      </c>
      <c r="B63" t="inlineStr">
        <is>
          <t>Cobi</t>
        </is>
      </c>
      <c r="C63" t="inlineStr">
        <is>
          <t>永恆跨境數位有限公司</t>
        </is>
      </c>
      <c r="D63" t="inlineStr">
        <is>
          <t>93696898</t>
        </is>
      </c>
      <c r="E63" t="inlineStr">
        <is>
          <t>張嘉恬</t>
        </is>
      </c>
      <c r="F63" t="inlineStr">
        <is>
          <t>judychang@eternal-beats.com; kenhsieh@eternal-beats.com</t>
        </is>
      </c>
      <c r="G63" t="inlineStr">
        <is>
          <t>02-25167070</t>
        </is>
      </c>
      <c r="H63" t="inlineStr"/>
      <c r="I63" t="inlineStr">
        <is>
          <t>台北市中山區南京東路二段111號6樓</t>
        </is>
      </c>
      <c r="J63" t="inlineStr"/>
      <c r="K63" t="inlineStr">
        <is>
          <t>2026-05-18</t>
        </is>
      </c>
    </row>
    <row r="64">
      <c r="A64" t="inlineStr">
        <is>
          <t>cus_bbd460c2d377</t>
        </is>
      </c>
      <c r="B64" t="inlineStr">
        <is>
          <t>Peggy</t>
        </is>
      </c>
      <c r="C64" t="inlineStr">
        <is>
          <t>樂遊玩家國際旅行社有限公司</t>
        </is>
      </c>
      <c r="D64" t="inlineStr">
        <is>
          <t>93561147</t>
        </is>
      </c>
      <c r="E64" t="inlineStr">
        <is>
          <t>吳伯謙</t>
        </is>
      </c>
      <c r="F64" t="inlineStr">
        <is>
          <t>acruxeli0403@gmail.com</t>
        </is>
      </c>
      <c r="G64" t="inlineStr">
        <is>
          <t>02-6623-6900</t>
        </is>
      </c>
      <c r="H64" t="inlineStr"/>
      <c r="I64" t="inlineStr">
        <is>
          <t>251007新北市淡水區中正東路一段135-1號</t>
        </is>
      </c>
      <c r="J64" t="inlineStr"/>
      <c r="K64" t="inlineStr">
        <is>
          <t>2026-05-18</t>
        </is>
      </c>
    </row>
    <row r="65">
      <c r="A65" t="inlineStr">
        <is>
          <t>cus_de6277deda5a</t>
        </is>
      </c>
      <c r="B65" t="inlineStr">
        <is>
          <t>Erin</t>
        </is>
      </c>
      <c r="C65" t="inlineStr">
        <is>
          <t>樂獅創新股份有限公司</t>
        </is>
      </c>
      <c r="D65" t="inlineStr">
        <is>
          <t>60676713</t>
        </is>
      </c>
      <c r="E65" t="inlineStr">
        <is>
          <t>Eason Lin</t>
        </is>
      </c>
      <c r="F65" t="inlineStr">
        <is>
          <t>erin_yeh@cmoney.com.tw</t>
        </is>
      </c>
      <c r="G65" t="inlineStr">
        <is>
          <t>02-77471265</t>
        </is>
      </c>
      <c r="H65" t="inlineStr"/>
      <c r="I65" t="inlineStr">
        <is>
          <t>106台北市大安區信義路四段6號18F</t>
        </is>
      </c>
      <c r="J65" t="inlineStr"/>
      <c r="K65" t="inlineStr">
        <is>
          <t>2026-05-18</t>
        </is>
      </c>
    </row>
    <row r="66">
      <c r="A66" t="inlineStr">
        <is>
          <t>cus_b8797e0b5e3b</t>
        </is>
      </c>
      <c r="B66" t="inlineStr">
        <is>
          <t>Erin</t>
        </is>
      </c>
      <c r="C66" t="inlineStr">
        <is>
          <t>構思網路科技有限公司</t>
        </is>
      </c>
      <c r="D66" t="inlineStr">
        <is>
          <t>42814605</t>
        </is>
      </c>
      <c r="E66" t="inlineStr">
        <is>
          <t>David</t>
        </is>
      </c>
      <c r="F66" t="inlineStr">
        <is>
          <t>billing@goskyai.com; unaliou@goskyai.com</t>
        </is>
      </c>
      <c r="G66" t="inlineStr">
        <is>
          <t>(02)27322241</t>
        </is>
      </c>
      <c r="H66" t="inlineStr"/>
      <c r="I66" t="inlineStr">
        <is>
          <t>台北市松山區民生東路四段133號4樓</t>
        </is>
      </c>
      <c r="J66" t="inlineStr"/>
      <c r="K66" t="inlineStr">
        <is>
          <t>2026-05-18</t>
        </is>
      </c>
    </row>
    <row r="67">
      <c r="A67" t="inlineStr">
        <is>
          <t>cus_9117758d2ff8</t>
        </is>
      </c>
      <c r="B67" t="inlineStr">
        <is>
          <t>Kate</t>
        </is>
      </c>
      <c r="C67" t="inlineStr">
        <is>
          <t>星醫美學股份有限公司</t>
        </is>
      </c>
      <c r="D67" t="inlineStr">
        <is>
          <t>53317111</t>
        </is>
      </c>
      <c r="E67" t="inlineStr">
        <is>
          <t>Max Chen 陳暐勲</t>
        </is>
      </c>
      <c r="F67" t="inlineStr">
        <is>
          <t>max.chen@starnic.com.tw</t>
        </is>
      </c>
      <c r="G67" t="inlineStr">
        <is>
          <t>(02)2389-9929 # 254</t>
        </is>
      </c>
      <c r="H67" t="inlineStr"/>
      <c r="I67" t="inlineStr">
        <is>
          <t>新北市新店區北新路3段225號13樓</t>
        </is>
      </c>
      <c r="J67" t="inlineStr"/>
      <c r="K67" t="inlineStr">
        <is>
          <t>2026-05-18</t>
        </is>
      </c>
    </row>
    <row r="68">
      <c r="A68" t="inlineStr">
        <is>
          <t>cus_07f79144e085</t>
        </is>
      </c>
      <c r="B68" t="inlineStr">
        <is>
          <t>劉泳成</t>
        </is>
      </c>
      <c r="C68" t="inlineStr">
        <is>
          <t>我們的力量股份有限公司</t>
        </is>
      </c>
      <c r="D68" t="inlineStr">
        <is>
          <t>83700438</t>
        </is>
      </c>
      <c r="E68" t="inlineStr">
        <is>
          <t>女力學院</t>
        </is>
      </c>
      <c r="F68" t="inlineStr">
        <is>
          <t>finance@woomanpower.com</t>
        </is>
      </c>
      <c r="G68" t="inlineStr">
        <is>
          <t>0975-660286</t>
        </is>
      </c>
      <c r="H68" t="inlineStr"/>
      <c r="I68" t="inlineStr">
        <is>
          <t>臺北市信義區基隆路1段153號之1</t>
        </is>
      </c>
      <c r="J68" t="inlineStr"/>
      <c r="K68" t="inlineStr">
        <is>
          <t>2026-05-18</t>
        </is>
      </c>
    </row>
    <row r="69">
      <c r="A69" t="inlineStr">
        <is>
          <t>cus_e9d3627de720</t>
        </is>
      </c>
      <c r="B69" t="inlineStr">
        <is>
          <t>Kate</t>
        </is>
      </c>
      <c r="C69" t="inlineStr">
        <is>
          <t>愛康實業有限公司</t>
        </is>
      </c>
      <c r="D69" t="inlineStr">
        <is>
          <t>54733396</t>
        </is>
      </c>
      <c r="E69" t="inlineStr">
        <is>
          <t>高伊辰</t>
        </is>
      </c>
      <c r="F69" t="inlineStr">
        <is>
          <t>lekao@1zpresso.com</t>
        </is>
      </c>
      <c r="G69" t="inlineStr">
        <is>
          <t>0978870995</t>
        </is>
      </c>
      <c r="H69" t="inlineStr"/>
      <c r="I69" t="inlineStr">
        <is>
          <t>新北市土城區亞洲路128號</t>
        </is>
      </c>
      <c r="J69" t="inlineStr"/>
      <c r="K69" t="inlineStr">
        <is>
          <t>2026-05-18</t>
        </is>
      </c>
    </row>
    <row r="70">
      <c r="A70" t="inlineStr">
        <is>
          <t>cus_ca89271da0af</t>
        </is>
      </c>
      <c r="B70" t="inlineStr">
        <is>
          <t>Erin</t>
        </is>
      </c>
      <c r="C70" t="inlineStr">
        <is>
          <t>尚格酒業股份有限公司</t>
        </is>
      </c>
      <c r="D70" t="inlineStr">
        <is>
          <t>24779508</t>
        </is>
      </c>
      <c r="E70" t="inlineStr">
        <is>
          <t>Jimmy Lin</t>
        </is>
      </c>
      <c r="F70" t="inlineStr">
        <is>
          <t>jimmylin@thelegend.com.tw</t>
        </is>
      </c>
      <c r="G70" t="inlineStr">
        <is>
          <t>0926715329</t>
        </is>
      </c>
      <c r="H70" t="inlineStr"/>
      <c r="I70" t="inlineStr">
        <is>
          <t>台北市信義區忠孝東路五段510號9-1</t>
        </is>
      </c>
      <c r="J70" t="inlineStr"/>
      <c r="K70" t="inlineStr">
        <is>
          <t>2026-05-18</t>
        </is>
      </c>
    </row>
    <row r="71">
      <c r="A71" t="inlineStr">
        <is>
          <t>cus_bdd658582436</t>
        </is>
      </c>
      <c r="B71" t="inlineStr">
        <is>
          <t>黃思睿</t>
        </is>
      </c>
      <c r="C71" t="inlineStr">
        <is>
          <t>富利餐飲股份有限公司</t>
        </is>
      </c>
      <c r="D71" t="inlineStr">
        <is>
          <t>97161500</t>
        </is>
      </c>
      <c r="E71" t="inlineStr">
        <is>
          <t>Eric Shen</t>
        </is>
      </c>
      <c r="F71" t="inlineStr">
        <is>
          <t>eric.shen@jrgtw.com</t>
        </is>
      </c>
      <c r="G71" t="inlineStr">
        <is>
          <t>02-25036889 #8230</t>
        </is>
      </c>
      <c r="H71" t="inlineStr"/>
      <c r="I71" t="inlineStr">
        <is>
          <t>104 台北市中山區建國北路一段96號</t>
        </is>
      </c>
      <c r="J71" t="inlineStr"/>
      <c r="K71" t="inlineStr">
        <is>
          <t>2026-05-18</t>
        </is>
      </c>
    </row>
    <row r="72">
      <c r="A72" t="inlineStr">
        <is>
          <t>cus_4ffd0abcf1d4</t>
        </is>
      </c>
      <c r="B72" t="inlineStr">
        <is>
          <t>Stanley</t>
        </is>
      </c>
      <c r="C72" t="inlineStr">
        <is>
          <t>威摩科技股份有限公司</t>
        </is>
      </c>
      <c r="D72" t="inlineStr">
        <is>
          <t>42655986</t>
        </is>
      </c>
      <c r="E72" t="inlineStr">
        <is>
          <t>Miya Chang</t>
        </is>
      </c>
      <c r="F72" t="inlineStr">
        <is>
          <t>miya.chang@wemoscooter.com</t>
        </is>
      </c>
      <c r="G72" t="inlineStr">
        <is>
          <t>02 7713 6980 #233</t>
        </is>
      </c>
      <c r="H72" t="inlineStr"/>
      <c r="I72" t="inlineStr">
        <is>
          <t>台北市松山區南京東路三段303巷3弄8號2樓之1</t>
        </is>
      </c>
      <c r="J72" t="inlineStr"/>
      <c r="K72" t="inlineStr">
        <is>
          <t>2026-05-18</t>
        </is>
      </c>
    </row>
    <row r="73">
      <c r="A73" t="inlineStr">
        <is>
          <t>cus_a8aff9f57d27</t>
        </is>
      </c>
      <c r="B73" t="inlineStr">
        <is>
          <t>Kate</t>
        </is>
      </c>
      <c r="C73" t="inlineStr">
        <is>
          <t>好事威行銷工作室</t>
        </is>
      </c>
      <c r="D73" t="inlineStr">
        <is>
          <t>81012667</t>
        </is>
      </c>
      <c r="E73" t="inlineStr">
        <is>
          <t>陳建程</t>
        </is>
      </c>
      <c r="F73" t="inlineStr">
        <is>
          <t>houseway.com@gmail.com</t>
        </is>
      </c>
      <c r="G73" t="inlineStr">
        <is>
          <t>0919854139</t>
        </is>
      </c>
      <c r="H73" t="inlineStr"/>
      <c r="I73" t="inlineStr">
        <is>
          <t>高雄市大寮區後庄里民昌街68號</t>
        </is>
      </c>
      <c r="J73" t="inlineStr"/>
      <c r="K73" t="inlineStr">
        <is>
          <t>2026-05-18</t>
        </is>
      </c>
    </row>
    <row r="74">
      <c r="A74" t="inlineStr">
        <is>
          <t>cus_17595d90dda0</t>
        </is>
      </c>
      <c r="B74" t="inlineStr">
        <is>
          <t>劉泳成</t>
        </is>
      </c>
      <c r="C74" t="inlineStr">
        <is>
          <t>奇異之旅媒體股份有限公司</t>
        </is>
      </c>
      <c r="D74" t="inlineStr">
        <is>
          <t>42623155</t>
        </is>
      </c>
      <c r="E74" t="inlineStr">
        <is>
          <t>康雅涵</t>
        </is>
      </c>
      <c r="F74" t="inlineStr">
        <is>
          <t>kelly.kang@journeys.com.tw</t>
        </is>
      </c>
      <c r="G74" t="inlineStr">
        <is>
          <t>02-2718-1133#137</t>
        </is>
      </c>
      <c r="H74" t="inlineStr"/>
      <c r="I74" t="inlineStr">
        <is>
          <t>台北市松山區南京東路三段 275 號 12樓</t>
        </is>
      </c>
      <c r="J74" t="inlineStr"/>
      <c r="K74" t="inlineStr">
        <is>
          <t>2026-05-18</t>
        </is>
      </c>
    </row>
    <row r="75">
      <c r="A75" t="inlineStr">
        <is>
          <t>cus_4ad97e802893</t>
        </is>
      </c>
      <c r="B75" t="inlineStr">
        <is>
          <t>Kate</t>
        </is>
      </c>
      <c r="C75" t="inlineStr">
        <is>
          <t>大買家股份有限公司</t>
        </is>
      </c>
      <c r="D75" t="inlineStr">
        <is>
          <t>84442769</t>
        </is>
      </c>
      <c r="E75" t="inlineStr">
        <is>
          <t>劉嘉文 Karen</t>
        </is>
      </c>
      <c r="F75" t="inlineStr">
        <is>
          <t>karen4263@gmail.com</t>
        </is>
      </c>
      <c r="G75" t="inlineStr">
        <is>
          <t>04-23106677 #2805</t>
        </is>
      </c>
      <c r="H75" t="inlineStr"/>
      <c r="I75" t="inlineStr">
        <is>
          <t>台中市西區大隆路20號14樓-8(B棟)</t>
        </is>
      </c>
      <c r="J75" t="inlineStr"/>
      <c r="K75" t="inlineStr">
        <is>
          <t>2026-05-18</t>
        </is>
      </c>
    </row>
    <row r="76">
      <c r="A76" t="inlineStr">
        <is>
          <t>cus_ff44151c7dc5</t>
        </is>
      </c>
      <c r="B76" t="inlineStr">
        <is>
          <t>Erin</t>
        </is>
      </c>
      <c r="C76" t="inlineStr">
        <is>
          <t>唯品風尚股份有限公司</t>
        </is>
      </c>
      <c r="D76" t="inlineStr">
        <is>
          <t>42848464</t>
        </is>
      </c>
      <c r="E76" t="inlineStr">
        <is>
          <t>Teresa</t>
        </is>
      </c>
      <c r="F76" t="inlineStr">
        <is>
          <t>teresawang@wsgroup.com.tw</t>
        </is>
      </c>
      <c r="G76" t="inlineStr">
        <is>
          <t>2790-5790#1801</t>
        </is>
      </c>
      <c r="H76" t="inlineStr"/>
      <c r="I76" t="inlineStr">
        <is>
          <t>臺北市內湖區南京東路6段386號9樓</t>
        </is>
      </c>
      <c r="J76" t="inlineStr"/>
      <c r="K76" t="inlineStr">
        <is>
          <t>2026-05-18</t>
        </is>
      </c>
    </row>
    <row r="77">
      <c r="A77" t="inlineStr">
        <is>
          <t>cus_a363bddaa62c</t>
        </is>
      </c>
      <c r="B77" t="inlineStr">
        <is>
          <t>Kate</t>
        </is>
      </c>
      <c r="C77" t="inlineStr">
        <is>
          <t>呈洺整合行銷有限公司</t>
        </is>
      </c>
      <c r="D77" t="inlineStr">
        <is>
          <t>94103970</t>
        </is>
      </c>
      <c r="E77" t="inlineStr">
        <is>
          <t>賴昱曉</t>
        </is>
      </c>
      <c r="F77" t="inlineStr">
        <is>
          <t>yuhsiao.charming@gmail.com</t>
        </is>
      </c>
      <c r="G77" t="inlineStr">
        <is>
          <t>02-2778-6899</t>
        </is>
      </c>
      <c r="H77" t="inlineStr"/>
      <c r="I77" t="inlineStr">
        <is>
          <t>台北市大安區忠孝東路4段155號6樓</t>
        </is>
      </c>
      <c r="J77" t="inlineStr"/>
      <c r="K77" t="inlineStr">
        <is>
          <t>2026-05-18</t>
        </is>
      </c>
    </row>
    <row r="78">
      <c r="A78" t="inlineStr">
        <is>
          <t>cus_6b1bc14ed7b3</t>
        </is>
      </c>
      <c r="B78" t="inlineStr">
        <is>
          <t>黃思睿</t>
        </is>
      </c>
      <c r="C78" t="inlineStr">
        <is>
          <t>合迪股份有限公司</t>
        </is>
      </c>
      <c r="D78" t="inlineStr">
        <is>
          <t>22424994</t>
        </is>
      </c>
      <c r="E78" t="inlineStr">
        <is>
          <t>Tracy Chen</t>
        </is>
      </c>
      <c r="F78" t="inlineStr">
        <is>
          <t>TzuYingChen@chailease.com.tw</t>
        </is>
      </c>
      <c r="G78" t="inlineStr">
        <is>
          <t>02-87526388#76203</t>
        </is>
      </c>
      <c r="H78" t="inlineStr"/>
      <c r="I78" t="inlineStr">
        <is>
          <t>114 台北市內湖區瑞光路362號5樓</t>
        </is>
      </c>
      <c r="J78" t="inlineStr"/>
      <c r="K78" t="inlineStr">
        <is>
          <t>2026-05-18</t>
        </is>
      </c>
    </row>
    <row r="79">
      <c r="A79" t="inlineStr">
        <is>
          <t>cus_7e5c26e3a00a</t>
        </is>
      </c>
      <c r="B79" t="inlineStr">
        <is>
          <t>黃思睿</t>
        </is>
      </c>
      <c r="C79" t="inlineStr">
        <is>
          <t>台灣電通股份有限公司</t>
        </is>
      </c>
      <c r="D79" t="inlineStr">
        <is>
          <t>24546918</t>
        </is>
      </c>
      <c r="E79" t="inlineStr">
        <is>
          <t>趙慧騥 Malo Chao</t>
        </is>
      </c>
      <c r="F79" t="inlineStr">
        <is>
          <t>Malo.Chao@dentsu.com</t>
        </is>
      </c>
      <c r="G79" t="inlineStr"/>
      <c r="H79" t="inlineStr"/>
      <c r="I79" t="inlineStr">
        <is>
          <t>11073台北市信義區松仁路100號8樓</t>
        </is>
      </c>
      <c r="J79" t="inlineStr"/>
      <c r="K79" t="inlineStr">
        <is>
          <t>2026-05-18</t>
        </is>
      </c>
    </row>
    <row r="80">
      <c r="A80" t="inlineStr">
        <is>
          <t>cus_53be4ec64b37</t>
        </is>
      </c>
      <c r="B80" t="inlineStr">
        <is>
          <t>Kate</t>
        </is>
      </c>
      <c r="C80" t="inlineStr">
        <is>
          <t>功典資訊股份有限公司</t>
        </is>
      </c>
      <c r="D80" t="inlineStr">
        <is>
          <t>16750252</t>
        </is>
      </c>
      <c r="E80" t="inlineStr">
        <is>
          <t>施茗方Megan Shih</t>
        </is>
      </c>
      <c r="F80" t="inlineStr">
        <is>
          <t>SalesGroup@migocorp.com</t>
        </is>
      </c>
      <c r="G80" t="inlineStr">
        <is>
          <t>02-89115385 #8866</t>
        </is>
      </c>
      <c r="H80" t="inlineStr"/>
      <c r="I80" t="inlineStr">
        <is>
          <t>23142 新北市新店區建國路276號3樓</t>
        </is>
      </c>
      <c r="J80" t="inlineStr"/>
      <c r="K80" t="inlineStr">
        <is>
          <t>2026-05-18</t>
        </is>
      </c>
    </row>
    <row r="81">
      <c r="A81" t="inlineStr">
        <is>
          <t>cus_398d7208bbd0</t>
        </is>
      </c>
      <c r="B81" t="inlineStr">
        <is>
          <t>Cobi</t>
        </is>
      </c>
      <c r="C81" t="inlineStr">
        <is>
          <t>創市際市場研究顧問股份有限公司</t>
        </is>
      </c>
      <c r="D81" t="inlineStr">
        <is>
          <t>80184521</t>
        </is>
      </c>
      <c r="E81" t="inlineStr">
        <is>
          <t>Noel Hu</t>
        </is>
      </c>
      <c r="F81" t="inlineStr">
        <is>
          <t>noel.hu@ixresearch.com</t>
        </is>
      </c>
      <c r="G81" t="inlineStr">
        <is>
          <t>02-33222882</t>
        </is>
      </c>
      <c r="H81" t="inlineStr"/>
      <c r="I81" t="inlineStr">
        <is>
          <t>台北市大安區和平東路一段177號5樓之6</t>
        </is>
      </c>
      <c r="J81" t="inlineStr"/>
      <c r="K81" t="inlineStr">
        <is>
          <t>2026-05-18</t>
        </is>
      </c>
    </row>
    <row r="82">
      <c r="A82" t="inlineStr">
        <is>
          <t>cus_8e2c1e861768</t>
        </is>
      </c>
      <c r="B82" t="inlineStr">
        <is>
          <t>Erin</t>
        </is>
      </c>
      <c r="C82" t="inlineStr">
        <is>
          <t>優兔數位有限公司</t>
        </is>
      </c>
      <c r="D82" t="inlineStr">
        <is>
          <t>42993380</t>
        </is>
      </c>
      <c r="E82" t="inlineStr">
        <is>
          <t>鄭堂稜 Eva</t>
        </is>
      </c>
      <c r="F82" t="inlineStr">
        <is>
          <t>eva@jubbit.com.tw/kris@jubbit.com.tw</t>
        </is>
      </c>
      <c r="G82" t="inlineStr">
        <is>
          <t>0963248711</t>
        </is>
      </c>
      <c r="H82" t="inlineStr"/>
      <c r="I82" t="inlineStr">
        <is>
          <t>11077台北市信義區忠孝東路五段510號12號樓之3</t>
        </is>
      </c>
      <c r="J82" t="inlineStr"/>
      <c r="K82" t="inlineStr">
        <is>
          <t>2026-05-18</t>
        </is>
      </c>
    </row>
    <row r="83">
      <c r="A83" t="inlineStr">
        <is>
          <t>cus_e47cc067a54d</t>
        </is>
      </c>
      <c r="B83" t="inlineStr">
        <is>
          <t>劉泳成</t>
        </is>
      </c>
      <c r="C83" t="inlineStr">
        <is>
          <t>傑太日煙國際股份有限公司</t>
        </is>
      </c>
      <c r="D83" t="inlineStr">
        <is>
          <t>84308340</t>
        </is>
      </c>
      <c r="E83" t="inlineStr">
        <is>
          <t>ALLEN</t>
        </is>
      </c>
      <c r="F83" t="inlineStr">
        <is>
          <t>AllenYuChih.Chou@jti.com</t>
        </is>
      </c>
      <c r="G83" t="inlineStr"/>
      <c r="H83" t="inlineStr"/>
      <c r="I83" t="inlineStr">
        <is>
          <t>臺北市信義區松仁路32號7樓</t>
        </is>
      </c>
      <c r="J83" t="inlineStr"/>
      <c r="K83" t="inlineStr">
        <is>
          <t>2026-05-18</t>
        </is>
      </c>
    </row>
    <row r="84">
      <c r="A84" t="inlineStr">
        <is>
          <t>cus_1133b1c53784</t>
        </is>
      </c>
      <c r="B84" t="inlineStr">
        <is>
          <t>黃思睿</t>
        </is>
      </c>
      <c r="C84" t="inlineStr">
        <is>
          <t>仲信資融股份有限公司</t>
        </is>
      </c>
      <c r="D84" t="inlineStr">
        <is>
          <t>70774816</t>
        </is>
      </c>
      <c r="E84" t="inlineStr">
        <is>
          <t>Tracy Chen</t>
        </is>
      </c>
      <c r="F84" t="inlineStr">
        <is>
          <t>TzuYingChen@chailease.com.tw</t>
        </is>
      </c>
      <c r="G84" t="inlineStr">
        <is>
          <t>02-87526388#76203</t>
        </is>
      </c>
      <c r="H84" t="inlineStr"/>
      <c r="I84" t="inlineStr">
        <is>
          <t>114 台北市內湖區瑞光路362號5樓</t>
        </is>
      </c>
      <c r="J84" t="inlineStr"/>
      <c r="K84" t="inlineStr">
        <is>
          <t>2026-05-18</t>
        </is>
      </c>
    </row>
    <row r="85">
      <c r="A85" t="inlineStr">
        <is>
          <t>cus_add08fd38101</t>
        </is>
      </c>
      <c r="B85" t="inlineStr">
        <is>
          <t>Peggy</t>
        </is>
      </c>
      <c r="C85" t="inlineStr">
        <is>
          <t>享食尚股份有限公司</t>
        </is>
      </c>
      <c r="D85" t="inlineStr">
        <is>
          <t>94143380</t>
        </is>
      </c>
      <c r="E85" t="inlineStr">
        <is>
          <t>李佳螢 Irene</t>
        </is>
      </c>
      <c r="F85" t="inlineStr">
        <is>
          <t>irenelee@tvbs.com.tw</t>
        </is>
      </c>
      <c r="G85" t="inlineStr">
        <is>
          <t>02-2162-8168 #86214</t>
        </is>
      </c>
      <c r="H85" t="inlineStr"/>
      <c r="I85" t="inlineStr">
        <is>
          <t>台北市內湖區瑞光路478巷20號7樓</t>
        </is>
      </c>
      <c r="J85" t="inlineStr"/>
      <c r="K85" t="inlineStr">
        <is>
          <t>2026-05-18</t>
        </is>
      </c>
    </row>
    <row r="86">
      <c r="A86" t="inlineStr">
        <is>
          <t>cus_7d5213d1db43</t>
        </is>
      </c>
      <c r="B86" t="inlineStr">
        <is>
          <t>Kate</t>
        </is>
      </c>
      <c r="C86" t="inlineStr">
        <is>
          <t>亞瑟國際企業有限公司</t>
        </is>
      </c>
      <c r="D86" t="inlineStr">
        <is>
          <t>54013143</t>
        </is>
      </c>
      <c r="E86" t="inlineStr">
        <is>
          <t>陳韻婷</t>
        </is>
      </c>
      <c r="F86" t="inlineStr">
        <is>
          <t>cynthia@arthur-intl.com</t>
        </is>
      </c>
      <c r="G86" t="inlineStr">
        <is>
          <t>02-22782777#111</t>
        </is>
      </c>
      <c r="H86" t="inlineStr"/>
      <c r="I86" t="inlineStr">
        <is>
          <t>新北市三重區新北大道二段252號7樓之2</t>
        </is>
      </c>
      <c r="J86" t="inlineStr"/>
      <c r="K86" t="inlineStr">
        <is>
          <t>2026-05-18</t>
        </is>
      </c>
    </row>
    <row r="87">
      <c r="A87" t="inlineStr">
        <is>
          <t>cus_8ef8663fbfb8</t>
        </is>
      </c>
      <c r="B87" t="inlineStr">
        <is>
          <t>Maggie</t>
        </is>
      </c>
      <c r="C87" t="inlineStr">
        <is>
          <t>中化健康生技股份有限公司</t>
        </is>
      </c>
      <c r="D87" t="inlineStr">
        <is>
          <t>24784137</t>
        </is>
      </c>
      <c r="E87" t="inlineStr">
        <is>
          <t>丁睿廷 Randy Ding</t>
        </is>
      </c>
      <c r="F87" t="inlineStr">
        <is>
          <t>rueiting2012@gmail.com</t>
        </is>
      </c>
      <c r="G87" t="inlineStr">
        <is>
          <t>04-22870998</t>
        </is>
      </c>
      <c r="H87" t="inlineStr"/>
      <c r="I87" t="inlineStr">
        <is>
          <t>臺中市大雅區科雅路23號3樓</t>
        </is>
      </c>
      <c r="J87" t="inlineStr"/>
      <c r="K87" t="inlineStr">
        <is>
          <t>2026-05-18</t>
        </is>
      </c>
    </row>
    <row r="88">
      <c r="A88" t="inlineStr">
        <is>
          <t>cus_056fa47ed237</t>
        </is>
      </c>
      <c r="B88" t="inlineStr">
        <is>
          <t>Erin</t>
        </is>
      </c>
      <c r="C88" t="inlineStr">
        <is>
          <t>英屬蓋曼群島商擷適科技股份有限公司</t>
        </is>
      </c>
      <c r="D88" t="inlineStr">
        <is>
          <t>28430641</t>
        </is>
      </c>
      <c r="E88" t="inlineStr">
        <is>
          <t>Johnny</t>
        </is>
      </c>
      <c r="F88" t="inlineStr">
        <is>
          <t>johnny.lin@getchee.com</t>
        </is>
      </c>
      <c r="G88" t="inlineStr"/>
      <c r="H88" t="inlineStr"/>
      <c r="I88" t="inlineStr">
        <is>
          <t>臺北市大安區忠孝東路四段293號6樓之1</t>
        </is>
      </c>
      <c r="J88" t="inlineStr"/>
      <c r="K88" t="inlineStr">
        <is>
          <t>2026-05-18</t>
        </is>
      </c>
    </row>
    <row r="89">
      <c r="A89" t="inlineStr">
        <is>
          <t>cus_a586aac3e559</t>
        </is>
      </c>
      <c r="B89" t="inlineStr">
        <is>
          <t>Peggy</t>
        </is>
      </c>
      <c r="C89" t="inlineStr">
        <is>
          <t>台灣綠金家園有限公司</t>
        </is>
      </c>
      <c r="D89" t="inlineStr">
        <is>
          <t>24978823</t>
        </is>
      </c>
      <c r="E89" t="inlineStr">
        <is>
          <t>黃品瑄</t>
        </is>
      </c>
      <c r="F89" t="inlineStr">
        <is>
          <t>tgda24978823@gmail.com</t>
        </is>
      </c>
      <c r="G89" t="inlineStr">
        <is>
          <t>04-3609-7575</t>
        </is>
      </c>
      <c r="H89" t="inlineStr"/>
      <c r="I89" t="inlineStr">
        <is>
          <t>台中市西區五權西路一段237號7F-1</t>
        </is>
      </c>
      <c r="J89" t="inlineStr"/>
      <c r="K89" t="inlineStr">
        <is>
          <t>2026-05-18</t>
        </is>
      </c>
    </row>
    <row r="90">
      <c r="A90" t="inlineStr">
        <is>
          <t>cus_9ad075234312</t>
        </is>
      </c>
      <c r="B90" t="inlineStr">
        <is>
          <t>Peggy</t>
        </is>
      </c>
      <c r="C90" t="inlineStr">
        <is>
          <t>岡鍵實業股份有限公司</t>
        </is>
      </c>
      <c r="D90" t="inlineStr">
        <is>
          <t>43831336</t>
        </is>
      </c>
      <c r="E90" t="inlineStr">
        <is>
          <t>陳韋儒 Roy</t>
        </is>
      </c>
      <c r="F90" t="inlineStr">
        <is>
          <t>roy.chen@t-fence.com.tw</t>
        </is>
      </c>
      <c r="G90" t="inlineStr">
        <is>
          <t>0966-802-958</t>
        </is>
      </c>
      <c r="H90" t="inlineStr"/>
      <c r="I90" t="inlineStr">
        <is>
          <t>臺北市吉林路299巷11樓1號</t>
        </is>
      </c>
      <c r="J90" t="inlineStr"/>
      <c r="K90" t="inlineStr">
        <is>
          <t>2026-05-18</t>
        </is>
      </c>
    </row>
    <row r="91">
      <c r="A91" t="inlineStr">
        <is>
          <t>cus_8a60a50db6a6</t>
        </is>
      </c>
      <c r="B91" t="inlineStr">
        <is>
          <t>謝孟倢</t>
        </is>
      </c>
      <c r="C91" t="inlineStr">
        <is>
          <t>希立媒體行銷有限公司</t>
        </is>
      </c>
      <c r="D91" t="inlineStr">
        <is>
          <t>93649988</t>
        </is>
      </c>
      <c r="E91" t="inlineStr">
        <is>
          <t>巢文玉</t>
        </is>
      </c>
      <c r="F91" t="inlineStr">
        <is>
          <t>joanna0935614816@gmail.com</t>
        </is>
      </c>
      <c r="G91" t="inlineStr">
        <is>
          <t>935614816.0</t>
        </is>
      </c>
      <c r="H91" t="inlineStr"/>
      <c r="I91" t="inlineStr">
        <is>
          <t>台北市萬華區峨眉街100號11樓之2</t>
        </is>
      </c>
      <c r="J91" t="inlineStr"/>
      <c r="K91" t="inlineStr">
        <is>
          <t>2026-05-18</t>
        </is>
      </c>
    </row>
    <row r="92">
      <c r="A92" t="inlineStr">
        <is>
          <t>cus_7fe65642b817</t>
        </is>
      </c>
      <c r="B92" t="inlineStr">
        <is>
          <t>Kate</t>
        </is>
      </c>
      <c r="C92" t="inlineStr">
        <is>
          <t>驚點股份有限公司</t>
        </is>
      </c>
      <c r="D92" t="inlineStr">
        <is>
          <t>43907433</t>
        </is>
      </c>
      <c r="E92" t="inlineStr">
        <is>
          <t>Eunice Chen</t>
        </is>
      </c>
      <c r="F92" t="inlineStr">
        <is>
          <t>eunice@freakout.net</t>
        </is>
      </c>
      <c r="G92" t="inlineStr">
        <is>
          <t>02-2707-0712 Ext.115</t>
        </is>
      </c>
      <c r="H92" t="inlineStr"/>
      <c r="I92" t="inlineStr">
        <is>
          <t>10681 台北市大安區敦化南路二段57號20樓</t>
        </is>
      </c>
      <c r="J92" t="inlineStr"/>
      <c r="K92" t="inlineStr">
        <is>
          <t>2026-05-18</t>
        </is>
      </c>
    </row>
    <row r="93">
      <c r="A93" t="inlineStr">
        <is>
          <t>cus_d85c0eed3b4a</t>
        </is>
      </c>
      <c r="B93" t="inlineStr">
        <is>
          <t>Stanley</t>
        </is>
      </c>
      <c r="C93" t="inlineStr">
        <is>
          <t>瓦城泰統股份有限公司</t>
        </is>
      </c>
      <c r="D93" t="inlineStr">
        <is>
          <t>70843031</t>
        </is>
      </c>
      <c r="E93" t="inlineStr">
        <is>
          <t>陳允琦</t>
        </is>
      </c>
      <c r="F93" t="inlineStr">
        <is>
          <t>yunchichen@ttfb.com</t>
        </is>
      </c>
      <c r="G93" t="inlineStr">
        <is>
          <t>02-8227-1280</t>
        </is>
      </c>
      <c r="H93" t="inlineStr"/>
      <c r="I93" t="inlineStr">
        <is>
          <t>新北市中和區建一路176號7樓之1</t>
        </is>
      </c>
      <c r="J93" t="inlineStr"/>
      <c r="K93" t="inlineStr">
        <is>
          <t>2026-05-18</t>
        </is>
      </c>
    </row>
    <row r="94">
      <c r="A94" t="inlineStr">
        <is>
          <t>cus_91a04eb262ec</t>
        </is>
      </c>
      <c r="B94" t="inlineStr">
        <is>
          <t>Stanley</t>
        </is>
      </c>
      <c r="C94" t="inlineStr">
        <is>
          <t>酷遊天國際旅行社股份有限公司</t>
        </is>
      </c>
      <c r="D94" t="inlineStr">
        <is>
          <t>24977417</t>
        </is>
      </c>
      <c r="E94" t="inlineStr">
        <is>
          <t>Max</t>
        </is>
      </c>
      <c r="F94" t="inlineStr">
        <is>
          <t>stanley_cheng@cmoney.com.tw</t>
        </is>
      </c>
      <c r="G94" t="inlineStr">
        <is>
          <t>02-8227-1280</t>
        </is>
      </c>
      <c r="H94" t="inlineStr"/>
      <c r="I94" t="inlineStr">
        <is>
          <t>11494臺北市內湖區新湖一路128巷15號5樓</t>
        </is>
      </c>
      <c r="J94" t="inlineStr"/>
      <c r="K94" t="inlineStr">
        <is>
          <t>2026-05-18</t>
        </is>
      </c>
    </row>
    <row r="95">
      <c r="A95" t="inlineStr">
        <is>
          <t>cus_ae9dd5ab3f97</t>
        </is>
      </c>
      <c r="B95" t="inlineStr">
        <is>
          <t>Peggy</t>
        </is>
      </c>
      <c r="C95" t="inlineStr">
        <is>
          <t>嘉姿俐實業股份有限公司</t>
        </is>
      </c>
      <c r="D95" t="inlineStr">
        <is>
          <t>86028490</t>
        </is>
      </c>
      <c r="E95" t="inlineStr">
        <is>
          <t>翁芷卿 Blake</t>
        </is>
      </c>
      <c r="F95" t="inlineStr">
        <is>
          <t>blake@starlace.com</t>
        </is>
      </c>
      <c r="G95" t="inlineStr">
        <is>
          <t>02-2509-5585 ext.303</t>
        </is>
      </c>
      <c r="H95" t="inlineStr"/>
      <c r="I95" t="inlineStr">
        <is>
          <t>台北市中山區南京東路三段28號11樓</t>
        </is>
      </c>
      <c r="J95" t="inlineStr"/>
      <c r="K95" t="inlineStr">
        <is>
          <t>2026-05-18</t>
        </is>
      </c>
    </row>
    <row r="96">
      <c r="A96" t="inlineStr">
        <is>
          <t>cus_c68320992b22</t>
        </is>
      </c>
      <c r="B96" t="inlineStr">
        <is>
          <t>Stanley</t>
        </is>
      </c>
      <c r="C96" t="inlineStr">
        <is>
          <t>絕對科技股份有限公司</t>
        </is>
      </c>
      <c r="D96" t="inlineStr">
        <is>
          <t>53913498</t>
        </is>
      </c>
      <c r="E96" t="inlineStr">
        <is>
          <t>Alan</t>
        </is>
      </c>
      <c r="F96" t="inlineStr">
        <is>
          <t>alan@absolute.com.tw</t>
        </is>
      </c>
      <c r="G96" t="inlineStr">
        <is>
          <t>0927566623</t>
        </is>
      </c>
      <c r="H96" t="inlineStr"/>
      <c r="I96" t="inlineStr">
        <is>
          <t>臺北市內湖區南京東路6段461號9樓之3</t>
        </is>
      </c>
      <c r="J96" t="inlineStr"/>
      <c r="K96" t="inlineStr">
        <is>
          <t>2026-05-18</t>
        </is>
      </c>
    </row>
    <row r="97">
      <c r="A97" t="inlineStr">
        <is>
          <t>cus_26f2c1c3e2f3</t>
        </is>
      </c>
      <c r="B97" t="inlineStr">
        <is>
          <t>Erin</t>
        </is>
      </c>
      <c r="C97" t="inlineStr">
        <is>
          <t>香港商陽獅銳奇媒體股份有限公司台灣分公司星傳
媒體事業處</t>
        </is>
      </c>
      <c r="D97" t="inlineStr">
        <is>
          <t>26287090</t>
        </is>
      </c>
      <c r="E97" t="inlineStr">
        <is>
          <t>Aida Chou</t>
        </is>
      </c>
      <c r="F97" t="inlineStr">
        <is>
          <t>erin_yeh@cmoney.com.tw</t>
        </is>
      </c>
      <c r="G97">
        <f>886277342829</f>
        <v/>
      </c>
      <c r="H97" t="inlineStr"/>
      <c r="I97" t="inlineStr">
        <is>
          <t>台北市大安區信義路四段6號8樓</t>
        </is>
      </c>
      <c r="J97" t="inlineStr"/>
      <c r="K97" t="inlineStr">
        <is>
          <t>2026-05-18</t>
        </is>
      </c>
    </row>
    <row r="98">
      <c r="A98" t="inlineStr">
        <is>
          <t>cus_9074948b393b</t>
        </is>
      </c>
      <c r="B98" t="inlineStr">
        <is>
          <t>Erin</t>
        </is>
      </c>
      <c r="C98" t="inlineStr">
        <is>
          <t>格上汽車租賃股份有限公司</t>
        </is>
      </c>
      <c r="D98" t="inlineStr">
        <is>
          <t>12208883</t>
        </is>
      </c>
      <c r="E98" t="inlineStr">
        <is>
          <t>Jimmy</t>
        </is>
      </c>
      <c r="F98" t="inlineStr">
        <is>
          <t>jimmy.tseng@car-plus.com.tw</t>
        </is>
      </c>
      <c r="G98" t="inlineStr"/>
      <c r="H98" t="inlineStr"/>
      <c r="I98" t="inlineStr">
        <is>
          <t>新北市新店區中興路三段3號7樓</t>
        </is>
      </c>
      <c r="J98" t="inlineStr"/>
      <c r="K98" t="inlineStr">
        <is>
          <t>2026-05-18</t>
        </is>
      </c>
    </row>
    <row r="99">
      <c r="A99" t="inlineStr">
        <is>
          <t>cus_947ea986b294</t>
        </is>
      </c>
      <c r="B99" t="inlineStr">
        <is>
          <t>Erin</t>
        </is>
      </c>
      <c r="C99" t="inlineStr">
        <is>
          <t>橙澤國際有限公司</t>
        </is>
      </c>
      <c r="D99" t="inlineStr">
        <is>
          <t>60766708</t>
        </is>
      </c>
      <c r="E99" t="inlineStr">
        <is>
          <t>楊沁安</t>
        </is>
      </c>
      <c r="F99" t="inlineStr">
        <is>
          <t>caryyueh19860705@gmail.com</t>
        </is>
      </c>
      <c r="G99">
        <f>886277348747</f>
        <v/>
      </c>
      <c r="H99" t="inlineStr"/>
      <c r="I99" t="inlineStr">
        <is>
          <t>高雄市鼓山區民強街263號1樓</t>
        </is>
      </c>
      <c r="J99" t="inlineStr"/>
      <c r="K99" t="inlineStr">
        <is>
          <t>2026-05-18</t>
        </is>
      </c>
    </row>
    <row r="100">
      <c r="A100" t="inlineStr">
        <is>
          <t>cus_3f39827254c7</t>
        </is>
      </c>
      <c r="B100" t="inlineStr">
        <is>
          <t>Erin</t>
        </is>
      </c>
      <c r="C100" t="inlineStr">
        <is>
          <t>香港商陽獅銳奇媒體股份有限公司台灣分公司精銳媒體事業處</t>
        </is>
      </c>
      <c r="D100" t="inlineStr">
        <is>
          <t>42380208</t>
        </is>
      </c>
      <c r="E100" t="inlineStr">
        <is>
          <t>Annielc Huang</t>
        </is>
      </c>
      <c r="F100" t="inlineStr">
        <is>
          <t>erin_yeh@cmoney.com.tw</t>
        </is>
      </c>
      <c r="G100" t="inlineStr">
        <is>
          <t>02-2503-6889 #8298</t>
        </is>
      </c>
      <c r="H100" t="inlineStr"/>
      <c r="I100" t="inlineStr">
        <is>
          <t>台北市大安區信義路四段 6 號 10 樓</t>
        </is>
      </c>
      <c r="J100" t="inlineStr"/>
      <c r="K100" t="inlineStr">
        <is>
          <t>2026-05-18</t>
        </is>
      </c>
    </row>
    <row r="101">
      <c r="A101" t="inlineStr">
        <is>
          <t>cus_b70fd15def8d</t>
        </is>
      </c>
      <c r="B101" t="inlineStr">
        <is>
          <t>Erin</t>
        </is>
      </c>
      <c r="C101" t="inlineStr">
        <is>
          <t>李奧貝納股份有限公司</t>
        </is>
      </c>
      <c r="D101" t="inlineStr">
        <is>
          <t>22522904</t>
        </is>
      </c>
      <c r="E101" t="inlineStr">
        <is>
          <t>Sandy Pan</t>
        </is>
      </c>
      <c r="F101" t="inlineStr">
        <is>
          <t>erin_yeh@cmoney.com.tw</t>
        </is>
      </c>
      <c r="G101" t="inlineStr">
        <is>
          <t>04-2422-0355 #16</t>
        </is>
      </c>
      <c r="H101" t="inlineStr"/>
      <c r="I101" t="inlineStr">
        <is>
          <t>台北市大安區信義路四段6號6樓</t>
        </is>
      </c>
      <c r="J101" t="inlineStr"/>
      <c r="K101" t="inlineStr">
        <is>
          <t>2026-05-18</t>
        </is>
      </c>
    </row>
    <row r="102">
      <c r="A102" t="inlineStr">
        <is>
          <t>cus_f881bd5910b6</t>
        </is>
      </c>
      <c r="B102" t="inlineStr">
        <is>
          <t>Stanley</t>
        </is>
      </c>
      <c r="C102" t="inlineStr">
        <is>
          <t>中興數位科技有限公司</t>
        </is>
      </c>
      <c r="D102" t="inlineStr">
        <is>
          <t>80606579</t>
        </is>
      </c>
      <c r="E102" t="inlineStr">
        <is>
          <t>Shelly</t>
        </is>
      </c>
      <c r="F102" t="inlineStr">
        <is>
          <t>yuxuanzheng0221@gmail.com</t>
        </is>
      </c>
      <c r="G102" t="inlineStr"/>
      <c r="H102" t="inlineStr"/>
      <c r="I102" t="inlineStr">
        <is>
          <t>420台中市豐原區豐南街46號</t>
        </is>
      </c>
      <c r="J102" t="inlineStr"/>
      <c r="K102" t="inlineStr">
        <is>
          <t>2026-05-18</t>
        </is>
      </c>
    </row>
    <row r="103">
      <c r="A103" t="inlineStr">
        <is>
          <t>cus_258dedeefd75</t>
        </is>
      </c>
      <c r="B103" t="inlineStr">
        <is>
          <t>Stanley</t>
        </is>
      </c>
      <c r="C103" t="inlineStr">
        <is>
          <t>曜睿國際企業股份有限公司</t>
        </is>
      </c>
      <c r="D103" t="inlineStr">
        <is>
          <t>60590602</t>
        </is>
      </c>
      <c r="E103" t="inlineStr">
        <is>
          <t>雅煒</t>
        </is>
      </c>
      <c r="F103" t="inlineStr"/>
      <c r="G103" t="inlineStr"/>
      <c r="H103" t="inlineStr"/>
      <c r="I103" t="inlineStr">
        <is>
          <t>高雄市左營區至聖路147號3樓</t>
        </is>
      </c>
      <c r="J103" t="inlineStr"/>
      <c r="K103" t="inlineStr">
        <is>
          <t>2026-05-18</t>
        </is>
      </c>
    </row>
    <row r="104">
      <c r="A104" t="inlineStr">
        <is>
          <t>cus_57166b81d8c7</t>
        </is>
      </c>
      <c r="B104" t="inlineStr"/>
      <c r="C104" t="inlineStr">
        <is>
          <t>尼爾森</t>
        </is>
      </c>
      <c r="D104" t="inlineStr"/>
      <c r="E104" t="inlineStr">
        <is>
          <t>Jennifer</t>
        </is>
      </c>
      <c r="F104" t="inlineStr"/>
      <c r="G104" t="inlineStr"/>
      <c r="H104" t="inlineStr"/>
      <c r="I104" t="inlineStr"/>
      <c r="J104" t="inlineStr">
        <is>
          <t>由合約追蹤匯入</t>
        </is>
      </c>
      <c r="K104" t="inlineStr">
        <is>
          <t>2026-05-18</t>
        </is>
      </c>
    </row>
    <row r="105">
      <c r="A105" t="inlineStr">
        <is>
          <t>cus_d0fe5abbc038</t>
        </is>
      </c>
      <c r="B105" t="inlineStr"/>
      <c r="C105" t="inlineStr">
        <is>
          <t>東方線上(2021合約)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由合約追蹤匯入</t>
        </is>
      </c>
      <c r="K105" t="inlineStr">
        <is>
          <t>2026-05-18</t>
        </is>
      </c>
    </row>
    <row r="106">
      <c r="A106" t="inlineStr">
        <is>
          <t>cus_05dffb838aae</t>
        </is>
      </c>
      <c r="B106" t="inlineStr"/>
      <c r="C106" t="inlineStr">
        <is>
          <t>東方線上(2024合約)</t>
        </is>
      </c>
      <c r="D106" t="inlineStr"/>
      <c r="E106" t="inlineStr">
        <is>
          <t>Grace</t>
        </is>
      </c>
      <c r="F106" t="inlineStr"/>
      <c r="G106" t="inlineStr"/>
      <c r="H106" t="inlineStr"/>
      <c r="I106" t="inlineStr"/>
      <c r="J106" t="inlineStr">
        <is>
          <t>由合約追蹤匯入</t>
        </is>
      </c>
      <c r="K106" t="inlineStr">
        <is>
          <t>2026-05-18</t>
        </is>
      </c>
    </row>
    <row r="107">
      <c r="A107" t="inlineStr">
        <is>
          <t>cus_35b58f1c2e80</t>
        </is>
      </c>
      <c r="B107" t="inlineStr"/>
      <c r="C107" t="inlineStr">
        <is>
          <t>紅門</t>
        </is>
      </c>
      <c r="D107" t="inlineStr"/>
      <c r="E107" t="inlineStr">
        <is>
          <t>Mars</t>
        </is>
      </c>
      <c r="F107" t="inlineStr"/>
      <c r="G107" t="inlineStr"/>
      <c r="H107" t="inlineStr"/>
      <c r="I107" t="inlineStr"/>
      <c r="J107" t="inlineStr">
        <is>
          <t>由合約追蹤匯入</t>
        </is>
      </c>
      <c r="K107" t="inlineStr">
        <is>
          <t>2026-05-18</t>
        </is>
      </c>
    </row>
    <row r="108">
      <c r="A108" t="inlineStr">
        <is>
          <t>cus_448ed59c8f50</t>
        </is>
      </c>
      <c r="B108" t="inlineStr"/>
      <c r="C108" t="inlineStr">
        <is>
          <t>Vpon</t>
        </is>
      </c>
      <c r="D108" t="inlineStr"/>
      <c r="E108" t="inlineStr">
        <is>
          <t>Paul</t>
        </is>
      </c>
      <c r="F108" t="inlineStr"/>
      <c r="G108" t="inlineStr"/>
      <c r="H108" t="inlineStr"/>
      <c r="I108" t="inlineStr"/>
      <c r="J108" t="inlineStr">
        <is>
          <t>由合約追蹤匯入</t>
        </is>
      </c>
      <c r="K108" t="inlineStr">
        <is>
          <t>2026-05-18</t>
        </is>
      </c>
    </row>
    <row r="109">
      <c r="A109" t="inlineStr">
        <is>
          <t>cus_a261c5aeaae0</t>
        </is>
      </c>
      <c r="B109" t="inlineStr"/>
      <c r="C109" t="inlineStr">
        <is>
          <t>麟數據(LNData)</t>
        </is>
      </c>
      <c r="D109" t="inlineStr"/>
      <c r="E109" t="inlineStr">
        <is>
          <t>Nicky</t>
        </is>
      </c>
      <c r="F109" t="inlineStr"/>
      <c r="G109" t="inlineStr">
        <is>
          <t>02-23948800</t>
        </is>
      </c>
      <c r="H109" t="inlineStr"/>
      <c r="I109" t="inlineStr"/>
      <c r="J109" t="inlineStr">
        <is>
          <t>由合約追蹤匯入</t>
        </is>
      </c>
      <c r="K109" t="inlineStr">
        <is>
          <t>2026-05-18</t>
        </is>
      </c>
    </row>
    <row r="110">
      <c r="A110" t="inlineStr">
        <is>
          <t>cus_659db89998e9</t>
        </is>
      </c>
      <c r="B110" t="inlineStr"/>
      <c r="C110" t="inlineStr">
        <is>
          <t>果實(OneAD)</t>
        </is>
      </c>
      <c r="D110" t="inlineStr"/>
      <c r="E110" t="inlineStr">
        <is>
          <t>Emma</t>
        </is>
      </c>
      <c r="F110" t="inlineStr"/>
      <c r="G110" t="inlineStr"/>
      <c r="H110" t="inlineStr"/>
      <c r="I110" t="inlineStr"/>
      <c r="J110" t="inlineStr">
        <is>
          <t>由合約追蹤匯入</t>
        </is>
      </c>
      <c r="K110" t="inlineStr">
        <is>
          <t>2026-05-18</t>
        </is>
      </c>
    </row>
    <row r="111">
      <c r="A111" t="inlineStr">
        <is>
          <t>cus_baaa43938f30</t>
        </is>
      </c>
      <c r="B111" t="inlineStr"/>
      <c r="C111" t="inlineStr">
        <is>
          <t>禾多移動</t>
        </is>
      </c>
      <c r="D111" t="inlineStr"/>
      <c r="E111" t="inlineStr">
        <is>
          <t>Max</t>
        </is>
      </c>
      <c r="F111" t="inlineStr"/>
      <c r="G111" t="inlineStr"/>
      <c r="H111" t="inlineStr"/>
      <c r="I111" t="inlineStr"/>
      <c r="J111" t="inlineStr">
        <is>
          <t>由合約追蹤匯入</t>
        </is>
      </c>
      <c r="K111" t="inlineStr">
        <is>
          <t>2026-05-18</t>
        </is>
      </c>
    </row>
    <row r="112">
      <c r="A112" t="inlineStr">
        <is>
          <t>cus_03ceaa39d222</t>
        </is>
      </c>
      <c r="B112" t="inlineStr"/>
      <c r="C112" t="inlineStr">
        <is>
          <t>域動行銷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由合約追蹤匯入</t>
        </is>
      </c>
      <c r="K112" t="inlineStr">
        <is>
          <t>2026-05-18</t>
        </is>
      </c>
    </row>
    <row r="113">
      <c r="A113" t="inlineStr">
        <is>
          <t>cus_cbe6c661f6e9</t>
        </is>
      </c>
      <c r="B113" t="inlineStr"/>
      <c r="C113" t="inlineStr">
        <is>
          <t>TenMax 騰學廣告科技</t>
        </is>
      </c>
      <c r="D113" t="inlineStr"/>
      <c r="E113" t="inlineStr">
        <is>
          <t>Tom</t>
        </is>
      </c>
      <c r="F113" t="inlineStr"/>
      <c r="G113" t="inlineStr"/>
      <c r="H113" t="inlineStr"/>
      <c r="I113" t="inlineStr"/>
      <c r="J113" t="inlineStr">
        <is>
          <t>由合約追蹤匯入</t>
        </is>
      </c>
      <c r="K113" t="inlineStr">
        <is>
          <t>2026-05-18</t>
        </is>
      </c>
    </row>
    <row r="114">
      <c r="A114" t="inlineStr">
        <is>
          <t>cus_c3443063b0f2</t>
        </is>
      </c>
      <c r="B114" t="inlineStr"/>
      <c r="C114" t="inlineStr">
        <is>
          <t>Appier</t>
        </is>
      </c>
      <c r="D114" t="inlineStr"/>
      <c r="E114" t="inlineStr">
        <is>
          <t>Eddie</t>
        </is>
      </c>
      <c r="F114" t="inlineStr"/>
      <c r="G114" t="inlineStr">
        <is>
          <t>eddie.chen@appier.com</t>
        </is>
      </c>
      <c r="H114" t="inlineStr"/>
      <c r="I114" t="inlineStr"/>
      <c r="J114" t="inlineStr">
        <is>
          <t>由合約追蹤匯入</t>
        </is>
      </c>
      <c r="K114" t="inlineStr">
        <is>
          <t>2026-05-18</t>
        </is>
      </c>
    </row>
    <row r="115">
      <c r="A115" t="inlineStr">
        <is>
          <t>cus_eff602feafd3</t>
        </is>
      </c>
      <c r="B115" t="inlineStr"/>
      <c r="C115" t="inlineStr">
        <is>
          <t>富利</t>
        </is>
      </c>
      <c r="D115" t="inlineStr"/>
      <c r="E115" t="inlineStr">
        <is>
          <t>Eric</t>
        </is>
      </c>
      <c r="F115" t="inlineStr"/>
      <c r="G115" t="inlineStr">
        <is>
          <t>eric.shen@jrgtw.com</t>
        </is>
      </c>
      <c r="H115" t="inlineStr"/>
      <c r="I115" t="inlineStr"/>
      <c r="J115" t="inlineStr">
        <is>
          <t>由合約追蹤匯入</t>
        </is>
      </c>
      <c r="K115" t="inlineStr">
        <is>
          <t>2026-05-18</t>
        </is>
      </c>
    </row>
    <row r="116">
      <c r="A116" t="inlineStr">
        <is>
          <t>cus_25f8319a0072</t>
        </is>
      </c>
      <c r="B116" t="inlineStr"/>
      <c r="C116" t="inlineStr">
        <is>
          <t>中租</t>
        </is>
      </c>
      <c r="D116" t="inlineStr"/>
      <c r="E116" t="inlineStr">
        <is>
          <t>Tracy</t>
        </is>
      </c>
      <c r="F116" t="inlineStr"/>
      <c r="G116" t="inlineStr">
        <is>
          <t>TzuYingChen@chailease.com.tw</t>
        </is>
      </c>
      <c r="H116" t="inlineStr"/>
      <c r="I116" t="inlineStr"/>
      <c r="J116" t="inlineStr">
        <is>
          <t>由合約追蹤匯入</t>
        </is>
      </c>
      <c r="K116" t="inlineStr">
        <is>
          <t>2026-05-18</t>
        </is>
      </c>
    </row>
    <row r="117">
      <c r="A117" t="inlineStr">
        <is>
          <t>cus_c143925edf5f</t>
        </is>
      </c>
      <c r="B117" t="inlineStr"/>
      <c r="C117" t="inlineStr">
        <is>
          <t>電通</t>
        </is>
      </c>
      <c r="D117" t="inlineStr"/>
      <c r="E117" t="inlineStr">
        <is>
          <t>CY</t>
        </is>
      </c>
      <c r="F117" t="inlineStr"/>
      <c r="G117" t="inlineStr">
        <is>
          <t>cy.wang@dentsu.com</t>
        </is>
      </c>
      <c r="H117" t="inlineStr"/>
      <c r="I117" t="inlineStr"/>
      <c r="J117" t="inlineStr">
        <is>
          <t>由合約追蹤匯入</t>
        </is>
      </c>
      <c r="K117" t="inlineStr">
        <is>
          <t>2026-05-18</t>
        </is>
      </c>
    </row>
    <row r="118">
      <c r="A118" t="inlineStr">
        <is>
          <t>cus_306715f75996</t>
        </is>
      </c>
      <c r="B118" t="inlineStr"/>
      <c r="C118" t="inlineStr">
        <is>
          <t>益索普</t>
        </is>
      </c>
      <c r="D118" t="inlineStr"/>
      <c r="E118" t="inlineStr">
        <is>
          <t>Jimmy</t>
        </is>
      </c>
      <c r="F118" t="inlineStr"/>
      <c r="G118" t="inlineStr">
        <is>
          <t>Jimmy.Chiu@ipsos.com</t>
        </is>
      </c>
      <c r="H118" t="inlineStr"/>
      <c r="I118" t="inlineStr"/>
      <c r="J118" t="inlineStr">
        <is>
          <t>由合約追蹤匯入</t>
        </is>
      </c>
      <c r="K118" t="inlineStr">
        <is>
          <t>2026-05-18</t>
        </is>
      </c>
    </row>
    <row r="119">
      <c r="A119" t="inlineStr">
        <is>
          <t>cus_d357ad32e1d0</t>
        </is>
      </c>
      <c r="B119" t="inlineStr"/>
      <c r="C119" t="inlineStr">
        <is>
          <t>12CM</t>
        </is>
      </c>
      <c r="D119" t="inlineStr"/>
      <c r="E119" t="inlineStr">
        <is>
          <t>Paul</t>
        </is>
      </c>
      <c r="F119" t="inlineStr"/>
      <c r="G119" t="inlineStr">
        <is>
          <t>paulchen@12cm.com.tw</t>
        </is>
      </c>
      <c r="H119" t="inlineStr"/>
      <c r="I119" t="inlineStr"/>
      <c r="J119" t="inlineStr">
        <is>
          <t>由合約追蹤匯入</t>
        </is>
      </c>
      <c r="K119" t="inlineStr">
        <is>
          <t>2026-05-18</t>
        </is>
      </c>
    </row>
    <row r="120">
      <c r="A120" t="inlineStr">
        <is>
          <t>cus_ec6d21dd8807</t>
        </is>
      </c>
      <c r="B120" t="inlineStr"/>
      <c r="C120" t="inlineStr">
        <is>
          <t>OneAD</t>
        </is>
      </c>
      <c r="D120" t="inlineStr"/>
      <c r="E120" t="inlineStr">
        <is>
          <t>Lucy</t>
        </is>
      </c>
      <c r="F120" t="inlineStr"/>
      <c r="G120" t="inlineStr">
        <is>
          <t>lucychou@onead.com.tw</t>
        </is>
      </c>
      <c r="H120" t="inlineStr"/>
      <c r="I120" t="inlineStr"/>
      <c r="J120" t="inlineStr">
        <is>
          <t>由合約追蹤匯入</t>
        </is>
      </c>
      <c r="K120" t="inlineStr">
        <is>
          <t>2026-05-18</t>
        </is>
      </c>
    </row>
    <row r="121">
      <c r="A121" t="inlineStr">
        <is>
          <t>cus_014d156461a3</t>
        </is>
      </c>
      <c r="B121" t="inlineStr"/>
      <c r="C121" t="inlineStr">
        <is>
          <t>Leadup</t>
        </is>
      </c>
      <c r="D121" t="inlineStr"/>
      <c r="E121" t="inlineStr">
        <is>
          <t>Daphne</t>
        </is>
      </c>
      <c r="F121" t="inlineStr"/>
      <c r="G121" t="inlineStr">
        <is>
          <t>daphnek@leapup.com.tw</t>
        </is>
      </c>
      <c r="H121" t="inlineStr"/>
      <c r="I121" t="inlineStr"/>
      <c r="J121" t="inlineStr">
        <is>
          <t>由合約追蹤匯入</t>
        </is>
      </c>
      <c r="K121" t="inlineStr">
        <is>
          <t>2026-05-18</t>
        </is>
      </c>
    </row>
    <row r="122">
      <c r="A122" t="inlineStr">
        <is>
          <t>cus_65227a46d5d7</t>
        </is>
      </c>
      <c r="B122" t="inlineStr"/>
      <c r="C122" t="inlineStr">
        <is>
          <t>永恆跳動</t>
        </is>
      </c>
      <c r="D122" t="inlineStr"/>
      <c r="E122" t="inlineStr">
        <is>
          <t>Ken</t>
        </is>
      </c>
      <c r="F122" t="inlineStr"/>
      <c r="G122" t="inlineStr"/>
      <c r="H122" t="inlineStr"/>
      <c r="I122" t="inlineStr"/>
      <c r="J122" t="inlineStr">
        <is>
          <t>由合約追蹤匯入</t>
        </is>
      </c>
      <c r="K122" t="inlineStr">
        <is>
          <t>2026-05-18</t>
        </is>
      </c>
    </row>
    <row r="123">
      <c r="A123" t="inlineStr">
        <is>
          <t>cus_04975ec20996</t>
        </is>
      </c>
      <c r="B123" t="inlineStr"/>
      <c r="C123" t="inlineStr">
        <is>
          <t>Amiko</t>
        </is>
      </c>
      <c r="D123" t="inlineStr"/>
      <c r="E123" t="inlineStr">
        <is>
          <t>Allen</t>
        </is>
      </c>
      <c r="F123" t="inlineStr"/>
      <c r="G123" t="inlineStr">
        <is>
          <t>allen@amiko.net</t>
        </is>
      </c>
      <c r="H123" t="inlineStr"/>
      <c r="I123" t="inlineStr"/>
      <c r="J123" t="inlineStr">
        <is>
          <t>由合約追蹤匯入</t>
        </is>
      </c>
      <c r="K123" t="inlineStr">
        <is>
          <t>2026-05-18</t>
        </is>
      </c>
    </row>
    <row r="124">
      <c r="A124" t="inlineStr">
        <is>
          <t>cus_528b236173c9</t>
        </is>
      </c>
      <c r="B124" t="inlineStr"/>
      <c r="C124" t="inlineStr">
        <is>
          <t>關鍵評論</t>
        </is>
      </c>
      <c r="D124" t="inlineStr"/>
      <c r="E124" t="inlineStr">
        <is>
          <t>Kai</t>
        </is>
      </c>
      <c r="F124" t="inlineStr"/>
      <c r="G124" t="inlineStr">
        <is>
          <t>kai.chang@thenewslens.com</t>
        </is>
      </c>
      <c r="H124" t="inlineStr"/>
      <c r="I124" t="inlineStr"/>
      <c r="J124" t="inlineStr">
        <is>
          <t>由合約追蹤匯入</t>
        </is>
      </c>
      <c r="K124" t="inlineStr">
        <is>
          <t>2026-05-18</t>
        </is>
      </c>
    </row>
  </sheetData>
  <autoFilter ref="A1:K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7" customWidth="1" min="5" max="5"/>
    <col width="33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  <col width="15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bd</t>
        </is>
      </c>
      <c r="C1" s="1" t="inlineStr">
        <is>
          <t>salesType</t>
        </is>
      </c>
      <c r="D1" s="1" t="inlineStr">
        <is>
          <t>industry</t>
        </is>
      </c>
      <c r="E1" s="1" t="inlineStr">
        <is>
          <t>agency</t>
        </is>
      </c>
      <c r="F1" s="1" t="inlineStr">
        <is>
          <t>brandCustomer</t>
        </is>
      </c>
      <c r="G1" s="1" t="inlineStr">
        <is>
          <t>quoteDate</t>
        </is>
      </c>
      <c r="H1" s="1" t="inlineStr">
        <is>
          <t>quoteAmount</t>
        </is>
      </c>
      <c r="I1" s="1" t="inlineStr">
        <is>
          <t>dataFormat</t>
        </is>
      </c>
      <c r="J1" s="1" t="inlineStr">
        <is>
          <t>dataCount</t>
        </is>
      </c>
      <c r="K1" s="1" t="inlineStr">
        <is>
          <t>deliveryDate</t>
        </is>
      </c>
      <c r="L1" s="1" t="inlineStr">
        <is>
          <t>invoiceIssued</t>
        </is>
      </c>
      <c r="M1" s="1" t="inlineStr">
        <is>
          <t>notes</t>
        </is>
      </c>
      <c r="N1" s="1" t="inlineStr">
        <is>
          <t>updatedAt</t>
        </is>
      </c>
    </row>
    <row r="2">
      <c r="A2" t="inlineStr">
        <is>
          <t>ord_f9a99e8f997d</t>
        </is>
      </c>
      <c r="B2" t="inlineStr"/>
      <c r="C2" t="inlineStr">
        <is>
          <t>廣告受眾包</t>
        </is>
      </c>
      <c r="D2" t="inlineStr"/>
      <c r="E2" t="inlineStr">
        <is>
          <t>TenMax</t>
        </is>
      </c>
      <c r="F2" t="inlineStr">
        <is>
          <t>美心月餅</t>
        </is>
      </c>
      <c r="G2" t="inlineStr">
        <is>
          <t>2023-07-26</t>
        </is>
      </c>
      <c r="H2" t="n">
        <v>7080</v>
      </c>
      <c r="I2" t="inlineStr">
        <is>
          <t>ADID</t>
        </is>
      </c>
      <c r="J2" t="n">
        <v>141600</v>
      </c>
      <c r="K2" t="inlineStr">
        <is>
          <t>2023-08-07</t>
        </is>
      </c>
      <c r="L2" t="inlineStr">
        <is>
          <t>否</t>
        </is>
      </c>
      <c r="M2" t="inlineStr">
        <is>
          <t>專案名稱：美心月餅_TenMax_202307
訂單編號：PB2300386
來源：委刊單(Order) 第 2 列</t>
        </is>
      </c>
      <c r="N2" t="inlineStr">
        <is>
          <t>2026-05-18</t>
        </is>
      </c>
    </row>
    <row r="3">
      <c r="A3" t="inlineStr">
        <is>
          <t>ord_6fe2c8cc1e7f</t>
        </is>
      </c>
      <c r="B3" t="inlineStr"/>
      <c r="C3" t="inlineStr">
        <is>
          <t>廣告受眾包</t>
        </is>
      </c>
      <c r="D3" t="inlineStr"/>
      <c r="E3" t="inlineStr">
        <is>
          <t>TenMax</t>
        </is>
      </c>
      <c r="F3" t="inlineStr">
        <is>
          <t>全聯</t>
        </is>
      </c>
      <c r="G3" t="inlineStr">
        <is>
          <t>2023-08-02</t>
        </is>
      </c>
      <c r="H3" t="n">
        <v>3900</v>
      </c>
      <c r="I3" t="inlineStr">
        <is>
          <t>ADID</t>
        </is>
      </c>
      <c r="J3" t="n">
        <v>78000</v>
      </c>
      <c r="K3" t="inlineStr">
        <is>
          <t>2023-08-07</t>
        </is>
      </c>
      <c r="L3" t="inlineStr">
        <is>
          <t>否</t>
        </is>
      </c>
      <c r="M3" t="inlineStr">
        <is>
          <t>專案名稱：全聯PXGo小時達_好好吃好好用服務上線
訂單編號：PB2300395
來源：委刊單(Order) 第 3 列</t>
        </is>
      </c>
      <c r="N3" t="inlineStr">
        <is>
          <t>2026-05-18</t>
        </is>
      </c>
    </row>
    <row r="4">
      <c r="A4" t="inlineStr">
        <is>
          <t>ord_02ab19002d38</t>
        </is>
      </c>
      <c r="B4" t="inlineStr"/>
      <c r="C4" t="inlineStr">
        <is>
          <t>廣告受眾包</t>
        </is>
      </c>
      <c r="D4" t="inlineStr"/>
      <c r="E4" t="inlineStr">
        <is>
          <t>TenMax</t>
        </is>
      </c>
      <c r="F4" t="inlineStr">
        <is>
          <t>UNI Water</t>
        </is>
      </c>
      <c r="G4" t="inlineStr">
        <is>
          <t>2023-08-02</t>
        </is>
      </c>
      <c r="H4" t="n">
        <v>9900</v>
      </c>
      <c r="I4" t="inlineStr">
        <is>
          <t>ADID</t>
        </is>
      </c>
      <c r="J4" t="n">
        <v>198000</v>
      </c>
      <c r="K4" t="inlineStr">
        <is>
          <t>2023-08-07</t>
        </is>
      </c>
      <c r="L4" t="inlineStr">
        <is>
          <t>否</t>
        </is>
      </c>
      <c r="M4" t="inlineStr">
        <is>
          <t>專案名稱：UNI Water_TenMax_202308
訂單編號：PB2300358
來源：委刊單(Order) 第 4 列</t>
        </is>
      </c>
      <c r="N4" t="inlineStr">
        <is>
          <t>2026-05-18</t>
        </is>
      </c>
    </row>
    <row r="5">
      <c r="A5" t="inlineStr">
        <is>
          <t>ord_29daa5d887ec</t>
        </is>
      </c>
      <c r="B5" t="inlineStr"/>
      <c r="C5" t="inlineStr">
        <is>
          <t>廣告受眾包</t>
        </is>
      </c>
      <c r="D5" t="inlineStr"/>
      <c r="E5" t="inlineStr">
        <is>
          <t>TenMax</t>
        </is>
      </c>
      <c r="F5" t="inlineStr">
        <is>
          <t>加利利</t>
        </is>
      </c>
      <c r="G5" t="inlineStr">
        <is>
          <t>2023-08-21</t>
        </is>
      </c>
      <c r="H5" t="n">
        <v>3300</v>
      </c>
      <c r="I5" t="inlineStr">
        <is>
          <t>ADID</t>
        </is>
      </c>
      <c r="J5" t="n">
        <v>66000</v>
      </c>
      <c r="K5" t="inlineStr">
        <is>
          <t>2023-08-23</t>
        </is>
      </c>
      <c r="L5" t="inlineStr">
        <is>
          <t>否</t>
        </is>
      </c>
      <c r="M5" t="inlineStr">
        <is>
          <t>專案名稱：加利利_行動置底_轉盤三圖
訂單編號：PB2300446
來源：委刊單(Order) 第 5 列</t>
        </is>
      </c>
      <c r="N5" t="inlineStr">
        <is>
          <t>2026-05-18</t>
        </is>
      </c>
    </row>
    <row r="6">
      <c r="A6" t="inlineStr">
        <is>
          <t>ord_5531619ad29f</t>
        </is>
      </c>
      <c r="B6" t="inlineStr"/>
      <c r="C6" t="inlineStr">
        <is>
          <t>廣告受眾包</t>
        </is>
      </c>
      <c r="D6" t="inlineStr"/>
      <c r="E6" t="inlineStr">
        <is>
          <t>TenMax</t>
        </is>
      </c>
      <c r="F6" t="inlineStr">
        <is>
          <t>站前美力時尚診所</t>
        </is>
      </c>
      <c r="G6" t="inlineStr">
        <is>
          <t>2023-08-30</t>
        </is>
      </c>
      <c r="H6" t="n">
        <v>720</v>
      </c>
      <c r="I6" t="inlineStr">
        <is>
          <t>ADID</t>
        </is>
      </c>
      <c r="J6" t="n">
        <v>14400</v>
      </c>
      <c r="K6" t="inlineStr">
        <is>
          <t>2023-09-12</t>
        </is>
      </c>
      <c r="L6" t="inlineStr">
        <is>
          <t>否</t>
        </is>
      </c>
      <c r="M6" t="inlineStr">
        <is>
          <t>專案名稱：站前美力時尚診所_TenMax Native Ads
訂單編號：PB2300441
來源：委刊單(Order) 第 6 列</t>
        </is>
      </c>
      <c r="N6" t="inlineStr">
        <is>
          <t>2026-05-18</t>
        </is>
      </c>
    </row>
    <row r="7">
      <c r="A7" t="inlineStr">
        <is>
          <t>ord_2c29373e038c</t>
        </is>
      </c>
      <c r="B7" t="inlineStr"/>
      <c r="C7" t="inlineStr">
        <is>
          <t>廣告受眾包</t>
        </is>
      </c>
      <c r="D7" t="inlineStr"/>
      <c r="E7" t="inlineStr">
        <is>
          <t>TenMax</t>
        </is>
      </c>
      <c r="F7" t="inlineStr">
        <is>
          <t>立新美學診所</t>
        </is>
      </c>
      <c r="G7" t="inlineStr">
        <is>
          <t>2023-09-01</t>
        </is>
      </c>
      <c r="H7" t="n">
        <v>900</v>
      </c>
      <c r="I7" t="inlineStr">
        <is>
          <t>ADID</t>
        </is>
      </c>
      <c r="J7" t="n">
        <v>9000</v>
      </c>
      <c r="K7" t="inlineStr">
        <is>
          <t>2023-09-04</t>
        </is>
      </c>
      <c r="L7" t="inlineStr">
        <is>
          <t>否</t>
        </is>
      </c>
      <c r="M7" t="inlineStr">
        <is>
          <t>專案名稱：立新美學診所_TenMax Native Ads
訂單編號：PB2300456
來源：委刊單(Order) 第 7 列</t>
        </is>
      </c>
      <c r="N7" t="inlineStr">
        <is>
          <t>2026-05-18</t>
        </is>
      </c>
    </row>
    <row r="8">
      <c r="A8" t="inlineStr">
        <is>
          <t>ord_a97fd73053ca</t>
        </is>
      </c>
      <c r="B8" t="inlineStr"/>
      <c r="C8" t="inlineStr">
        <is>
          <t>廣告受眾包</t>
        </is>
      </c>
      <c r="D8" t="inlineStr"/>
      <c r="E8" t="inlineStr">
        <is>
          <t>TenMax</t>
        </is>
      </c>
      <c r="F8" t="inlineStr">
        <is>
          <t>台灣菸酒</t>
        </is>
      </c>
      <c r="G8" t="inlineStr">
        <is>
          <t>2023-09-11</t>
        </is>
      </c>
      <c r="H8" t="n">
        <v>2850</v>
      </c>
      <c r="I8" t="inlineStr">
        <is>
          <t>ADID</t>
        </is>
      </c>
      <c r="J8" t="n">
        <v>66000</v>
      </c>
      <c r="K8" t="inlineStr">
        <is>
          <t>2023-09-13</t>
        </is>
      </c>
      <c r="L8" t="inlineStr">
        <is>
          <t>否</t>
        </is>
      </c>
      <c r="M8" t="inlineStr">
        <is>
          <t>專案名稱：【台灣菸酒】生技產品_TenMax 原生廣告
訂單編號：PB2300484
來源：委刊單(Order) 第 8 列</t>
        </is>
      </c>
      <c r="N8" t="inlineStr">
        <is>
          <t>2026-05-18</t>
        </is>
      </c>
    </row>
    <row r="9">
      <c r="A9" t="inlineStr">
        <is>
          <t>ord_cff2195f988f</t>
        </is>
      </c>
      <c r="B9" t="inlineStr"/>
      <c r="C9" t="inlineStr">
        <is>
          <t>廣告受眾包</t>
        </is>
      </c>
      <c r="D9" t="inlineStr"/>
      <c r="E9" t="inlineStr">
        <is>
          <t>TenMax</t>
        </is>
      </c>
      <c r="F9" t="inlineStr">
        <is>
          <t>台灣大哥大Geforce Now</t>
        </is>
      </c>
      <c r="G9" t="inlineStr">
        <is>
          <t>2023-09-14</t>
        </is>
      </c>
      <c r="H9" t="n">
        <v>11185</v>
      </c>
      <c r="I9" t="inlineStr">
        <is>
          <t>ADID</t>
        </is>
      </c>
      <c r="J9" t="n">
        <v>223700</v>
      </c>
      <c r="K9" t="inlineStr">
        <is>
          <t>2023-09-20</t>
        </is>
      </c>
      <c r="L9" t="inlineStr">
        <is>
          <t>否</t>
        </is>
      </c>
      <c r="M9" t="inlineStr">
        <is>
          <t>專案名稱：台灣大哥大Geforce Now
訂單編號：PB2300485
來源：委刊單(Order) 第 9 列</t>
        </is>
      </c>
      <c r="N9" t="inlineStr">
        <is>
          <t>2026-05-18</t>
        </is>
      </c>
    </row>
    <row r="10">
      <c r="A10" t="inlineStr">
        <is>
          <t>ord_1d7de5efc020</t>
        </is>
      </c>
      <c r="B10" t="inlineStr"/>
      <c r="C10" t="inlineStr">
        <is>
          <t>廣告受眾包</t>
        </is>
      </c>
      <c r="D10" t="inlineStr"/>
      <c r="E10" t="inlineStr">
        <is>
          <t>TenMax</t>
        </is>
      </c>
      <c r="F10" t="inlineStr">
        <is>
          <t>VW_The Tiguan High-end Campaign</t>
        </is>
      </c>
      <c r="G10" t="inlineStr">
        <is>
          <t>2023-09-15</t>
        </is>
      </c>
      <c r="H10" t="n">
        <v>26600</v>
      </c>
      <c r="I10" t="inlineStr">
        <is>
          <t>ADID</t>
        </is>
      </c>
      <c r="J10" t="n">
        <v>532000</v>
      </c>
      <c r="K10" t="inlineStr">
        <is>
          <t>2023-09-20</t>
        </is>
      </c>
      <c r="L10" t="inlineStr">
        <is>
          <t>否</t>
        </is>
      </c>
      <c r="M10" t="inlineStr">
        <is>
          <t>專案名稱：VW_The Tiguan High-end Campaign
訂單編號：PA2306852
來源：委刊單(Order) 第 10 列</t>
        </is>
      </c>
      <c r="N10" t="inlineStr">
        <is>
          <t>2026-05-18</t>
        </is>
      </c>
    </row>
    <row r="11">
      <c r="A11" t="inlineStr">
        <is>
          <t>ord_545ff0973ba1</t>
        </is>
      </c>
      <c r="B11" t="inlineStr"/>
      <c r="C11" t="inlineStr">
        <is>
          <t>廣告受眾包</t>
        </is>
      </c>
      <c r="D11" t="inlineStr"/>
      <c r="E11" t="inlineStr">
        <is>
          <t>TenMax</t>
        </is>
      </c>
      <c r="F11" t="inlineStr">
        <is>
          <t>諾得生技</t>
        </is>
      </c>
      <c r="G11" t="inlineStr">
        <is>
          <t>2023-09-21</t>
        </is>
      </c>
      <c r="H11" t="n">
        <v>9900</v>
      </c>
      <c r="I11" t="inlineStr">
        <is>
          <t>ADID</t>
        </is>
      </c>
      <c r="J11" t="n">
        <v>198000</v>
      </c>
      <c r="K11" t="inlineStr">
        <is>
          <t>2023-09-22</t>
        </is>
      </c>
      <c r="L11" t="inlineStr">
        <is>
          <t>否</t>
        </is>
      </c>
      <c r="M11" t="inlineStr">
        <is>
          <t>專案名稱：諾得生技_清體素OCARB液態軟膠囊_TenMax
訂單編號：PB2300511
來源：委刊單(Order) 第 11 列</t>
        </is>
      </c>
      <c r="N11" t="inlineStr">
        <is>
          <t>2026-05-18</t>
        </is>
      </c>
    </row>
    <row r="12">
      <c r="A12" t="inlineStr">
        <is>
          <t>ord_cd85852c3914</t>
        </is>
      </c>
      <c r="B12" t="inlineStr"/>
      <c r="C12" t="inlineStr">
        <is>
          <t>廣告受眾包</t>
        </is>
      </c>
      <c r="D12" t="inlineStr"/>
      <c r="E12" t="inlineStr">
        <is>
          <t>Appier</t>
        </is>
      </c>
      <c r="F12" t="inlineStr">
        <is>
          <t>哈根達斯</t>
        </is>
      </c>
      <c r="G12" t="inlineStr">
        <is>
          <t>2023-09-21</t>
        </is>
      </c>
      <c r="H12" t="n">
        <v>20000</v>
      </c>
      <c r="I12" t="inlineStr">
        <is>
          <t>ADID</t>
        </is>
      </c>
      <c r="J12" t="n">
        <v>20000</v>
      </c>
      <c r="K12" t="inlineStr">
        <is>
          <t>2023-09-22</t>
        </is>
      </c>
      <c r="L12" t="inlineStr">
        <is>
          <t>否</t>
        </is>
      </c>
      <c r="M12" t="inlineStr">
        <is>
          <t>百貨通路高消費族群
來源：委刊單(Order) 第 12 列</t>
        </is>
      </c>
      <c r="N12" t="inlineStr">
        <is>
          <t>2026-05-18</t>
        </is>
      </c>
    </row>
    <row r="13">
      <c r="A13" t="inlineStr">
        <is>
          <t>ord_09bf4924c81d</t>
        </is>
      </c>
      <c r="B13" t="inlineStr"/>
      <c r="C13" t="inlineStr">
        <is>
          <t>廣告受眾包</t>
        </is>
      </c>
      <c r="D13" t="inlineStr"/>
      <c r="E13" t="inlineStr">
        <is>
          <t>Appier</t>
        </is>
      </c>
      <c r="F13" t="inlineStr"/>
      <c r="G13" t="inlineStr">
        <is>
          <t>2023-09-25</t>
        </is>
      </c>
      <c r="H13" t="n">
        <v>20000</v>
      </c>
      <c r="I13" t="inlineStr">
        <is>
          <t>ADID</t>
        </is>
      </c>
      <c r="J13" t="n">
        <v>20000</v>
      </c>
      <c r="K13" t="inlineStr">
        <is>
          <t>2023-09-25</t>
        </is>
      </c>
      <c r="L13" t="inlineStr">
        <is>
          <t>否</t>
        </is>
      </c>
      <c r="M13" t="inlineStr">
        <is>
          <t>90天內購買高粱酒、威士忌的用戶(排除星巴克)
來源：委刊單(Order) 第 13 列</t>
        </is>
      </c>
      <c r="N13" t="inlineStr">
        <is>
          <t>2026-05-18</t>
        </is>
      </c>
    </row>
    <row r="14">
      <c r="A14" t="inlineStr">
        <is>
          <t>ord_92d4f2fd404d</t>
        </is>
      </c>
      <c r="B14" t="inlineStr"/>
      <c r="C14" t="inlineStr">
        <is>
          <t>廣告受眾包</t>
        </is>
      </c>
      <c r="D14" t="inlineStr"/>
      <c r="E14" t="inlineStr">
        <is>
          <t>Appier</t>
        </is>
      </c>
      <c r="F14" t="inlineStr"/>
      <c r="G14" t="inlineStr">
        <is>
          <t>2023-09-25</t>
        </is>
      </c>
      <c r="H14" t="n">
        <v>20000</v>
      </c>
      <c r="I14" t="inlineStr">
        <is>
          <t>ADID</t>
        </is>
      </c>
      <c r="J14" t="n">
        <v>20000</v>
      </c>
      <c r="K14" t="inlineStr">
        <is>
          <t>2023-09-25</t>
        </is>
      </c>
      <c r="L14" t="inlineStr">
        <is>
          <t>否</t>
        </is>
      </c>
      <c r="M14" t="inlineStr">
        <is>
          <t>90天內購買哈根達斯競品：請撈冰品類別, 再從裡面將哈根達斯排除
來源：委刊單(Order) 第 14 列</t>
        </is>
      </c>
      <c r="N14" t="inlineStr">
        <is>
          <t>2026-05-18</t>
        </is>
      </c>
    </row>
    <row r="15">
      <c r="A15" t="inlineStr">
        <is>
          <t>ord_7003e5fb53ac</t>
        </is>
      </c>
      <c r="B15" t="inlineStr"/>
      <c r="C15" t="inlineStr">
        <is>
          <t>廣告受眾包</t>
        </is>
      </c>
      <c r="D15" t="inlineStr"/>
      <c r="E15" t="inlineStr">
        <is>
          <t>TenMax</t>
        </is>
      </c>
      <c r="F15" t="inlineStr">
        <is>
          <t>VW_The Tiguan High-end Campaign</t>
        </is>
      </c>
      <c r="G15" t="inlineStr">
        <is>
          <t>2023-10-03</t>
        </is>
      </c>
      <c r="H15" t="n">
        <v>400</v>
      </c>
      <c r="I15" t="inlineStr">
        <is>
          <t>ADID</t>
        </is>
      </c>
      <c r="J15" t="n">
        <v>8000</v>
      </c>
      <c r="K15" t="inlineStr">
        <is>
          <t>2023-10-06</t>
        </is>
      </c>
      <c r="L15" t="inlineStr">
        <is>
          <t>否</t>
        </is>
      </c>
      <c r="M15" t="inlineStr">
        <is>
          <t>專案名稱：VW_The Tiguan High-end Campaign
訂單編號：PA2306852
來源：委刊單(Order) 第 15 列</t>
        </is>
      </c>
      <c r="N15" t="inlineStr">
        <is>
          <t>2026-05-18</t>
        </is>
      </c>
    </row>
    <row r="16">
      <c r="A16" t="inlineStr">
        <is>
          <t>ord_0a50695cc1b4</t>
        </is>
      </c>
      <c r="B16" t="inlineStr"/>
      <c r="C16" t="inlineStr">
        <is>
          <t>廣告受眾包</t>
        </is>
      </c>
      <c r="D16" t="inlineStr"/>
      <c r="E16" t="inlineStr">
        <is>
          <t>Appier</t>
        </is>
      </c>
      <c r="F16" t="inlineStr"/>
      <c r="G16" t="inlineStr">
        <is>
          <t>2023-10-13</t>
        </is>
      </c>
      <c r="H16" t="n">
        <v>7850</v>
      </c>
      <c r="I16" t="inlineStr">
        <is>
          <t>ADID</t>
        </is>
      </c>
      <c r="J16" t="n">
        <v>7850</v>
      </c>
      <c r="K16" t="inlineStr">
        <is>
          <t>2023-10-16</t>
        </is>
      </c>
      <c r="L16" t="inlineStr">
        <is>
          <t>否</t>
        </is>
      </c>
      <c r="M16" t="inlineStr">
        <is>
          <t>120天內購買指定保健食品用戶
來源：委刊單(Order) 第 16 列</t>
        </is>
      </c>
      <c r="N16" t="inlineStr">
        <is>
          <t>2026-05-18</t>
        </is>
      </c>
    </row>
    <row r="17">
      <c r="A17" t="inlineStr">
        <is>
          <t>ord_90110c6c88b1</t>
        </is>
      </c>
      <c r="B17" t="inlineStr"/>
      <c r="C17" t="inlineStr">
        <is>
          <t>廣告受眾包</t>
        </is>
      </c>
      <c r="D17" t="inlineStr"/>
      <c r="E17" t="inlineStr">
        <is>
          <t>Appier</t>
        </is>
      </c>
      <c r="F17" t="inlineStr"/>
      <c r="G17" t="inlineStr">
        <is>
          <t>2023-10-16</t>
        </is>
      </c>
      <c r="H17" t="n">
        <v>20000</v>
      </c>
      <c r="I17" t="inlineStr">
        <is>
          <t>ADID</t>
        </is>
      </c>
      <c r="J17" t="n">
        <v>20000</v>
      </c>
      <c r="K17" t="inlineStr">
        <is>
          <t>2023-10-16</t>
        </is>
      </c>
      <c r="L17" t="inlineStr">
        <is>
          <t>否</t>
        </is>
      </c>
      <c r="M17" t="inlineStr">
        <is>
          <t>90天內有訂閱Youtube Premium
來源：委刊單(Order) 第 17 列</t>
        </is>
      </c>
      <c r="N17" t="inlineStr">
        <is>
          <t>2026-05-18</t>
        </is>
      </c>
    </row>
    <row r="18">
      <c r="A18" t="inlineStr">
        <is>
          <t>ord_f35efe60ffd9</t>
        </is>
      </c>
      <c r="B18" t="inlineStr"/>
      <c r="C18" t="inlineStr">
        <is>
          <t>廣告受眾包</t>
        </is>
      </c>
      <c r="D18" t="inlineStr"/>
      <c r="E18" t="inlineStr">
        <is>
          <t>直客</t>
        </is>
      </c>
      <c r="F18" t="inlineStr">
        <is>
          <t>中租</t>
        </is>
      </c>
      <c r="G18" t="inlineStr">
        <is>
          <t>2023-10-13</t>
        </is>
      </c>
      <c r="H18" t="n">
        <v>20000</v>
      </c>
      <c r="I18" t="inlineStr">
        <is>
          <t>ADID</t>
        </is>
      </c>
      <c r="J18" t="n">
        <v>112904</v>
      </c>
      <c r="K18" t="inlineStr">
        <is>
          <t>2023-10-16</t>
        </is>
      </c>
      <c r="L18" t="inlineStr">
        <is>
          <t>否</t>
        </is>
      </c>
      <c r="M18" t="inlineStr">
        <is>
          <t>汽車每次加油1000以上2000以下
汽車的改裝品項（如加裝尾翼、換排氣管）
來源：委刊單(Order) 第 18 列</t>
        </is>
      </c>
      <c r="N18" t="inlineStr">
        <is>
          <t>2026-05-18</t>
        </is>
      </c>
    </row>
    <row r="19">
      <c r="A19" t="inlineStr">
        <is>
          <t>ord_7d42e6386e5d</t>
        </is>
      </c>
      <c r="B19" t="inlineStr"/>
      <c r="C19" t="inlineStr">
        <is>
          <t>廣告受眾包</t>
        </is>
      </c>
      <c r="D19" t="inlineStr"/>
      <c r="E19" t="inlineStr">
        <is>
          <t>TenMax</t>
        </is>
      </c>
      <c r="F19" t="inlineStr">
        <is>
          <t>國泰產險</t>
        </is>
      </c>
      <c r="G19" t="inlineStr">
        <is>
          <t>2023-10-20</t>
        </is>
      </c>
      <c r="H19" t="n">
        <v>960</v>
      </c>
      <c r="I19" t="inlineStr">
        <is>
          <t>ADID</t>
        </is>
      </c>
      <c r="J19" t="n">
        <v>19200</v>
      </c>
      <c r="K19" t="inlineStr">
        <is>
          <t>2023-10-24</t>
        </is>
      </c>
      <c r="L19" t="inlineStr">
        <is>
          <t>否</t>
        </is>
      </c>
      <c r="M19" t="inlineStr">
        <is>
          <t>專案名稱：國泰產險
訂單編號：PB2300607
來源：委刊單(Order) 第 19 列</t>
        </is>
      </c>
      <c r="N19" t="inlineStr">
        <is>
          <t>2026-05-18</t>
        </is>
      </c>
    </row>
    <row r="20">
      <c r="A20" t="inlineStr">
        <is>
          <t>ord_a131be62be1a</t>
        </is>
      </c>
      <c r="B20" t="inlineStr"/>
      <c r="C20" t="inlineStr">
        <is>
          <t>廣告受眾包</t>
        </is>
      </c>
      <c r="D20" t="inlineStr"/>
      <c r="E20" t="inlineStr">
        <is>
          <t>Appier</t>
        </is>
      </c>
      <c r="F20" t="inlineStr"/>
      <c r="G20" t="inlineStr">
        <is>
          <t>2023-10-24</t>
        </is>
      </c>
      <c r="H20" t="n">
        <v>20000</v>
      </c>
      <c r="I20" t="inlineStr">
        <is>
          <t>ADID</t>
        </is>
      </c>
      <c r="J20" t="n">
        <v>20000</v>
      </c>
      <c r="K20" t="inlineStr">
        <is>
          <t>2023-10-26</t>
        </is>
      </c>
      <c r="L20" t="inlineStr">
        <is>
          <t>否</t>
        </is>
      </c>
      <c r="M20" t="inlineStr">
        <is>
          <t>尿布/嬰兒奶粉 - 90 天
來源：委刊單(Order) 第 20 列</t>
        </is>
      </c>
      <c r="N20" t="inlineStr">
        <is>
          <t>2026-05-18</t>
        </is>
      </c>
    </row>
    <row r="21">
      <c r="A21" t="inlineStr">
        <is>
          <t>ord_2c1f3f419d0a</t>
        </is>
      </c>
      <c r="B21" t="inlineStr"/>
      <c r="C21" t="inlineStr">
        <is>
          <t>廣告受眾包</t>
        </is>
      </c>
      <c r="D21" t="inlineStr"/>
      <c r="E21" t="inlineStr">
        <is>
          <t>Appier</t>
        </is>
      </c>
      <c r="F21" t="inlineStr"/>
      <c r="G21" t="inlineStr">
        <is>
          <t>2023-10-27</t>
        </is>
      </c>
      <c r="H21" t="n">
        <v>10000</v>
      </c>
      <c r="I21" t="inlineStr">
        <is>
          <t>ADID</t>
        </is>
      </c>
      <c r="J21" t="n">
        <v>10000</v>
      </c>
      <c r="K21" t="inlineStr">
        <is>
          <t>2023-10-30</t>
        </is>
      </c>
      <c r="L21" t="inlineStr">
        <is>
          <t>否</t>
        </is>
      </c>
      <c r="M21" t="inlineStr">
        <is>
          <t>雞精 -白蘭氏/老協珍/桂格/娘家 - 近3個月
來源：委刊單(Order) 第 21 列</t>
        </is>
      </c>
      <c r="N21" t="inlineStr">
        <is>
          <t>2026-05-18</t>
        </is>
      </c>
    </row>
    <row r="22">
      <c r="A22" t="inlineStr">
        <is>
          <t>ord_d1f0ecd070e8</t>
        </is>
      </c>
      <c r="B22" t="inlineStr"/>
      <c r="C22" t="inlineStr">
        <is>
          <t>廣告受眾包</t>
        </is>
      </c>
      <c r="D22" t="inlineStr"/>
      <c r="E22" t="inlineStr">
        <is>
          <t>Appier</t>
        </is>
      </c>
      <c r="F22" t="inlineStr"/>
      <c r="G22" t="inlineStr">
        <is>
          <t>2023-10-30</t>
        </is>
      </c>
      <c r="H22" t="n">
        <v>15000</v>
      </c>
      <c r="I22" t="inlineStr">
        <is>
          <t>ADID</t>
        </is>
      </c>
      <c r="J22" t="n">
        <v>15000</v>
      </c>
      <c r="K22" t="inlineStr">
        <is>
          <t>2023-10-30</t>
        </is>
      </c>
      <c r="L22" t="inlineStr">
        <is>
          <t>否</t>
        </is>
      </c>
      <c r="M22" t="inlineStr">
        <is>
          <t>120天 - 有芝麻明E的關鍵字的還有以下產品所有聯集
來源：委刊單(Order) 第 22 列</t>
        </is>
      </c>
      <c r="N22" t="inlineStr">
        <is>
          <t>2026-05-18</t>
        </is>
      </c>
    </row>
    <row r="23">
      <c r="A23" t="inlineStr">
        <is>
          <t>ord_5204d163ea00</t>
        </is>
      </c>
      <c r="B23" t="inlineStr"/>
      <c r="C23" t="inlineStr">
        <is>
          <t>廣告受眾包</t>
        </is>
      </c>
      <c r="D23" t="inlineStr"/>
      <c r="E23" t="inlineStr">
        <is>
          <t>TenMax</t>
        </is>
      </c>
      <c r="F23" t="inlineStr">
        <is>
          <t>現代汽車</t>
        </is>
      </c>
      <c r="G23" t="inlineStr">
        <is>
          <t>2023-11-02</t>
        </is>
      </c>
      <c r="H23" t="n">
        <v>4750</v>
      </c>
      <c r="I23" t="inlineStr">
        <is>
          <t>ADID</t>
        </is>
      </c>
      <c r="J23" t="n">
        <v>47500</v>
      </c>
      <c r="K23" t="inlineStr">
        <is>
          <t>2023-11-03</t>
        </is>
      </c>
      <c r="L23" t="inlineStr">
        <is>
          <t>否</t>
        </is>
      </c>
      <c r="M23" t="inlineStr">
        <is>
          <t>專案名稱：TenMax Native_現代汽車
訂單編號：PA2309147
來源：委刊單(Order) 第 23 列</t>
        </is>
      </c>
      <c r="N23" t="inlineStr">
        <is>
          <t>2026-05-18</t>
        </is>
      </c>
    </row>
    <row r="24">
      <c r="A24" t="inlineStr">
        <is>
          <t>ord_1c7a4687019a</t>
        </is>
      </c>
      <c r="B24" t="inlineStr"/>
      <c r="C24" t="inlineStr">
        <is>
          <t>廣告受眾包</t>
        </is>
      </c>
      <c r="D24" t="inlineStr"/>
      <c r="E24" t="inlineStr">
        <is>
          <t>TenMax</t>
        </is>
      </c>
      <c r="F24" t="inlineStr">
        <is>
          <t>米蘭診所</t>
        </is>
      </c>
      <c r="G24" t="inlineStr">
        <is>
          <t>2023-11-08</t>
        </is>
      </c>
      <c r="H24" t="n">
        <v>1350</v>
      </c>
      <c r="I24" t="inlineStr">
        <is>
          <t>ADID</t>
        </is>
      </c>
      <c r="J24" t="n">
        <v>47500</v>
      </c>
      <c r="K24" t="inlineStr">
        <is>
          <t>2023-11-09</t>
        </is>
      </c>
      <c r="L24" t="inlineStr">
        <is>
          <t>否</t>
        </is>
      </c>
      <c r="M24" t="inlineStr">
        <is>
          <t>專案名稱：2023 [米蘭][TenMax][1101-1130]
訂單編號：202311012000240
來源：委刊單(Order) 第 24 列</t>
        </is>
      </c>
      <c r="N24" t="inlineStr">
        <is>
          <t>2026-05-18</t>
        </is>
      </c>
    </row>
    <row r="25">
      <c r="A25" t="inlineStr">
        <is>
          <t>ord_5c130ca0574d</t>
        </is>
      </c>
      <c r="B25" t="inlineStr"/>
      <c r="C25" t="inlineStr">
        <is>
          <t>廣告受眾包</t>
        </is>
      </c>
      <c r="D25" t="inlineStr"/>
      <c r="E25" t="inlineStr">
        <is>
          <t>TenMax</t>
        </is>
      </c>
      <c r="F25" t="inlineStr">
        <is>
          <t>VW_The Tiguan High-end Campaign</t>
        </is>
      </c>
      <c r="G25" t="inlineStr">
        <is>
          <t>2023-10-11</t>
        </is>
      </c>
      <c r="H25" t="n">
        <v>800</v>
      </c>
      <c r="I25" t="inlineStr">
        <is>
          <t>ADID</t>
        </is>
      </c>
      <c r="J25" t="n">
        <v>16000</v>
      </c>
      <c r="K25" t="inlineStr">
        <is>
          <t>2023-10-11</t>
        </is>
      </c>
      <c r="L25" t="inlineStr">
        <is>
          <t>否</t>
        </is>
      </c>
      <c r="M25" t="inlineStr">
        <is>
          <t>專案名稱：VW_The Tiguan High-end Campaign
訂單編號：PA2306852
來源：委刊單(Order) 第 25 列</t>
        </is>
      </c>
      <c r="N25" t="inlineStr">
        <is>
          <t>2026-05-18</t>
        </is>
      </c>
    </row>
    <row r="26">
      <c r="A26" t="inlineStr">
        <is>
          <t>ord_b8d3f0735ac4</t>
        </is>
      </c>
      <c r="B26" t="inlineStr"/>
      <c r="C26" t="inlineStr">
        <is>
          <t>廣告受眾包</t>
        </is>
      </c>
      <c r="D26" t="inlineStr"/>
      <c r="E26" t="inlineStr">
        <is>
          <t>TenMax</t>
        </is>
      </c>
      <c r="F26" t="inlineStr">
        <is>
          <t>寶島眼鏡</t>
        </is>
      </c>
      <c r="G26" t="inlineStr">
        <is>
          <t>2023-11-10</t>
        </is>
      </c>
      <c r="H26" t="n">
        <v>3000</v>
      </c>
      <c r="I26" t="inlineStr">
        <is>
          <t>ADID</t>
        </is>
      </c>
      <c r="J26" t="n">
        <v>60000</v>
      </c>
      <c r="K26" t="inlineStr">
        <is>
          <t>2023-11-14</t>
        </is>
      </c>
      <c r="L26" t="inlineStr">
        <is>
          <t>否</t>
        </is>
      </c>
      <c r="M26" t="inlineStr">
        <is>
          <t>專案名稱：寶島眼鏡
訂單編號：PB2300638
來源：委刊單(Order) 第 26 列</t>
        </is>
      </c>
      <c r="N26" t="inlineStr">
        <is>
          <t>2026-05-18</t>
        </is>
      </c>
    </row>
    <row r="27">
      <c r="A27" t="inlineStr">
        <is>
          <t>ord_16c4514154ab</t>
        </is>
      </c>
      <c r="B27" t="inlineStr"/>
      <c r="C27" t="inlineStr">
        <is>
          <t>廣告受眾包</t>
        </is>
      </c>
      <c r="D27" t="inlineStr"/>
      <c r="E27" t="inlineStr">
        <is>
          <t>TenMax</t>
        </is>
      </c>
      <c r="F27" t="inlineStr">
        <is>
          <t>Easyshop</t>
        </is>
      </c>
      <c r="G27" t="inlineStr">
        <is>
          <t>2023-11-10</t>
        </is>
      </c>
      <c r="H27" t="n">
        <v>3300</v>
      </c>
      <c r="I27" t="inlineStr">
        <is>
          <t>ADID</t>
        </is>
      </c>
      <c r="J27" t="n">
        <v>40000</v>
      </c>
      <c r="K27" t="inlineStr">
        <is>
          <t>2023-11-14</t>
        </is>
      </c>
      <c r="L27" t="inlineStr">
        <is>
          <t>否</t>
        </is>
      </c>
      <c r="M27" t="inlineStr">
        <is>
          <t>專案名稱：Easyshop
訂單編號：PB2300626
來源：委刊單(Order) 第 27 列</t>
        </is>
      </c>
      <c r="N27" t="inlineStr">
        <is>
          <t>2026-05-18</t>
        </is>
      </c>
    </row>
    <row r="28">
      <c r="A28" t="inlineStr">
        <is>
          <t>ord_a2fba419b34a</t>
        </is>
      </c>
      <c r="B28" t="inlineStr"/>
      <c r="C28" t="inlineStr">
        <is>
          <t>廣告受眾包</t>
        </is>
      </c>
      <c r="D28" t="inlineStr"/>
      <c r="E28" t="inlineStr">
        <is>
          <t>TenMax</t>
        </is>
      </c>
      <c r="F28" t="inlineStr">
        <is>
          <t>愛木者工坊</t>
        </is>
      </c>
      <c r="G28" t="inlineStr">
        <is>
          <t>2023-11-15</t>
        </is>
      </c>
      <c r="H28" t="n">
        <v>1920</v>
      </c>
      <c r="I28" t="inlineStr">
        <is>
          <t>ADID</t>
        </is>
      </c>
      <c r="J28" t="n">
        <v>38400</v>
      </c>
      <c r="K28" t="inlineStr">
        <is>
          <t>2023-11-16</t>
        </is>
      </c>
      <c r="L28" t="inlineStr">
        <is>
          <t>否</t>
        </is>
      </c>
      <c r="M28" t="inlineStr">
        <is>
          <t>專案名稱：愛木者工坊
訂單編號：PB2300684
來源：委刊單(Order) 第 28 列</t>
        </is>
      </c>
      <c r="N28" t="inlineStr">
        <is>
          <t>2026-05-18</t>
        </is>
      </c>
    </row>
    <row r="29">
      <c r="A29" t="inlineStr">
        <is>
          <t>ord_d2f075fb61a1</t>
        </is>
      </c>
      <c r="B29" t="inlineStr"/>
      <c r="C29" t="inlineStr">
        <is>
          <t>廣告受眾包</t>
        </is>
      </c>
      <c r="D29" t="inlineStr"/>
      <c r="E29" t="inlineStr">
        <is>
          <t>TenMax</t>
        </is>
      </c>
      <c r="F29" t="inlineStr">
        <is>
          <t>愛蜜莉手作</t>
        </is>
      </c>
      <c r="G29" t="inlineStr">
        <is>
          <t>2023-11-15</t>
        </is>
      </c>
      <c r="H29" t="n">
        <v>1440</v>
      </c>
      <c r="I29" t="inlineStr">
        <is>
          <t>ADID</t>
        </is>
      </c>
      <c r="J29" t="n">
        <v>28800</v>
      </c>
      <c r="K29" t="inlineStr">
        <is>
          <t>2023-11-16</t>
        </is>
      </c>
      <c r="L29" t="inlineStr">
        <is>
          <t>否</t>
        </is>
      </c>
      <c r="M29" t="inlineStr">
        <is>
          <t>專案名稱：愛蜜莉手作
訂單編號：PB2300677
來源：委刊單(Order) 第 29 列</t>
        </is>
      </c>
      <c r="N29" t="inlineStr">
        <is>
          <t>2026-05-18</t>
        </is>
      </c>
    </row>
    <row r="30">
      <c r="A30" t="inlineStr">
        <is>
          <t>ord_bc39febe087c</t>
        </is>
      </c>
      <c r="B30" t="inlineStr"/>
      <c r="C30" t="inlineStr">
        <is>
          <t>廣告受眾包</t>
        </is>
      </c>
      <c r="D30" t="inlineStr"/>
      <c r="E30" t="inlineStr">
        <is>
          <t>TenMax</t>
        </is>
      </c>
      <c r="F30" t="inlineStr">
        <is>
          <t>依夢內衣</t>
        </is>
      </c>
      <c r="G30" t="inlineStr">
        <is>
          <t>2023-11-15</t>
        </is>
      </c>
      <c r="H30" t="n">
        <v>3800</v>
      </c>
      <c r="I30" t="inlineStr">
        <is>
          <t>ADID</t>
        </is>
      </c>
      <c r="J30" t="n">
        <v>61100</v>
      </c>
      <c r="K30" t="inlineStr">
        <is>
          <t>2023-11-16</t>
        </is>
      </c>
      <c r="L30" t="inlineStr">
        <is>
          <t>否</t>
        </is>
      </c>
      <c r="M30" t="inlineStr">
        <is>
          <t>專案名稱：依夢內衣
訂單編號：202311082000261
來源：委刊單(Order) 第 30 列</t>
        </is>
      </c>
      <c r="N30" t="inlineStr">
        <is>
          <t>2026-05-18</t>
        </is>
      </c>
    </row>
    <row r="31">
      <c r="A31" t="inlineStr">
        <is>
          <t>ord_b34615b64ac1</t>
        </is>
      </c>
      <c r="B31" t="inlineStr"/>
      <c r="C31" t="inlineStr">
        <is>
          <t>廣告受眾包</t>
        </is>
      </c>
      <c r="D31" t="inlineStr"/>
      <c r="E31" t="inlineStr">
        <is>
          <t>TenMax</t>
        </is>
      </c>
      <c r="F31" t="inlineStr">
        <is>
          <t>聯華食品</t>
        </is>
      </c>
      <c r="G31" t="inlineStr">
        <is>
          <t>2023-11-24</t>
        </is>
      </c>
      <c r="H31" t="n">
        <v>3300</v>
      </c>
      <c r="I31" t="inlineStr">
        <is>
          <t>ADID</t>
        </is>
      </c>
      <c r="J31" t="n">
        <v>66000</v>
      </c>
      <c r="K31" t="inlineStr">
        <is>
          <t>2023-11-28</t>
        </is>
      </c>
      <c r="L31" t="inlineStr">
        <is>
          <t>否</t>
        </is>
      </c>
      <c r="M31" t="inlineStr">
        <is>
          <t>專案名稱：富好股份有限公司
訂單編號：PB2300689
來源：委刊單(Order) 第 31 列</t>
        </is>
      </c>
      <c r="N31" t="inlineStr">
        <is>
          <t>2026-05-18</t>
        </is>
      </c>
    </row>
    <row r="32">
      <c r="A32" t="inlineStr">
        <is>
          <t>ord_26f66815c7e2</t>
        </is>
      </c>
      <c r="B32" t="inlineStr"/>
      <c r="C32" t="inlineStr">
        <is>
          <t>廣告受眾包</t>
        </is>
      </c>
      <c r="D32" t="inlineStr"/>
      <c r="E32" t="inlineStr">
        <is>
          <t>TenMax</t>
        </is>
      </c>
      <c r="F32" t="inlineStr">
        <is>
          <t>富好</t>
        </is>
      </c>
      <c r="G32" t="inlineStr">
        <is>
          <t>2023-11-24</t>
        </is>
      </c>
      <c r="H32" t="n">
        <v>900</v>
      </c>
      <c r="I32" t="inlineStr">
        <is>
          <t>ADID</t>
        </is>
      </c>
      <c r="J32" t="n">
        <v>18000</v>
      </c>
      <c r="K32" t="inlineStr">
        <is>
          <t>2023-11-28</t>
        </is>
      </c>
      <c r="L32" t="inlineStr">
        <is>
          <t>否</t>
        </is>
      </c>
      <c r="M32" t="inlineStr">
        <is>
          <t>專案名稱：富好股份有限公司
訂單編號：PB2300689
來源：委刊單(Order) 第 32 列</t>
        </is>
      </c>
      <c r="N32" t="inlineStr">
        <is>
          <t>2026-05-18</t>
        </is>
      </c>
    </row>
    <row r="33">
      <c r="A33" t="inlineStr">
        <is>
          <t>ord_3dc81bb49534</t>
        </is>
      </c>
      <c r="B33" t="inlineStr"/>
      <c r="C33" t="inlineStr">
        <is>
          <t>廣告受眾包</t>
        </is>
      </c>
      <c r="D33" t="inlineStr"/>
      <c r="E33" t="inlineStr">
        <is>
          <t>TenMax</t>
        </is>
      </c>
      <c r="F33" t="inlineStr">
        <is>
          <t>雪印</t>
        </is>
      </c>
      <c r="G33" t="inlineStr">
        <is>
          <t>2023-12-04</t>
        </is>
      </c>
      <c r="H33" t="n">
        <v>3300</v>
      </c>
      <c r="I33" t="inlineStr">
        <is>
          <t>ADID</t>
        </is>
      </c>
      <c r="J33" t="n">
        <v>66000</v>
      </c>
      <c r="K33" t="inlineStr">
        <is>
          <t>2023-12-06</t>
        </is>
      </c>
      <c r="L33" t="inlineStr">
        <is>
          <t>否</t>
        </is>
      </c>
      <c r="M33" t="inlineStr">
        <is>
          <t>專案名稱：台灣雪印股份有限公司
訂單編號：PB2300712
來源：委刊單(Order) 第 33 列</t>
        </is>
      </c>
      <c r="N33" t="inlineStr">
        <is>
          <t>2026-05-18</t>
        </is>
      </c>
    </row>
    <row r="34">
      <c r="A34" t="inlineStr">
        <is>
          <t>ord_5f823fab1042</t>
        </is>
      </c>
      <c r="B34" t="inlineStr"/>
      <c r="C34" t="inlineStr">
        <is>
          <t>廣告受眾包</t>
        </is>
      </c>
      <c r="D34" t="inlineStr"/>
      <c r="E34" t="inlineStr">
        <is>
          <t>TenMax</t>
        </is>
      </c>
      <c r="F34" t="inlineStr">
        <is>
          <t>裕隆汽車</t>
        </is>
      </c>
      <c r="G34" t="inlineStr">
        <is>
          <t>2023-12-06</t>
        </is>
      </c>
      <c r="H34" t="n">
        <v>6600</v>
      </c>
      <c r="I34" t="inlineStr">
        <is>
          <t>ADID</t>
        </is>
      </c>
      <c r="J34" t="n">
        <v>132000</v>
      </c>
      <c r="K34" t="inlineStr">
        <is>
          <t>2023-12-08</t>
        </is>
      </c>
      <c r="L34" t="inlineStr">
        <is>
          <t>否</t>
        </is>
      </c>
      <c r="M34" t="inlineStr">
        <is>
          <t>專案名稱：裕隆日產汽車股份有限公司
訂單編號：PB2300714
來源：委刊單(Order) 第 34 列</t>
        </is>
      </c>
      <c r="N34" t="inlineStr">
        <is>
          <t>2026-05-18</t>
        </is>
      </c>
    </row>
    <row r="35">
      <c r="A35" t="inlineStr">
        <is>
          <t>ord_aac114a8caf4</t>
        </is>
      </c>
      <c r="B35" t="inlineStr"/>
      <c r="C35" t="inlineStr">
        <is>
          <t>廣告受眾包</t>
        </is>
      </c>
      <c r="D35" t="inlineStr"/>
      <c r="E35" t="inlineStr">
        <is>
          <t>TenMax</t>
        </is>
      </c>
      <c r="F35" t="inlineStr">
        <is>
          <t>諾得生技</t>
        </is>
      </c>
      <c r="G35" t="inlineStr">
        <is>
          <t>2023-12-06</t>
        </is>
      </c>
      <c r="H35" t="n">
        <v>2100</v>
      </c>
      <c r="I35" t="inlineStr">
        <is>
          <t>ADID</t>
        </is>
      </c>
      <c r="J35" t="n">
        <v>42000</v>
      </c>
      <c r="K35" t="inlineStr">
        <is>
          <t>2023-12-08</t>
        </is>
      </c>
      <c r="L35" t="inlineStr">
        <is>
          <t>否</t>
        </is>
      </c>
      <c r="M35" t="inlineStr">
        <is>
          <t>專案名稱：諾得生技有限公司
訂單編號：PB2300705
來源：委刊單(Order) 第 35 列</t>
        </is>
      </c>
      <c r="N35" t="inlineStr">
        <is>
          <t>2026-05-18</t>
        </is>
      </c>
    </row>
    <row r="36">
      <c r="A36" t="inlineStr">
        <is>
          <t>ord_713a35825240</t>
        </is>
      </c>
      <c r="B36" t="inlineStr"/>
      <c r="C36" t="inlineStr">
        <is>
          <t>廣告受眾包</t>
        </is>
      </c>
      <c r="D36" t="inlineStr"/>
      <c r="E36" t="inlineStr">
        <is>
          <t>TenMax</t>
        </is>
      </c>
      <c r="F36" t="inlineStr">
        <is>
          <t>長榮航空</t>
        </is>
      </c>
      <c r="G36" t="inlineStr">
        <is>
          <t>2023-12-06</t>
        </is>
      </c>
      <c r="H36" t="n">
        <v>9900</v>
      </c>
      <c r="I36" t="inlineStr">
        <is>
          <t>ADID</t>
        </is>
      </c>
      <c r="J36" t="n">
        <v>198000</v>
      </c>
      <c r="K36" t="inlineStr">
        <is>
          <t>2023-12-08</t>
        </is>
      </c>
      <c r="L36" t="inlineStr">
        <is>
          <t>否</t>
        </is>
      </c>
      <c r="M36" t="inlineStr">
        <is>
          <t>專案名稱：長榮航空股份有限公司
訂單編號：PB2300712
來源：委刊單(Order) 第 36 列</t>
        </is>
      </c>
      <c r="N36" t="inlineStr">
        <is>
          <t>2026-05-18</t>
        </is>
      </c>
    </row>
    <row r="37">
      <c r="A37" t="inlineStr">
        <is>
          <t>ord_59c767002e6c</t>
        </is>
      </c>
      <c r="B37" t="inlineStr"/>
      <c r="C37" t="inlineStr">
        <is>
          <t>廣告受眾包</t>
        </is>
      </c>
      <c r="D37" t="inlineStr"/>
      <c r="E37" t="inlineStr">
        <is>
          <t>TenMax</t>
        </is>
      </c>
      <c r="F37" t="inlineStr">
        <is>
          <t>台灣味之素</t>
        </is>
      </c>
      <c r="G37" t="inlineStr">
        <is>
          <t>2023-12-13</t>
        </is>
      </c>
      <c r="H37" t="n">
        <v>2400</v>
      </c>
      <c r="I37" t="inlineStr">
        <is>
          <t>ADID</t>
        </is>
      </c>
      <c r="J37" t="n">
        <v>24000</v>
      </c>
      <c r="K37" t="inlineStr">
        <is>
          <t>2023-12-15</t>
        </is>
      </c>
      <c r="L37" t="inlineStr">
        <is>
          <t>否</t>
        </is>
      </c>
      <c r="M37" t="inlineStr">
        <is>
          <t>專案名稱：台灣味之素股份有限公司
訂單編號：PB2300743
來源：委刊單(Order) 第 37 列</t>
        </is>
      </c>
      <c r="N37" t="inlineStr">
        <is>
          <t>2026-05-18</t>
        </is>
      </c>
    </row>
    <row r="38">
      <c r="A38" t="inlineStr">
        <is>
          <t>ord_7b7e000e57b7</t>
        </is>
      </c>
      <c r="B38" t="inlineStr"/>
      <c r="C38" t="inlineStr">
        <is>
          <t>廣告受眾包</t>
        </is>
      </c>
      <c r="D38" t="inlineStr"/>
      <c r="E38" t="inlineStr">
        <is>
          <t>TenMax</t>
        </is>
      </c>
      <c r="F38" t="inlineStr">
        <is>
          <t>新加坡商育碧</t>
        </is>
      </c>
      <c r="G38" t="inlineStr">
        <is>
          <t>2023-12-14</t>
        </is>
      </c>
      <c r="H38" t="n">
        <v>3300</v>
      </c>
      <c r="I38" t="inlineStr">
        <is>
          <t>ADID</t>
        </is>
      </c>
      <c r="J38" t="n">
        <v>66000</v>
      </c>
      <c r="K38" t="inlineStr">
        <is>
          <t>2023-12-15</t>
        </is>
      </c>
      <c r="L38" t="inlineStr">
        <is>
          <t>否</t>
        </is>
      </c>
      <c r="M38" t="inlineStr">
        <is>
          <t>專案名稱：新加坡商育碧有限公司
訂單編號：PB2300759
來源：委刊單(Order) 第 38 列</t>
        </is>
      </c>
      <c r="N38" t="inlineStr">
        <is>
          <t>2026-05-18</t>
        </is>
      </c>
    </row>
    <row r="39">
      <c r="A39" t="inlineStr">
        <is>
          <t>ord_f03e2b449e75</t>
        </is>
      </c>
      <c r="B39" t="inlineStr"/>
      <c r="C39" t="inlineStr">
        <is>
          <t>廣告受眾包</t>
        </is>
      </c>
      <c r="D39" t="inlineStr"/>
      <c r="E39" t="inlineStr">
        <is>
          <t>TenMax</t>
        </is>
      </c>
      <c r="F39" t="inlineStr">
        <is>
          <t>台灣微軟</t>
        </is>
      </c>
      <c r="G39" t="inlineStr">
        <is>
          <t>2023-12-28</t>
        </is>
      </c>
      <c r="H39" t="n">
        <v>7340</v>
      </c>
      <c r="I39" t="inlineStr">
        <is>
          <t>ADID</t>
        </is>
      </c>
      <c r="J39" t="n">
        <v>146800</v>
      </c>
      <c r="K39" t="inlineStr">
        <is>
          <t>2024-01-02</t>
        </is>
      </c>
      <c r="L39" t="inlineStr">
        <is>
          <t>否</t>
        </is>
      </c>
      <c r="M39" t="inlineStr">
        <is>
          <t>專案名稱：台灣微軟股份有限公司_video
訂單編號：PB2300766
來源：委刊單(Order) 第 39 列</t>
        </is>
      </c>
      <c r="N39" t="inlineStr">
        <is>
          <t>2026-05-18</t>
        </is>
      </c>
    </row>
    <row r="40">
      <c r="A40" t="inlineStr">
        <is>
          <t>ord_634cd1a7e575</t>
        </is>
      </c>
      <c r="B40" t="inlineStr"/>
      <c r="C40" t="inlineStr">
        <is>
          <t>廣告受眾包</t>
        </is>
      </c>
      <c r="D40" t="inlineStr"/>
      <c r="E40" t="inlineStr">
        <is>
          <t>TenMax</t>
        </is>
      </c>
      <c r="F40" t="inlineStr">
        <is>
          <t>台灣微軟</t>
        </is>
      </c>
      <c r="G40" t="inlineStr">
        <is>
          <t>2023-12-29</t>
        </is>
      </c>
      <c r="H40" t="n">
        <v>3300</v>
      </c>
      <c r="I40" t="inlineStr">
        <is>
          <t>ADID</t>
        </is>
      </c>
      <c r="J40" t="n">
        <v>66000</v>
      </c>
      <c r="K40" t="inlineStr">
        <is>
          <t>2024-01-02</t>
        </is>
      </c>
      <c r="L40" t="inlineStr">
        <is>
          <t>否</t>
        </is>
      </c>
      <c r="M40" t="inlineStr">
        <is>
          <t>專案名稱：台灣微軟股份有限公司
訂單編號：PB2300771
來源：委刊單(Order) 第 40 列</t>
        </is>
      </c>
      <c r="N40" t="inlineStr">
        <is>
          <t>2026-05-18</t>
        </is>
      </c>
    </row>
    <row r="41">
      <c r="A41" t="inlineStr">
        <is>
          <t>ord_65aea5fbf722</t>
        </is>
      </c>
      <c r="B41" t="inlineStr"/>
      <c r="C41" t="inlineStr">
        <is>
          <t>廣告受眾包</t>
        </is>
      </c>
      <c r="D41" t="inlineStr"/>
      <c r="E41" t="inlineStr">
        <is>
          <t>電通</t>
        </is>
      </c>
      <c r="F41" t="inlineStr">
        <is>
          <t>理寶水</t>
        </is>
      </c>
      <c r="G41" t="inlineStr">
        <is>
          <t>2023-12-15</t>
        </is>
      </c>
      <c r="H41" t="n">
        <v>35000</v>
      </c>
      <c r="I41" t="inlineStr">
        <is>
          <t>ADID</t>
        </is>
      </c>
      <c r="J41" t="n">
        <v>58843</v>
      </c>
      <c r="K41" t="inlineStr">
        <is>
          <t>2023-12-18</t>
        </is>
      </c>
      <c r="L41" t="inlineStr">
        <is>
          <t>否</t>
        </is>
      </c>
      <c r="M41" t="inlineStr">
        <is>
          <t>理寶水關鍵字＋贈送AI名單
來源：委刊單(Order) 第 41 列</t>
        </is>
      </c>
      <c r="N41" t="inlineStr">
        <is>
          <t>2026-05-18</t>
        </is>
      </c>
    </row>
    <row r="42">
      <c r="A42" t="inlineStr">
        <is>
          <t>ord_64523bd6c85a</t>
        </is>
      </c>
      <c r="B42" t="inlineStr"/>
      <c r="C42" t="inlineStr">
        <is>
          <t>廣告受眾包</t>
        </is>
      </c>
      <c r="D42" t="inlineStr"/>
      <c r="E42" t="inlineStr">
        <is>
          <t>Appier</t>
        </is>
      </c>
      <c r="F42" t="inlineStr">
        <is>
          <t>Line</t>
        </is>
      </c>
      <c r="G42" t="inlineStr">
        <is>
          <t>2024-01-03</t>
        </is>
      </c>
      <c r="H42" t="n">
        <v>13246</v>
      </c>
      <c r="I42" t="inlineStr">
        <is>
          <t>ADID</t>
        </is>
      </c>
      <c r="J42" t="n">
        <v>13246</v>
      </c>
      <c r="K42" t="inlineStr">
        <is>
          <t>2024-01-03</t>
        </is>
      </c>
      <c r="L42" t="inlineStr">
        <is>
          <t>否</t>
        </is>
      </c>
      <c r="M42" t="inlineStr">
        <is>
          <t>近 90天line消費紀錄，如禮物卡、Line 購物電商商品
來源：委刊單(Order) 第 42 列</t>
        </is>
      </c>
      <c r="N42" t="inlineStr">
        <is>
          <t>2026-05-18</t>
        </is>
      </c>
    </row>
    <row r="43">
      <c r="A43" t="inlineStr">
        <is>
          <t>ord_9d4f2f057eb8</t>
        </is>
      </c>
      <c r="B43" t="inlineStr"/>
      <c r="C43" t="inlineStr">
        <is>
          <t>廣告受眾包</t>
        </is>
      </c>
      <c r="D43" t="inlineStr"/>
      <c r="E43" t="inlineStr">
        <is>
          <t>益索普</t>
        </is>
      </c>
      <c r="F43" t="inlineStr">
        <is>
          <t>問券</t>
        </is>
      </c>
      <c r="G43" t="inlineStr">
        <is>
          <t>2024-01-03</t>
        </is>
      </c>
      <c r="H43" t="n">
        <v>20888</v>
      </c>
      <c r="I43" t="inlineStr">
        <is>
          <t>MMS</t>
        </is>
      </c>
      <c r="J43" t="n">
        <v>2985</v>
      </c>
      <c r="K43" t="inlineStr">
        <is>
          <t>2024-01-05</t>
        </is>
      </c>
      <c r="L43" t="inlineStr">
        <is>
          <t>否</t>
        </is>
      </c>
      <c r="M43" t="inlineStr">
        <is>
          <t>問券調查-APP平台消費行為研究調查調查第一階段(其中3000筆)
來源：委刊單(Order) 第 43 列</t>
        </is>
      </c>
      <c r="N43" t="inlineStr">
        <is>
          <t>2026-05-18</t>
        </is>
      </c>
    </row>
    <row r="44">
      <c r="A44" t="inlineStr">
        <is>
          <t>ord_ad2f6d8774fe</t>
        </is>
      </c>
      <c r="B44" t="inlineStr"/>
      <c r="C44" t="inlineStr">
        <is>
          <t>廣告受眾包</t>
        </is>
      </c>
      <c r="D44" t="inlineStr"/>
      <c r="E44" t="inlineStr">
        <is>
          <t>益索普</t>
        </is>
      </c>
      <c r="F44" t="inlineStr">
        <is>
          <t>問券</t>
        </is>
      </c>
      <c r="G44" t="inlineStr">
        <is>
          <t>2024-01-04</t>
        </is>
      </c>
      <c r="H44" t="n">
        <v>47558</v>
      </c>
      <c r="I44" t="inlineStr">
        <is>
          <t>MMS</t>
        </is>
      </c>
      <c r="J44" t="n">
        <v>6794</v>
      </c>
      <c r="K44" t="inlineStr">
        <is>
          <t>2024-01-05</t>
        </is>
      </c>
      <c r="L44" t="inlineStr">
        <is>
          <t>否</t>
        </is>
      </c>
      <c r="M44" t="inlineStr">
        <is>
          <t>問券調查-APP平台消費行為研究調查調查第二階段(餘數3857筆+第一波名單重送)
來源：委刊單(Order) 第 44 列</t>
        </is>
      </c>
      <c r="N44" t="inlineStr">
        <is>
          <t>2026-05-18</t>
        </is>
      </c>
    </row>
    <row r="45">
      <c r="A45" t="inlineStr">
        <is>
          <t>ord_a0ca68f6d38e</t>
        </is>
      </c>
      <c r="B45" t="inlineStr"/>
      <c r="C45" t="inlineStr">
        <is>
          <t>廣告受眾包</t>
        </is>
      </c>
      <c r="D45" t="inlineStr"/>
      <c r="E45" t="inlineStr">
        <is>
          <t>Appier</t>
        </is>
      </c>
      <c r="F45" t="inlineStr">
        <is>
          <t>咖啡愛好者</t>
        </is>
      </c>
      <c r="G45" t="inlineStr">
        <is>
          <t>2024-01-03</t>
        </is>
      </c>
      <c r="H45" t="n">
        <v>20000</v>
      </c>
      <c r="I45" t="inlineStr">
        <is>
          <t>ADID</t>
        </is>
      </c>
      <c r="J45" t="n">
        <v>20000</v>
      </c>
      <c r="K45" t="inlineStr">
        <is>
          <t>2024-01-11</t>
        </is>
      </c>
      <c r="L45" t="inlineStr">
        <is>
          <t>否</t>
        </is>
      </c>
      <c r="M45" t="inlineStr">
        <is>
          <t>針對90天消費行為 :(不限通路)
膠囊、配件受眾 - 購買Nespresso咖啡機及膠囊的消費者
來源：委刊單(Order) 第 45 列</t>
        </is>
      </c>
      <c r="N45" t="inlineStr">
        <is>
          <t>2026-05-18</t>
        </is>
      </c>
    </row>
    <row r="46">
      <c r="A46" t="inlineStr">
        <is>
          <t>ord_17a600e852d8</t>
        </is>
      </c>
      <c r="B46" t="inlineStr"/>
      <c r="C46" t="inlineStr">
        <is>
          <t>廣告受眾包</t>
        </is>
      </c>
      <c r="D46" t="inlineStr"/>
      <c r="E46" t="inlineStr">
        <is>
          <t>Appier</t>
        </is>
      </c>
      <c r="F46" t="inlineStr">
        <is>
          <t>咖啡愛好者</t>
        </is>
      </c>
      <c r="G46" t="inlineStr">
        <is>
          <t>2024-01-03</t>
        </is>
      </c>
      <c r="H46" t="n">
        <v>20000</v>
      </c>
      <c r="I46" t="inlineStr">
        <is>
          <t>ADID</t>
        </is>
      </c>
      <c r="J46" t="n">
        <v>20000</v>
      </c>
      <c r="K46" t="inlineStr">
        <is>
          <t>2024-01-12</t>
        </is>
      </c>
      <c r="L46" t="inlineStr">
        <is>
          <t>否</t>
        </is>
      </c>
      <c r="M46" t="inlineStr">
        <is>
          <t>機器受眾 - 購買義式或美式咖啡機的消費者
機器受眾 - 購買高單價家電的消費者，例如Dyson、LG、伊萊克斯、三星(家電)、BOSCH、SMEG、Hitachi
來源：委刊單(Order) 第 46 列</t>
        </is>
      </c>
      <c r="N46" t="inlineStr">
        <is>
          <t>2026-05-18</t>
        </is>
      </c>
    </row>
    <row r="47">
      <c r="A47" t="inlineStr">
        <is>
          <t>ord_6652bd5bd03b</t>
        </is>
      </c>
      <c r="B47" t="inlineStr"/>
      <c r="C47" t="inlineStr">
        <is>
          <t>簡訊/推播</t>
        </is>
      </c>
      <c r="D47" t="inlineStr"/>
      <c r="E47" t="inlineStr">
        <is>
          <t>益索普</t>
        </is>
      </c>
      <c r="F47" t="inlineStr">
        <is>
          <t>問券</t>
        </is>
      </c>
      <c r="G47" t="inlineStr">
        <is>
          <t>2024-01-08</t>
        </is>
      </c>
      <c r="H47" t="n">
        <v>0</v>
      </c>
      <c r="I47" t="inlineStr">
        <is>
          <t>MMS</t>
        </is>
      </c>
      <c r="J47" t="n">
        <v>6263</v>
      </c>
      <c r="K47" t="inlineStr">
        <is>
          <t>2024-01-05</t>
        </is>
      </c>
      <c r="L47" t="inlineStr">
        <is>
          <t>否</t>
        </is>
      </c>
      <c r="M47" t="inlineStr">
        <is>
          <t>問券調查-APP平台消費行為研究調查調查第三階段(一二階段名單重送)
來源：委刊單(Order) 第 47 列</t>
        </is>
      </c>
      <c r="N47" t="inlineStr">
        <is>
          <t>2026-05-18</t>
        </is>
      </c>
    </row>
    <row r="48">
      <c r="A48" t="inlineStr">
        <is>
          <t>ord_8859380aeacb</t>
        </is>
      </c>
      <c r="B48" t="inlineStr"/>
      <c r="C48" t="inlineStr">
        <is>
          <t>簡訊/推播</t>
        </is>
      </c>
      <c r="D48" t="inlineStr"/>
      <c r="E48" t="inlineStr">
        <is>
          <t>益索普</t>
        </is>
      </c>
      <c r="F48" t="inlineStr">
        <is>
          <t>問券</t>
        </is>
      </c>
      <c r="G48" t="inlineStr">
        <is>
          <t>2024-01-12</t>
        </is>
      </c>
      <c r="H48" t="n">
        <v>0</v>
      </c>
      <c r="I48" t="inlineStr">
        <is>
          <t>MMS</t>
        </is>
      </c>
      <c r="J48" t="n">
        <v>30</v>
      </c>
      <c r="K48" t="inlineStr">
        <is>
          <t>2024-01-15</t>
        </is>
      </c>
      <c r="L48" t="inlineStr">
        <is>
          <t>否</t>
        </is>
      </c>
      <c r="M48" t="inlineStr">
        <is>
          <t>問券調查-2023年上半年度購入新車車主研究調查
來源：委刊單(Order) 第 48 列</t>
        </is>
      </c>
      <c r="N48" t="inlineStr">
        <is>
          <t>2026-05-18</t>
        </is>
      </c>
    </row>
    <row r="49">
      <c r="A49" t="inlineStr">
        <is>
          <t>ord_9eeda1806f79</t>
        </is>
      </c>
      <c r="B49" t="inlineStr"/>
      <c r="C49" t="inlineStr">
        <is>
          <t>廣告受眾包</t>
        </is>
      </c>
      <c r="D49" t="inlineStr"/>
      <c r="E49" t="inlineStr">
        <is>
          <t>TenMax</t>
        </is>
      </c>
      <c r="F49" t="inlineStr">
        <is>
          <t>路比國際</t>
        </is>
      </c>
      <c r="G49" t="inlineStr">
        <is>
          <t>2024-01-15</t>
        </is>
      </c>
      <c r="H49" t="n">
        <v>2160</v>
      </c>
      <c r="I49" t="inlineStr">
        <is>
          <t>ADID</t>
        </is>
      </c>
      <c r="J49" t="n">
        <v>43200</v>
      </c>
      <c r="K49" t="inlineStr">
        <is>
          <t>2024-01-19</t>
        </is>
      </c>
      <c r="L49" t="inlineStr">
        <is>
          <t>否</t>
        </is>
      </c>
      <c r="M49" t="inlineStr">
        <is>
          <t>專案名稱：路比國際移民顧問有限公司
訂單編號：PB2400039
來源：委刊單(Order) 第 49 列</t>
        </is>
      </c>
      <c r="N49" t="inlineStr">
        <is>
          <t>2026-05-18</t>
        </is>
      </c>
    </row>
    <row r="50">
      <c r="A50" t="inlineStr">
        <is>
          <t>ord_f71ea0c32385</t>
        </is>
      </c>
      <c r="B50" t="inlineStr"/>
      <c r="C50" t="inlineStr">
        <is>
          <t>廣告受眾包</t>
        </is>
      </c>
      <c r="D50" t="inlineStr"/>
      <c r="E50" t="inlineStr">
        <is>
          <t>TenMax</t>
        </is>
      </c>
      <c r="F50" t="inlineStr">
        <is>
          <t>台灣味之素</t>
        </is>
      </c>
      <c r="G50" t="inlineStr">
        <is>
          <t>2024-01-15</t>
        </is>
      </c>
      <c r="H50" t="n">
        <v>2100</v>
      </c>
      <c r="I50" t="inlineStr">
        <is>
          <t>ADID</t>
        </is>
      </c>
      <c r="J50" t="n">
        <v>21000</v>
      </c>
      <c r="K50" t="inlineStr">
        <is>
          <t>2024-01-19</t>
        </is>
      </c>
      <c r="L50" t="inlineStr">
        <is>
          <t>否</t>
        </is>
      </c>
      <c r="M50" t="inlineStr">
        <is>
          <t>專案名稱：台灣味之素股份有限公司
訂單編號：PB2400028
來源：委刊單(Order) 第 50 列</t>
        </is>
      </c>
      <c r="N50" t="inlineStr">
        <is>
          <t>2026-05-18</t>
        </is>
      </c>
    </row>
    <row r="51">
      <c r="A51" t="inlineStr">
        <is>
          <t>ord_62f05e0f5a49</t>
        </is>
      </c>
      <c r="B51" t="inlineStr"/>
      <c r="C51" t="inlineStr">
        <is>
          <t>簡訊/推播</t>
        </is>
      </c>
      <c r="D51" t="inlineStr"/>
      <c r="E51" t="inlineStr">
        <is>
          <t>益索普</t>
        </is>
      </c>
      <c r="F51" t="inlineStr">
        <is>
          <t>問券</t>
        </is>
      </c>
      <c r="G51" t="inlineStr">
        <is>
          <t>2024-01-19</t>
        </is>
      </c>
      <c r="H51" t="n">
        <v>0</v>
      </c>
      <c r="I51" t="inlineStr">
        <is>
          <t>MMS</t>
        </is>
      </c>
      <c r="J51" t="n">
        <v>161</v>
      </c>
      <c r="K51" t="inlineStr">
        <is>
          <t>2024-01-19</t>
        </is>
      </c>
      <c r="L51" t="inlineStr">
        <is>
          <t>否</t>
        </is>
      </c>
      <c r="M51" t="inlineStr">
        <is>
          <t>問券調查-豪華車新購車主研究調查
來源：委刊單(Order) 第 51 列</t>
        </is>
      </c>
      <c r="N51" t="inlineStr">
        <is>
          <t>2026-05-18</t>
        </is>
      </c>
    </row>
    <row r="52">
      <c r="A52" t="inlineStr">
        <is>
          <t>ord_67e80d7824e4</t>
        </is>
      </c>
      <c r="B52" t="inlineStr"/>
      <c r="C52" t="inlineStr">
        <is>
          <t>廣告受眾包</t>
        </is>
      </c>
      <c r="D52" t="inlineStr"/>
      <c r="E52" t="inlineStr">
        <is>
          <t>TenMax</t>
        </is>
      </c>
      <c r="F52" t="inlineStr">
        <is>
          <t>台灣味之素</t>
        </is>
      </c>
      <c r="G52" t="inlineStr">
        <is>
          <t>2024-01-24</t>
        </is>
      </c>
      <c r="H52" t="n">
        <v>2475</v>
      </c>
      <c r="I52" t="inlineStr">
        <is>
          <t>ADID</t>
        </is>
      </c>
      <c r="J52" t="n">
        <v>49500</v>
      </c>
      <c r="K52" t="inlineStr">
        <is>
          <t>2024-01-26</t>
        </is>
      </c>
      <c r="L52" t="inlineStr">
        <is>
          <t>否</t>
        </is>
      </c>
      <c r="M52" t="inlineStr">
        <is>
          <t>專案名稱：台灣味之素股份有限公司
訂單編號：PB2400028
來源：委刊單(Order) 第 52 列</t>
        </is>
      </c>
      <c r="N52" t="inlineStr">
        <is>
          <t>2026-05-18</t>
        </is>
      </c>
    </row>
    <row r="53">
      <c r="A53" t="inlineStr">
        <is>
          <t>ord_f25a2aab8e90</t>
        </is>
      </c>
      <c r="B53" t="inlineStr"/>
      <c r="C53" t="inlineStr">
        <is>
          <t>廣告受眾包</t>
        </is>
      </c>
      <c r="D53" t="inlineStr"/>
      <c r="E53" t="inlineStr">
        <is>
          <t>TenMax</t>
        </is>
      </c>
      <c r="F53" t="inlineStr">
        <is>
          <t>光陽工業</t>
        </is>
      </c>
      <c r="G53" t="inlineStr">
        <is>
          <t>2024-01-24</t>
        </is>
      </c>
      <c r="H53" t="n">
        <v>3300</v>
      </c>
      <c r="I53" t="inlineStr">
        <is>
          <t>ADID</t>
        </is>
      </c>
      <c r="J53" t="n">
        <v>66000</v>
      </c>
      <c r="K53" t="inlineStr">
        <is>
          <t>2024-01-26</t>
        </is>
      </c>
      <c r="L53" t="inlineStr">
        <is>
          <t>否</t>
        </is>
      </c>
      <c r="M53" t="inlineStr">
        <is>
          <t>專案名稱：光陽工業股份有限公司
訂單編號：PB2400050
來源：委刊單(Order) 第 53 列</t>
        </is>
      </c>
      <c r="N53" t="inlineStr">
        <is>
          <t>2026-05-18</t>
        </is>
      </c>
    </row>
    <row r="54">
      <c r="A54" t="inlineStr">
        <is>
          <t>ord_836cf0ac7819</t>
        </is>
      </c>
      <c r="B54" t="inlineStr"/>
      <c r="C54" t="inlineStr">
        <is>
          <t>廣告受眾包</t>
        </is>
      </c>
      <c r="D54" t="inlineStr"/>
      <c r="E54" t="inlineStr">
        <is>
          <t>TenMax</t>
        </is>
      </c>
      <c r="F54" t="inlineStr">
        <is>
          <t>台灣大哥大</t>
        </is>
      </c>
      <c r="G54" t="inlineStr">
        <is>
          <t>2024-01-25</t>
        </is>
      </c>
      <c r="H54" t="n">
        <v>3750</v>
      </c>
      <c r="I54" t="inlineStr">
        <is>
          <t>ADID</t>
        </is>
      </c>
      <c r="J54" t="n">
        <v>75000</v>
      </c>
      <c r="K54" t="inlineStr">
        <is>
          <t>2024-02-02</t>
        </is>
      </c>
      <c r="L54" t="inlineStr">
        <is>
          <t>否</t>
        </is>
      </c>
      <c r="M54" t="inlineStr">
        <is>
          <t>專案名稱：台灣大哥大股份有限公司
訂單編號：PB2400049
來源：委刊單(Order) 第 54 列</t>
        </is>
      </c>
      <c r="N54" t="inlineStr">
        <is>
          <t>2026-05-18</t>
        </is>
      </c>
    </row>
    <row r="55">
      <c r="A55" t="inlineStr">
        <is>
          <t>ord_25d52ecffa0b</t>
        </is>
      </c>
      <c r="B55" t="inlineStr"/>
      <c r="C55" t="inlineStr">
        <is>
          <t>簡訊/推播</t>
        </is>
      </c>
      <c r="D55" t="inlineStr"/>
      <c r="E55" t="inlineStr">
        <is>
          <t>益索普</t>
        </is>
      </c>
      <c r="F55" t="inlineStr">
        <is>
          <t>問券</t>
        </is>
      </c>
      <c r="G55" t="inlineStr">
        <is>
          <t>2024-01-31</t>
        </is>
      </c>
      <c r="H55" t="n">
        <v>0</v>
      </c>
      <c r="I55" t="inlineStr">
        <is>
          <t>MMS</t>
        </is>
      </c>
      <c r="J55" t="n">
        <v>112</v>
      </c>
      <c r="K55" t="inlineStr">
        <is>
          <t>2024-02-05</t>
        </is>
      </c>
      <c r="L55" t="inlineStr">
        <is>
          <t>否</t>
        </is>
      </c>
      <c r="M55" t="inlineStr">
        <is>
          <t>問券調查-APP平台消費行為研究調查調查第四階段(獎勵名單)
來源：委刊單(Order) 第 55 列</t>
        </is>
      </c>
      <c r="N55" t="inlineStr">
        <is>
          <t>2026-05-18</t>
        </is>
      </c>
    </row>
    <row r="56">
      <c r="A56" t="inlineStr">
        <is>
          <t>ord_0d543e648ad4</t>
        </is>
      </c>
      <c r="B56" t="inlineStr"/>
      <c r="C56" t="inlineStr">
        <is>
          <t>廣告受眾包</t>
        </is>
      </c>
      <c r="D56" t="inlineStr"/>
      <c r="E56" t="inlineStr">
        <is>
          <t>Appier</t>
        </is>
      </c>
      <c r="F56" t="inlineStr">
        <is>
          <t>便利商店飲料</t>
        </is>
      </c>
      <c r="G56" t="inlineStr">
        <is>
          <t>2024-02-06</t>
        </is>
      </c>
      <c r="H56" t="n">
        <v>20000</v>
      </c>
      <c r="I56" t="inlineStr">
        <is>
          <t>ADID</t>
        </is>
      </c>
      <c r="J56" t="n">
        <v>20000</v>
      </c>
      <c r="K56" t="inlineStr">
        <is>
          <t>2024-02-19</t>
        </is>
      </c>
      <c r="L56" t="inlineStr">
        <is>
          <t>否</t>
        </is>
      </c>
      <c r="M56" t="inlineStr">
        <is>
          <t>發票TA data：30天內
(1) 通路 - 便利商店 (7-11、全家、萊爾富)
(2) 品項 – 汽水、運動飲料、茶
來源：委刊單(Order) 第 56 列</t>
        </is>
      </c>
      <c r="N56" t="inlineStr">
        <is>
          <t>2026-05-18</t>
        </is>
      </c>
    </row>
    <row r="57">
      <c r="A57" t="inlineStr">
        <is>
          <t>ord_2d7dc8622c7b</t>
        </is>
      </c>
      <c r="B57" t="inlineStr"/>
      <c r="C57" t="inlineStr">
        <is>
          <t>廣告受眾包</t>
        </is>
      </c>
      <c r="D57" t="inlineStr"/>
      <c r="E57" t="inlineStr">
        <is>
          <t>TenMax</t>
        </is>
      </c>
      <c r="F57" t="inlineStr">
        <is>
          <t>裕隆日產汽車</t>
        </is>
      </c>
      <c r="G57" t="inlineStr">
        <is>
          <t>2024-02-15</t>
        </is>
      </c>
      <c r="H57" t="n">
        <v>6600</v>
      </c>
      <c r="I57" t="inlineStr">
        <is>
          <t>ADID</t>
        </is>
      </c>
      <c r="J57" t="n">
        <v>132000</v>
      </c>
      <c r="K57" t="inlineStr">
        <is>
          <t>2024-02-16</t>
        </is>
      </c>
      <c r="L57" t="inlineStr">
        <is>
          <t>否</t>
        </is>
      </c>
      <c r="M57" t="inlineStr">
        <is>
          <t>專案名稱：裕隆日產汽車股份有限公司
訂單編號：PB2400062
來源：委刊單(Order) 第 57 列</t>
        </is>
      </c>
      <c r="N57" t="inlineStr">
        <is>
          <t>2026-05-18</t>
        </is>
      </c>
    </row>
    <row r="58">
      <c r="A58" t="inlineStr">
        <is>
          <t>ord_4832264fcd6a</t>
        </is>
      </c>
      <c r="B58" t="inlineStr"/>
      <c r="C58" t="inlineStr">
        <is>
          <t>廣告受眾包</t>
        </is>
      </c>
      <c r="D58" t="inlineStr"/>
      <c r="E58" t="inlineStr">
        <is>
          <t>Appier</t>
        </is>
      </c>
      <c r="F58" t="inlineStr">
        <is>
          <t>巧克力</t>
        </is>
      </c>
      <c r="G58" t="inlineStr">
        <is>
          <t>2024-02-15</t>
        </is>
      </c>
      <c r="H58" t="n">
        <v>20000</v>
      </c>
      <c r="I58" t="inlineStr">
        <is>
          <t>ADID</t>
        </is>
      </c>
      <c r="J58" t="n">
        <v>20000</v>
      </c>
      <c r="K58" t="inlineStr">
        <is>
          <t>2024-02-27</t>
        </is>
      </c>
      <c r="L58" t="inlineStr">
        <is>
          <t>否</t>
        </is>
      </c>
      <c r="M58" t="inlineStr">
        <is>
          <t>發票TA data：近三個月購買 [ 巧克力 ] 品項 3 次以上
來源：委刊單(Order) 第 58 列</t>
        </is>
      </c>
      <c r="N58" t="inlineStr">
        <is>
          <t>2026-05-18</t>
        </is>
      </c>
    </row>
    <row r="59">
      <c r="A59" t="inlineStr">
        <is>
          <t>ord_921f2ffd8650</t>
        </is>
      </c>
      <c r="B59" t="inlineStr"/>
      <c r="C59" t="inlineStr">
        <is>
          <t>廣告受眾包</t>
        </is>
      </c>
      <c r="D59" t="inlineStr"/>
      <c r="E59" t="inlineStr">
        <is>
          <t>潮網</t>
        </is>
      </c>
      <c r="F59" t="inlineStr">
        <is>
          <t>少女裝品牌</t>
        </is>
      </c>
      <c r="G59" t="inlineStr">
        <is>
          <t>2024-01-31</t>
        </is>
      </c>
      <c r="H59" t="n">
        <v>10000</v>
      </c>
      <c r="I59" t="inlineStr">
        <is>
          <t>ADID</t>
        </is>
      </c>
      <c r="J59" t="n">
        <v>10000</v>
      </c>
      <c r="K59" t="inlineStr">
        <is>
          <t>2024-02-19</t>
        </is>
      </c>
      <c r="L59" t="inlineStr">
        <is>
          <t>否</t>
        </is>
      </c>
      <c r="M59" t="inlineStr">
        <is>
          <t>過去三個月網購女裝相關的受眾(商品，衣物、飾品)取前一萬名
來源：委刊單(Order) 第 59 列</t>
        </is>
      </c>
      <c r="N59" t="inlineStr">
        <is>
          <t>2026-05-18</t>
        </is>
      </c>
    </row>
    <row r="60">
      <c r="A60" t="inlineStr">
        <is>
          <t>ord_d89b3294d66e</t>
        </is>
      </c>
      <c r="B60" t="inlineStr"/>
      <c r="C60" t="inlineStr">
        <is>
          <t>廣告受眾包</t>
        </is>
      </c>
      <c r="D60" t="inlineStr"/>
      <c r="E60" t="inlineStr">
        <is>
          <t>電通</t>
        </is>
      </c>
      <c r="F60" t="inlineStr">
        <is>
          <t>萊雅</t>
        </is>
      </c>
      <c r="G60" t="inlineStr">
        <is>
          <t>2024-02-19</t>
        </is>
      </c>
      <c r="H60" t="n">
        <v>40000</v>
      </c>
      <c r="I60" t="inlineStr">
        <is>
          <t>ADID</t>
        </is>
      </c>
      <c r="J60" t="n">
        <v>598462</v>
      </c>
      <c r="K60" t="inlineStr">
        <is>
          <t>2024-02-21</t>
        </is>
      </c>
      <c r="L60" t="inlineStr">
        <is>
          <t>否</t>
        </is>
      </c>
      <c r="M60" t="inlineStr">
        <is>
          <t>共三包數據+ai enlarge贈送
來源：委刊單(Order) 第 60 列</t>
        </is>
      </c>
      <c r="N60" t="inlineStr">
        <is>
          <t>2026-05-18</t>
        </is>
      </c>
    </row>
    <row r="61">
      <c r="A61" t="inlineStr">
        <is>
          <t>ord_e8bc6882cdf6</t>
        </is>
      </c>
      <c r="B61" t="inlineStr"/>
      <c r="C61" t="inlineStr">
        <is>
          <t>廣告受眾包</t>
        </is>
      </c>
      <c r="D61" t="inlineStr"/>
      <c r="E61" t="inlineStr">
        <is>
          <t>TenMax</t>
        </is>
      </c>
      <c r="F61" t="inlineStr">
        <is>
          <t>永勝光學</t>
        </is>
      </c>
      <c r="G61" t="inlineStr">
        <is>
          <t>2024-02-20</t>
        </is>
      </c>
      <c r="H61" t="n">
        <v>2400</v>
      </c>
      <c r="I61" t="inlineStr">
        <is>
          <t>ADID</t>
        </is>
      </c>
      <c r="J61" t="n">
        <v>38270</v>
      </c>
      <c r="K61" t="inlineStr">
        <is>
          <t>2024-02-23</t>
        </is>
      </c>
      <c r="L61" t="inlineStr">
        <is>
          <t>否</t>
        </is>
      </c>
      <c r="M61" t="inlineStr">
        <is>
          <t>專案名稱：永勝光學股份有限公司
訂單編號：PB2400107
來源：委刊單(Order) 第 61 列</t>
        </is>
      </c>
      <c r="N61" t="inlineStr">
        <is>
          <t>2026-05-18</t>
        </is>
      </c>
    </row>
    <row r="62">
      <c r="A62" t="inlineStr">
        <is>
          <t>ord_68321ae7a105</t>
        </is>
      </c>
      <c r="B62" t="inlineStr"/>
      <c r="C62" t="inlineStr">
        <is>
          <t>廣告受眾包</t>
        </is>
      </c>
      <c r="D62" t="inlineStr"/>
      <c r="E62" t="inlineStr">
        <is>
          <t>TenMax</t>
        </is>
      </c>
      <c r="F62" t="inlineStr">
        <is>
          <t>SIG</t>
        </is>
      </c>
      <c r="G62" t="inlineStr">
        <is>
          <t>2024-02-20</t>
        </is>
      </c>
      <c r="H62" t="n">
        <v>3300</v>
      </c>
      <c r="I62" t="inlineStr">
        <is>
          <t>ADID</t>
        </is>
      </c>
      <c r="J62" t="n">
        <v>66000</v>
      </c>
      <c r="K62" t="inlineStr">
        <is>
          <t>2024-02-23</t>
        </is>
      </c>
      <c r="L62" t="inlineStr">
        <is>
          <t>否</t>
        </is>
      </c>
      <c r="M62" t="inlineStr">
        <is>
          <t>專案名稱：SIG Service Inc.
訂單編號：PB2400108
來源：委刊單(Order) 第 62 列</t>
        </is>
      </c>
      <c r="N62" t="inlineStr">
        <is>
          <t>2026-05-18</t>
        </is>
      </c>
    </row>
    <row r="63">
      <c r="A63" t="inlineStr">
        <is>
          <t>ord_fabadc88d4fc</t>
        </is>
      </c>
      <c r="B63" t="inlineStr"/>
      <c r="C63" t="inlineStr">
        <is>
          <t>簡訊/推播</t>
        </is>
      </c>
      <c r="D63" t="inlineStr"/>
      <c r="E63" t="inlineStr">
        <is>
          <t>益索普</t>
        </is>
      </c>
      <c r="F63" t="inlineStr">
        <is>
          <t>問券</t>
        </is>
      </c>
      <c r="G63" t="inlineStr">
        <is>
          <t>2024-02-23</t>
        </is>
      </c>
      <c r="H63" t="n">
        <v>0</v>
      </c>
      <c r="I63" t="inlineStr">
        <is>
          <t>MMS</t>
        </is>
      </c>
      <c r="J63" t="n">
        <v>8882</v>
      </c>
      <c r="K63" t="inlineStr">
        <is>
          <t>2024-02-23</t>
        </is>
      </c>
      <c r="L63" t="inlineStr">
        <is>
          <t>否</t>
        </is>
      </c>
      <c r="M63" t="inlineStr">
        <is>
          <t>問券調查-APP平台消費行為研究調查調查第二次獨立檔期
來源：委刊單(Order) 第 63 列</t>
        </is>
      </c>
      <c r="N63" t="inlineStr">
        <is>
          <t>2026-05-18</t>
        </is>
      </c>
    </row>
    <row r="64">
      <c r="A64" t="inlineStr">
        <is>
          <t>ord_606e1ad2d2b0</t>
        </is>
      </c>
      <c r="B64" t="inlineStr"/>
      <c r="C64" t="inlineStr">
        <is>
          <t>廣告受眾包</t>
        </is>
      </c>
      <c r="D64" t="inlineStr"/>
      <c r="E64" t="inlineStr">
        <is>
          <t>cacaFly</t>
        </is>
      </c>
      <c r="F64" t="inlineStr">
        <is>
          <t>保健食品</t>
        </is>
      </c>
      <c r="G64" t="inlineStr">
        <is>
          <t>2024-02-27</t>
        </is>
      </c>
      <c r="H64" t="n">
        <v>0</v>
      </c>
      <c r="I64" t="inlineStr">
        <is>
          <t>ADID</t>
        </is>
      </c>
      <c r="J64" t="n">
        <v>7761</v>
      </c>
      <c r="K64" t="inlineStr">
        <is>
          <t>2024-03-04</t>
        </is>
      </c>
      <c r="L64" t="inlineStr">
        <is>
          <t>否</t>
        </is>
      </c>
      <c r="M64" t="inlineStr">
        <is>
          <t>來源：委刊單(Order) 第 64 列</t>
        </is>
      </c>
      <c r="N64" t="inlineStr">
        <is>
          <t>2026-05-18</t>
        </is>
      </c>
    </row>
    <row r="65">
      <c r="A65" t="inlineStr">
        <is>
          <t>ord_171ef3206ff8</t>
        </is>
      </c>
      <c r="B65" t="inlineStr"/>
      <c r="C65" t="inlineStr">
        <is>
          <t>廣告受眾包</t>
        </is>
      </c>
      <c r="D65" t="inlineStr"/>
      <c r="E65" t="inlineStr">
        <is>
          <t>Appier</t>
        </is>
      </c>
      <c r="F65" t="inlineStr">
        <is>
          <t>尿布</t>
        </is>
      </c>
      <c r="G65" t="inlineStr">
        <is>
          <t>2024-03-05</t>
        </is>
      </c>
      <c r="H65" t="n">
        <v>20000</v>
      </c>
      <c r="I65" t="inlineStr">
        <is>
          <t>ADID</t>
        </is>
      </c>
      <c r="J65" t="n">
        <v>20000</v>
      </c>
      <c r="K65" t="inlineStr">
        <is>
          <t>2024-03-11</t>
        </is>
      </c>
      <c r="L65" t="inlineStr">
        <is>
          <t>否</t>
        </is>
      </c>
      <c r="M65" t="inlineStr">
        <is>
          <t>過去一年購買過嬰幼兒用品，需要排除"小森林"、"新生兒用品"
來源：委刊單(Order) 第 65 列</t>
        </is>
      </c>
      <c r="N65" t="inlineStr">
        <is>
          <t>2026-05-18</t>
        </is>
      </c>
    </row>
    <row r="66">
      <c r="A66" t="inlineStr">
        <is>
          <t>ord_012b2e718ea3</t>
        </is>
      </c>
      <c r="B66" t="inlineStr"/>
      <c r="C66" t="inlineStr">
        <is>
          <t>簡訊/推播</t>
        </is>
      </c>
      <c r="D66" t="inlineStr"/>
      <c r="E66" t="inlineStr">
        <is>
          <t>益索普</t>
        </is>
      </c>
      <c r="F66" t="inlineStr">
        <is>
          <t>問券</t>
        </is>
      </c>
      <c r="G66" t="inlineStr">
        <is>
          <t>2024-03-06</t>
        </is>
      </c>
      <c r="H66" t="n">
        <v>0</v>
      </c>
      <c r="I66" t="inlineStr">
        <is>
          <t>MMS</t>
        </is>
      </c>
      <c r="J66" t="n">
        <v>8811</v>
      </c>
      <c r="K66" t="inlineStr">
        <is>
          <t>2024-03-06</t>
        </is>
      </c>
      <c r="L66" t="inlineStr">
        <is>
          <t>否</t>
        </is>
      </c>
      <c r="M66" t="inlineStr">
        <is>
          <t>問券調查-APP平台消費行為研究調查調查第二次獨立檔期(未填單者二次發送)
來源：委刊單(Order) 第 66 列</t>
        </is>
      </c>
      <c r="N66" t="inlineStr">
        <is>
          <t>2026-05-18</t>
        </is>
      </c>
    </row>
    <row r="67">
      <c r="A67" t="inlineStr">
        <is>
          <t>ord_92c73ab12c5f</t>
        </is>
      </c>
      <c r="B67" t="inlineStr"/>
      <c r="C67" t="inlineStr">
        <is>
          <t>廣告受眾包</t>
        </is>
      </c>
      <c r="D67" t="inlineStr"/>
      <c r="E67" t="inlineStr">
        <is>
          <t>TenMax</t>
        </is>
      </c>
      <c r="F67" t="inlineStr">
        <is>
          <t>台灣味之素</t>
        </is>
      </c>
      <c r="G67" t="inlineStr">
        <is>
          <t>2024-03-07</t>
        </is>
      </c>
      <c r="H67" t="n">
        <v>2100</v>
      </c>
      <c r="I67" t="inlineStr">
        <is>
          <t>ADID</t>
        </is>
      </c>
      <c r="J67" t="n">
        <v>21000</v>
      </c>
      <c r="K67" t="inlineStr">
        <is>
          <t>2024-03-08</t>
        </is>
      </c>
      <c r="L67" t="inlineStr">
        <is>
          <t>否</t>
        </is>
      </c>
      <c r="M67" t="inlineStr">
        <is>
          <t>訂單編號：PB2400144
來源：委刊單(Order) 第 67 列</t>
        </is>
      </c>
      <c r="N67" t="inlineStr">
        <is>
          <t>2026-05-18</t>
        </is>
      </c>
    </row>
    <row r="68">
      <c r="A68" t="inlineStr">
        <is>
          <t>ord_90d479367cc5</t>
        </is>
      </c>
      <c r="B68" t="inlineStr"/>
      <c r="C68" t="inlineStr">
        <is>
          <t>廣告受眾包</t>
        </is>
      </c>
      <c r="D68" t="inlineStr"/>
      <c r="E68" t="inlineStr">
        <is>
          <t>TenMax</t>
        </is>
      </c>
      <c r="F68" t="inlineStr">
        <is>
          <t>萬通國際人力</t>
        </is>
      </c>
      <c r="G68" t="inlineStr">
        <is>
          <t>2024-03-07</t>
        </is>
      </c>
      <c r="H68" t="n">
        <v>3300</v>
      </c>
      <c r="I68" t="inlineStr">
        <is>
          <t>ADID</t>
        </is>
      </c>
      <c r="J68" t="n">
        <v>66000</v>
      </c>
      <c r="K68" t="inlineStr">
        <is>
          <t>2024-03-08</t>
        </is>
      </c>
      <c r="L68" t="inlineStr">
        <is>
          <t>否</t>
        </is>
      </c>
      <c r="M68" t="inlineStr">
        <is>
          <t>訂單編號：PB2400047
來源：委刊單(Order) 第 68 列</t>
        </is>
      </c>
      <c r="N68" t="inlineStr">
        <is>
          <t>2026-05-18</t>
        </is>
      </c>
    </row>
    <row r="69">
      <c r="A69" t="inlineStr">
        <is>
          <t>ord_b033da49747d</t>
        </is>
      </c>
      <c r="B69" t="inlineStr"/>
      <c r="C69" t="inlineStr">
        <is>
          <t>廣告受眾包</t>
        </is>
      </c>
      <c r="D69" t="inlineStr"/>
      <c r="E69" t="inlineStr">
        <is>
          <t>TenMax</t>
        </is>
      </c>
      <c r="F69" t="inlineStr">
        <is>
          <t>裕隆日產</t>
        </is>
      </c>
      <c r="G69" t="inlineStr">
        <is>
          <t>2024-03-07</t>
        </is>
      </c>
      <c r="H69" t="n">
        <v>4800</v>
      </c>
      <c r="I69" t="inlineStr">
        <is>
          <t>ADID</t>
        </is>
      </c>
      <c r="J69" t="n">
        <v>96000</v>
      </c>
      <c r="K69" t="inlineStr">
        <is>
          <t>2024-03-08</t>
        </is>
      </c>
      <c r="L69" t="inlineStr">
        <is>
          <t>否</t>
        </is>
      </c>
      <c r="M69" t="inlineStr">
        <is>
          <t>訂單編號：PB2400128
來源：委刊單(Order) 第 69 列</t>
        </is>
      </c>
      <c r="N69" t="inlineStr">
        <is>
          <t>2026-05-18</t>
        </is>
      </c>
    </row>
    <row r="70">
      <c r="A70" t="inlineStr">
        <is>
          <t>ord_5c0acdcc808d</t>
        </is>
      </c>
      <c r="B70" t="inlineStr"/>
      <c r="C70" t="inlineStr">
        <is>
          <t>廣告受眾包</t>
        </is>
      </c>
      <c r="D70" t="inlineStr"/>
      <c r="E70" t="inlineStr">
        <is>
          <t>TenMax</t>
        </is>
      </c>
      <c r="F70" t="inlineStr">
        <is>
          <t>台灣微軟</t>
        </is>
      </c>
      <c r="G70" t="inlineStr">
        <is>
          <t>2024-03-08</t>
        </is>
      </c>
      <c r="H70" t="n">
        <v>750</v>
      </c>
      <c r="I70" t="inlineStr">
        <is>
          <t>ADID</t>
        </is>
      </c>
      <c r="J70" t="n">
        <v>12500</v>
      </c>
      <c r="K70" t="inlineStr">
        <is>
          <t>2024-03-08</t>
        </is>
      </c>
      <c r="L70" t="inlineStr">
        <is>
          <t>否</t>
        </is>
      </c>
      <c r="M70" t="inlineStr">
        <is>
          <t>訂單編號：PA2400654
來源：委刊單(Order) 第 70 列</t>
        </is>
      </c>
      <c r="N70" t="inlineStr">
        <is>
          <t>2026-05-18</t>
        </is>
      </c>
    </row>
    <row r="71">
      <c r="A71" t="inlineStr">
        <is>
          <t>ord_a3a5689b911e</t>
        </is>
      </c>
      <c r="B71" t="inlineStr"/>
      <c r="C71" t="inlineStr">
        <is>
          <t>廣告受眾包</t>
        </is>
      </c>
      <c r="D71" t="inlineStr"/>
      <c r="E71" t="inlineStr">
        <is>
          <t>Appier</t>
        </is>
      </c>
      <c r="F71" t="inlineStr">
        <is>
          <t>烈酒</t>
        </is>
      </c>
      <c r="G71" t="inlineStr">
        <is>
          <t>2024-03-11</t>
        </is>
      </c>
      <c r="H71" t="n">
        <v>12310</v>
      </c>
      <c r="I71" t="inlineStr">
        <is>
          <t>ADID</t>
        </is>
      </c>
      <c r="J71" t="n">
        <v>12310</v>
      </c>
      <c r="K71" t="inlineStr">
        <is>
          <t>2024-03-18</t>
        </is>
      </c>
      <c r="L71" t="inlineStr">
        <is>
          <t>否</t>
        </is>
      </c>
      <c r="M71" t="inlineStr">
        <is>
          <t>90天, 進口酒、烈酒
來源：委刊單(Order) 第 71 列</t>
        </is>
      </c>
      <c r="N71" t="inlineStr">
        <is>
          <t>2026-05-18</t>
        </is>
      </c>
    </row>
    <row r="72">
      <c r="A72" t="inlineStr">
        <is>
          <t>ord_b145553d63a5</t>
        </is>
      </c>
      <c r="B72" t="inlineStr"/>
      <c r="C72" t="inlineStr">
        <is>
          <t>簡訊/推播</t>
        </is>
      </c>
      <c r="D72" t="inlineStr"/>
      <c r="E72" t="inlineStr">
        <is>
          <t>益索普</t>
        </is>
      </c>
      <c r="F72" t="inlineStr">
        <is>
          <t>問券</t>
        </is>
      </c>
      <c r="G72" t="inlineStr">
        <is>
          <t>2024-03-21</t>
        </is>
      </c>
      <c r="H72" t="n">
        <v>0</v>
      </c>
      <c r="I72" t="inlineStr">
        <is>
          <t>MMS</t>
        </is>
      </c>
      <c r="J72" t="n">
        <v>91</v>
      </c>
      <c r="K72" t="inlineStr"/>
      <c r="L72" t="inlineStr">
        <is>
          <t>否</t>
        </is>
      </c>
      <c r="M72" t="inlineStr">
        <is>
          <t>回填簡訊獎勵
來源：委刊單(Order) 第 72 列</t>
        </is>
      </c>
      <c r="N72" t="inlineStr">
        <is>
          <t>2026-05-18</t>
        </is>
      </c>
    </row>
    <row r="73">
      <c r="A73" t="inlineStr">
        <is>
          <t>ord_57f804da6ca2</t>
        </is>
      </c>
      <c r="B73" t="inlineStr"/>
      <c r="C73" t="inlineStr">
        <is>
          <t>廣告受眾包</t>
        </is>
      </c>
      <c r="D73" t="inlineStr"/>
      <c r="E73" t="inlineStr">
        <is>
          <t>Appier</t>
        </is>
      </c>
      <c r="F73" t="inlineStr">
        <is>
          <t>雞精</t>
        </is>
      </c>
      <c r="G73" t="inlineStr">
        <is>
          <t>2024-03-26</t>
        </is>
      </c>
      <c r="H73" t="n">
        <v>20000</v>
      </c>
      <c r="I73" t="inlineStr">
        <is>
          <t>ADID</t>
        </is>
      </c>
      <c r="J73" t="n">
        <v>20000</v>
      </c>
      <c r="K73" t="inlineStr">
        <is>
          <t>2024-03-27</t>
        </is>
      </c>
      <c r="L73" t="inlineStr">
        <is>
          <t>否</t>
        </is>
      </c>
      <c r="M73" t="inlineStr">
        <is>
          <t>近90天內，不分通路，品名包含白蘭氏雙認證雞精、桂格人參雞精、正官庄蔘雞精、不限品牌咖啡
來源：委刊單(Order) 第 73 列</t>
        </is>
      </c>
      <c r="N73" t="inlineStr">
        <is>
          <t>2026-05-18</t>
        </is>
      </c>
    </row>
    <row r="74">
      <c r="A74" t="inlineStr">
        <is>
          <t>ord_59d81def4772</t>
        </is>
      </c>
      <c r="B74" t="inlineStr"/>
      <c r="C74" t="inlineStr">
        <is>
          <t>廣告受眾包</t>
        </is>
      </c>
      <c r="D74" t="inlineStr"/>
      <c r="E74" t="inlineStr">
        <is>
          <t>TenMax</t>
        </is>
      </c>
      <c r="F74" t="inlineStr">
        <is>
          <t>藥品</t>
        </is>
      </c>
      <c r="G74" t="inlineStr">
        <is>
          <t>2024-03-27</t>
        </is>
      </c>
      <c r="H74" t="n">
        <v>8700</v>
      </c>
      <c r="I74" t="inlineStr">
        <is>
          <t>ADID</t>
        </is>
      </c>
      <c r="J74" t="n">
        <v>174000</v>
      </c>
      <c r="K74" t="inlineStr">
        <is>
          <t>2024-03-28</t>
        </is>
      </c>
      <c r="L74" t="inlineStr">
        <is>
          <t>否</t>
        </is>
      </c>
      <c r="M74" t="inlineStr">
        <is>
          <t>專案名稱：杏輝藥品工業股份有限公司
訂單編號：PB2400171
來源：委刊單(Order) 第 74 列</t>
        </is>
      </c>
      <c r="N74" t="inlineStr">
        <is>
          <t>2026-05-18</t>
        </is>
      </c>
    </row>
    <row r="75">
      <c r="A75" t="inlineStr">
        <is>
          <t>ord_9e1549ca786a</t>
        </is>
      </c>
      <c r="B75" t="inlineStr"/>
      <c r="C75" t="inlineStr">
        <is>
          <t>廣告受眾包</t>
        </is>
      </c>
      <c r="D75" t="inlineStr"/>
      <c r="E75" t="inlineStr">
        <is>
          <t>TenMax</t>
        </is>
      </c>
      <c r="F75" t="inlineStr">
        <is>
          <t>台灣微軟</t>
        </is>
      </c>
      <c r="G75" t="inlineStr">
        <is>
          <t>2024-03-20</t>
        </is>
      </c>
      <c r="H75" t="n">
        <v>1500</v>
      </c>
      <c r="I75" t="inlineStr">
        <is>
          <t>ADID</t>
        </is>
      </c>
      <c r="J75" t="n">
        <v>30000</v>
      </c>
      <c r="K75" t="inlineStr">
        <is>
          <t>2024-03-26</t>
        </is>
      </c>
      <c r="L75" t="inlineStr">
        <is>
          <t>否</t>
        </is>
      </c>
      <c r="M75" t="inlineStr">
        <is>
          <t>訂單編號：PA2400654
來源：委刊單(Order) 第 75 列</t>
        </is>
      </c>
      <c r="N75" t="inlineStr">
        <is>
          <t>2026-05-18</t>
        </is>
      </c>
    </row>
    <row r="76">
      <c r="A76" t="inlineStr">
        <is>
          <t>ord_973567d4df9f</t>
        </is>
      </c>
      <c r="B76" t="inlineStr"/>
      <c r="C76" t="inlineStr">
        <is>
          <t>廣告受眾包</t>
        </is>
      </c>
      <c r="D76" t="inlineStr"/>
      <c r="E76" t="inlineStr">
        <is>
          <t>TenMax</t>
        </is>
      </c>
      <c r="F76" t="inlineStr">
        <is>
          <t>裕隆日產</t>
        </is>
      </c>
      <c r="G76" t="inlineStr">
        <is>
          <t>2024-04-03</t>
        </is>
      </c>
      <c r="H76" t="n">
        <v>3300</v>
      </c>
      <c r="I76" t="inlineStr">
        <is>
          <t>ADID</t>
        </is>
      </c>
      <c r="J76" t="n">
        <v>16500</v>
      </c>
      <c r="K76" t="inlineStr">
        <is>
          <t>2024-04-09</t>
        </is>
      </c>
      <c r="L76" t="inlineStr">
        <is>
          <t>否</t>
        </is>
      </c>
      <c r="M76" t="inlineStr">
        <is>
          <t>專案名稱：裕隆日產汽車股份有限公司
訂單編號：PB2400181
來源：委刊單(Order) 第 76 列</t>
        </is>
      </c>
      <c r="N76" t="inlineStr">
        <is>
          <t>2026-05-18</t>
        </is>
      </c>
    </row>
    <row r="77">
      <c r="A77" t="inlineStr">
        <is>
          <t>ord_ccb379ca0867</t>
        </is>
      </c>
      <c r="B77" t="inlineStr"/>
      <c r="C77" t="inlineStr">
        <is>
          <t>廣告受眾包</t>
        </is>
      </c>
      <c r="D77" t="inlineStr"/>
      <c r="E77" t="inlineStr">
        <is>
          <t>cacaFly</t>
        </is>
      </c>
      <c r="F77" t="inlineStr">
        <is>
          <t>高雄房地產業者</t>
        </is>
      </c>
      <c r="G77" t="inlineStr">
        <is>
          <t>2024-04-08</t>
        </is>
      </c>
      <c r="H77" t="n">
        <v>27192</v>
      </c>
      <c r="I77" t="inlineStr">
        <is>
          <t>MMS+ADID</t>
        </is>
      </c>
      <c r="J77" t="n">
        <v>2472</v>
      </c>
      <c r="K77" t="inlineStr">
        <is>
          <t>2024-06-03</t>
        </is>
      </c>
      <c r="L77" t="inlineStr">
        <is>
          <t>否</t>
        </is>
      </c>
      <c r="M77" t="inlineStr">
        <is>
          <t>來源：委刊單(Order) 第 77 列</t>
        </is>
      </c>
      <c r="N77" t="inlineStr">
        <is>
          <t>2026-05-18</t>
        </is>
      </c>
    </row>
    <row r="78">
      <c r="A78" t="inlineStr">
        <is>
          <t>ord_02e5e89ee4ac</t>
        </is>
      </c>
      <c r="B78" t="inlineStr"/>
      <c r="C78" t="inlineStr">
        <is>
          <t>廣告受眾包</t>
        </is>
      </c>
      <c r="D78" t="inlineStr"/>
      <c r="E78" t="inlineStr">
        <is>
          <t>Appier</t>
        </is>
      </c>
      <c r="F78" t="inlineStr">
        <is>
          <t>寵物</t>
        </is>
      </c>
      <c r="G78" t="inlineStr">
        <is>
          <t>2024-04-12</t>
        </is>
      </c>
      <c r="H78" t="n">
        <v>20000</v>
      </c>
      <c r="I78" t="inlineStr">
        <is>
          <t>ADID</t>
        </is>
      </c>
      <c r="J78" t="n">
        <v>20000</v>
      </c>
      <c r="K78" t="inlineStr">
        <is>
          <t>2024-04-15</t>
        </is>
      </c>
      <c r="L78" t="inlineStr">
        <is>
          <t>否</t>
        </is>
      </c>
      <c r="M78" t="inlineStr">
        <is>
          <t>半年內買過商品名含有"狗" "除蟲" "跳蚤" "驅蟲" "飼料"
來源：委刊單(Order) 第 78 列</t>
        </is>
      </c>
      <c r="N78" t="inlineStr">
        <is>
          <t>2026-05-18</t>
        </is>
      </c>
    </row>
    <row r="79">
      <c r="A79" t="inlineStr">
        <is>
          <t>ord_2d52a35a23cc</t>
        </is>
      </c>
      <c r="B79" t="inlineStr"/>
      <c r="C79" t="inlineStr">
        <is>
          <t>廣告受眾包</t>
        </is>
      </c>
      <c r="D79" t="inlineStr"/>
      <c r="E79" t="inlineStr">
        <is>
          <t>TenMax</t>
        </is>
      </c>
      <c r="F79" t="inlineStr">
        <is>
          <t>吉光旅遊</t>
        </is>
      </c>
      <c r="G79" t="inlineStr">
        <is>
          <t>2024-04-15</t>
        </is>
      </c>
      <c r="H79" t="n">
        <v>511</v>
      </c>
      <c r="I79" t="inlineStr">
        <is>
          <t>ADID</t>
        </is>
      </c>
      <c r="J79" t="n">
        <v>10210</v>
      </c>
      <c r="K79" t="inlineStr">
        <is>
          <t>2024-04-16</t>
        </is>
      </c>
      <c r="L79" t="inlineStr">
        <is>
          <t>否</t>
        </is>
      </c>
      <c r="M79" t="inlineStr">
        <is>
          <t>專案名稱：東煒旅行社股份有限公司
訂單編號：PB2400173
來源：委刊單(Order) 第 79 列</t>
        </is>
      </c>
      <c r="N79" t="inlineStr">
        <is>
          <t>2026-05-18</t>
        </is>
      </c>
    </row>
    <row r="80">
      <c r="A80" t="inlineStr">
        <is>
          <t>ord_898b97433a62</t>
        </is>
      </c>
      <c r="B80" t="inlineStr"/>
      <c r="C80" t="inlineStr">
        <is>
          <t>廣告受眾包</t>
        </is>
      </c>
      <c r="D80" t="inlineStr"/>
      <c r="E80" t="inlineStr">
        <is>
          <t>TenMax</t>
        </is>
      </c>
      <c r="F80" t="inlineStr">
        <is>
          <t>英莩留學</t>
        </is>
      </c>
      <c r="G80" t="inlineStr">
        <is>
          <t>2024-04-15</t>
        </is>
      </c>
      <c r="H80" t="n">
        <v>10108</v>
      </c>
      <c r="I80" t="inlineStr">
        <is>
          <t>ADID</t>
        </is>
      </c>
      <c r="J80" t="n">
        <v>172440</v>
      </c>
      <c r="K80" t="inlineStr">
        <is>
          <t>2024-04-17</t>
        </is>
      </c>
      <c r="L80" t="inlineStr">
        <is>
          <t>否</t>
        </is>
      </c>
      <c r="M80" t="inlineStr">
        <is>
          <t>專案名稱：英莩留學服務股份有限公司
訂單編號：PB2400214
來源：委刊單(Order) 第 80 列</t>
        </is>
      </c>
      <c r="N80" t="inlineStr">
        <is>
          <t>2026-05-18</t>
        </is>
      </c>
    </row>
    <row r="81">
      <c r="A81" t="inlineStr">
        <is>
          <t>ord_7932a616abbc</t>
        </is>
      </c>
      <c r="B81" t="inlineStr"/>
      <c r="C81" t="inlineStr">
        <is>
          <t>廣告受眾包</t>
        </is>
      </c>
      <c r="D81" t="inlineStr"/>
      <c r="E81" t="inlineStr">
        <is>
          <t>Appier</t>
        </is>
      </c>
      <c r="F81" t="inlineStr">
        <is>
          <t>無框行動</t>
        </is>
      </c>
      <c r="G81" t="inlineStr">
        <is>
          <t>2024-04-16</t>
        </is>
      </c>
      <c r="H81" t="n">
        <v>3699</v>
      </c>
      <c r="I81" t="inlineStr">
        <is>
          <t>ADID</t>
        </is>
      </c>
      <c r="J81" t="n">
        <v>3699</v>
      </c>
      <c r="K81" t="inlineStr">
        <is>
          <t>2024-04-16</t>
        </is>
      </c>
      <c r="L81" t="inlineStr">
        <is>
          <t>否</t>
        </is>
      </c>
      <c r="M81" t="inlineStr">
        <is>
          <t>無框行動" "Circles.Life" "星圓通訊" "
來源：委刊單(Order) 第 81 列</t>
        </is>
      </c>
      <c r="N81" t="inlineStr">
        <is>
          <t>2026-05-18</t>
        </is>
      </c>
    </row>
    <row r="82">
      <c r="A82" t="inlineStr">
        <is>
          <t>ord_5cfc7ef72405</t>
        </is>
      </c>
      <c r="B82" t="inlineStr"/>
      <c r="C82" t="inlineStr">
        <is>
          <t>廣告受眾包</t>
        </is>
      </c>
      <c r="D82" t="inlineStr"/>
      <c r="E82" t="inlineStr">
        <is>
          <t>TenMax</t>
        </is>
      </c>
      <c r="F82" t="inlineStr">
        <is>
          <t>台塑生醫</t>
        </is>
      </c>
      <c r="G82" t="inlineStr">
        <is>
          <t>2024-04-16</t>
        </is>
      </c>
      <c r="H82" t="n">
        <v>3300</v>
      </c>
      <c r="I82" t="inlineStr">
        <is>
          <t>ADID</t>
        </is>
      </c>
      <c r="J82" t="n">
        <v>33000</v>
      </c>
      <c r="K82" t="inlineStr">
        <is>
          <t>2024-04-17</t>
        </is>
      </c>
      <c r="L82" t="inlineStr">
        <is>
          <t>否</t>
        </is>
      </c>
      <c r="M82" t="inlineStr">
        <is>
          <t>專案名稱：台塑生醫科技股份有限公司
訂單編號：PB2400240
來源：委刊單(Order) 第 82 列</t>
        </is>
      </c>
      <c r="N82" t="inlineStr">
        <is>
          <t>2026-05-18</t>
        </is>
      </c>
    </row>
    <row r="83">
      <c r="A83" t="inlineStr">
        <is>
          <t>ord_766ec0473d7f</t>
        </is>
      </c>
      <c r="B83" t="inlineStr"/>
      <c r="C83" t="inlineStr">
        <is>
          <t>廣告受眾包</t>
        </is>
      </c>
      <c r="D83" t="inlineStr"/>
      <c r="E83" t="inlineStr">
        <is>
          <t>TenMax</t>
        </is>
      </c>
      <c r="F83" t="inlineStr">
        <is>
          <t>蓓朵娜</t>
        </is>
      </c>
      <c r="G83" t="inlineStr">
        <is>
          <t>2024-04-17</t>
        </is>
      </c>
      <c r="H83" t="n">
        <v>1848</v>
      </c>
      <c r="I83" t="inlineStr">
        <is>
          <t>ADID</t>
        </is>
      </c>
      <c r="J83" t="n">
        <v>18480</v>
      </c>
      <c r="K83" t="inlineStr">
        <is>
          <t>2024-04-19</t>
        </is>
      </c>
      <c r="L83" t="inlineStr">
        <is>
          <t>否</t>
        </is>
      </c>
      <c r="M83" t="inlineStr">
        <is>
          <t>專案名稱：蓓朵娜_TenMax 4月活動_2404
訂單編號：PB2400245
來源：委刊單(Order) 第 83 列</t>
        </is>
      </c>
      <c r="N83" t="inlineStr">
        <is>
          <t>2026-05-18</t>
        </is>
      </c>
    </row>
    <row r="84">
      <c r="A84" t="inlineStr">
        <is>
          <t>ord_c96e04e40d90</t>
        </is>
      </c>
      <c r="B84" t="inlineStr"/>
      <c r="C84" t="inlineStr">
        <is>
          <t>廣告受眾包</t>
        </is>
      </c>
      <c r="D84" t="inlineStr"/>
      <c r="E84" t="inlineStr">
        <is>
          <t>TenMax</t>
        </is>
      </c>
      <c r="F84" t="inlineStr">
        <is>
          <t>Juliart</t>
        </is>
      </c>
      <c r="G84" t="inlineStr">
        <is>
          <t>2024-04-17</t>
        </is>
      </c>
      <c r="H84" t="n">
        <v>5058</v>
      </c>
      <c r="I84" t="inlineStr">
        <is>
          <t>ADID</t>
        </is>
      </c>
      <c r="J84" t="n">
        <v>78394</v>
      </c>
      <c r="K84" t="inlineStr">
        <is>
          <t>2024-04-19</t>
        </is>
      </c>
      <c r="L84" t="inlineStr">
        <is>
          <t>否</t>
        </is>
      </c>
      <c r="M84" t="inlineStr">
        <is>
          <t>雲洋社群行銷股份有限公司
來源：委刊單(Order) 第 84 列</t>
        </is>
      </c>
      <c r="N84" t="inlineStr">
        <is>
          <t>2026-05-18</t>
        </is>
      </c>
    </row>
    <row r="85">
      <c r="A85" t="inlineStr">
        <is>
          <t>ord_dbbd30cf6ce1</t>
        </is>
      </c>
      <c r="B85" t="inlineStr"/>
      <c r="C85" t="inlineStr">
        <is>
          <t>廣告受眾包</t>
        </is>
      </c>
      <c r="D85" t="inlineStr"/>
      <c r="E85" t="inlineStr">
        <is>
          <t>電通</t>
        </is>
      </c>
      <c r="F85" t="inlineStr">
        <is>
          <t>母親節受眾包</t>
        </is>
      </c>
      <c r="G85" t="inlineStr">
        <is>
          <t>2024-04-18</t>
        </is>
      </c>
      <c r="H85" t="n">
        <v>50000</v>
      </c>
      <c r="I85" t="inlineStr">
        <is>
          <t>ADID</t>
        </is>
      </c>
      <c r="J85" t="n">
        <v>156803</v>
      </c>
      <c r="K85" t="inlineStr">
        <is>
          <t>2024-04-18</t>
        </is>
      </c>
      <c r="L85" t="inlineStr">
        <is>
          <t>否</t>
        </is>
      </c>
      <c r="M85" t="inlineStr">
        <is>
          <t>母親節潛在購買TA(母親節期間花費相較於前一個週期成長1.5倍以上的用戶)
來源：委刊單(Order) 第 85 列</t>
        </is>
      </c>
      <c r="N85" t="inlineStr">
        <is>
          <t>2026-05-18</t>
        </is>
      </c>
    </row>
    <row r="86">
      <c r="A86" t="inlineStr">
        <is>
          <t>ord_a529bf5a7ae8</t>
        </is>
      </c>
      <c r="B86" t="inlineStr"/>
      <c r="C86" t="inlineStr">
        <is>
          <t>簡訊/推播</t>
        </is>
      </c>
      <c r="D86" t="inlineStr"/>
      <c r="E86" t="inlineStr">
        <is>
          <t>益索普</t>
        </is>
      </c>
      <c r="F86" t="inlineStr">
        <is>
          <t>高級酒類問券</t>
        </is>
      </c>
      <c r="G86" t="inlineStr">
        <is>
          <t>2024-04-22</t>
        </is>
      </c>
      <c r="H86" t="n">
        <v>5380</v>
      </c>
      <c r="I86" t="inlineStr">
        <is>
          <t>MMS</t>
        </is>
      </c>
      <c r="J86" t="n">
        <v>538</v>
      </c>
      <c r="K86" t="inlineStr">
        <is>
          <t>2024-04-22</t>
        </is>
      </c>
      <c r="L86" t="inlineStr">
        <is>
          <t>否</t>
        </is>
      </c>
      <c r="M86" t="inlineStr">
        <is>
          <t>曾經購買過至少1瓶NT$35,000 及以上的頂級酒品
來源：委刊單(Order) 第 86 列</t>
        </is>
      </c>
      <c r="N86" t="inlineStr">
        <is>
          <t>2026-05-18</t>
        </is>
      </c>
    </row>
    <row r="87">
      <c r="A87" t="inlineStr">
        <is>
          <t>ord_7d69c0364587</t>
        </is>
      </c>
      <c r="B87" t="inlineStr"/>
      <c r="C87" t="inlineStr">
        <is>
          <t>廣告受眾包</t>
        </is>
      </c>
      <c r="D87" t="inlineStr"/>
      <c r="E87" t="inlineStr">
        <is>
          <t>Appier</t>
        </is>
      </c>
      <c r="F87" t="inlineStr">
        <is>
          <t>舒酸定</t>
        </is>
      </c>
      <c r="G87" t="inlineStr">
        <is>
          <t>2024-04-24</t>
        </is>
      </c>
      <c r="H87" t="n">
        <v>20000</v>
      </c>
      <c r="I87" t="inlineStr">
        <is>
          <t>ADID</t>
        </is>
      </c>
      <c r="J87" t="n">
        <v>20000</v>
      </c>
      <c r="K87" t="inlineStr">
        <is>
          <t>2024-04-30</t>
        </is>
      </c>
      <c r="L87" t="inlineStr">
        <is>
          <t>否</t>
        </is>
      </c>
      <c r="M87" t="inlineStr">
        <is>
          <t>Youtube訂閱&amp;舒酸定
來源：委刊單(Order) 第 87 列</t>
        </is>
      </c>
      <c r="N87" t="inlineStr">
        <is>
          <t>2026-05-18</t>
        </is>
      </c>
    </row>
    <row r="88">
      <c r="A88" t="inlineStr">
        <is>
          <t>ord_fe1919e75e1f</t>
        </is>
      </c>
      <c r="B88" t="inlineStr"/>
      <c r="C88" t="inlineStr">
        <is>
          <t>廣告受眾包</t>
        </is>
      </c>
      <c r="D88" t="inlineStr"/>
      <c r="E88" t="inlineStr">
        <is>
          <t>TenMax</t>
        </is>
      </c>
      <c r="F88" t="inlineStr">
        <is>
          <t>莎薇</t>
        </is>
      </c>
      <c r="G88" t="inlineStr">
        <is>
          <t>2024-04-26</t>
        </is>
      </c>
      <c r="H88" t="n">
        <v>1800</v>
      </c>
      <c r="I88" t="inlineStr">
        <is>
          <t>ADID</t>
        </is>
      </c>
      <c r="J88" t="n">
        <v>9000</v>
      </c>
      <c r="K88" t="inlineStr">
        <is>
          <t>2024-04-29</t>
        </is>
      </c>
      <c r="L88" t="inlineStr">
        <is>
          <t>否</t>
        </is>
      </c>
      <c r="M88" t="inlineStr">
        <is>
          <t>專案名稱：莎薇_TenMax
訂單編號：PB2400253
來源：委刊單(Order) 第 88 列</t>
        </is>
      </c>
      <c r="N88" t="inlineStr">
        <is>
          <t>2026-05-18</t>
        </is>
      </c>
    </row>
    <row r="89">
      <c r="A89" t="inlineStr">
        <is>
          <t>ord_e464dfda71ab</t>
        </is>
      </c>
      <c r="B89" t="inlineStr"/>
      <c r="C89" t="inlineStr">
        <is>
          <t>廣告受眾包</t>
        </is>
      </c>
      <c r="D89" t="inlineStr"/>
      <c r="E89" t="inlineStr">
        <is>
          <t>電通</t>
        </is>
      </c>
      <c r="F89" t="inlineStr">
        <is>
          <t>防曬產品</t>
        </is>
      </c>
      <c r="G89" t="inlineStr">
        <is>
          <t>2024-04-26</t>
        </is>
      </c>
      <c r="H89" t="n">
        <v>30000</v>
      </c>
      <c r="I89" t="inlineStr">
        <is>
          <t>ADID</t>
        </is>
      </c>
      <c r="J89" t="n">
        <v>377061</v>
      </c>
      <c r="K89" t="inlineStr">
        <is>
          <t>2024-04-29</t>
        </is>
      </c>
      <c r="L89" t="inlineStr">
        <is>
          <t>否</t>
        </is>
      </c>
      <c r="M89" t="inlineStr">
        <is>
          <t>過去一年內有購買過防曬產品的受眾
來源：委刊單(Order) 第 89 列</t>
        </is>
      </c>
      <c r="N89" t="inlineStr">
        <is>
          <t>2026-05-18</t>
        </is>
      </c>
    </row>
    <row r="90">
      <c r="A90" t="inlineStr">
        <is>
          <t>ord_10b2438fa688</t>
        </is>
      </c>
      <c r="B90" t="inlineStr"/>
      <c r="C90" t="inlineStr">
        <is>
          <t>簡訊/推播</t>
        </is>
      </c>
      <c r="D90" t="inlineStr"/>
      <c r="E90" t="inlineStr">
        <is>
          <t>益索普</t>
        </is>
      </c>
      <c r="F90" t="inlineStr">
        <is>
          <t>電動車問券</t>
        </is>
      </c>
      <c r="G90" t="inlineStr">
        <is>
          <t>2024-04-29</t>
        </is>
      </c>
      <c r="H90" t="n">
        <v>15000</v>
      </c>
      <c r="I90" t="inlineStr">
        <is>
          <t>MMS</t>
        </is>
      </c>
      <c r="J90" t="n">
        <v>1500</v>
      </c>
      <c r="K90" t="inlineStr">
        <is>
          <t>2024-04-29</t>
        </is>
      </c>
      <c r="L90" t="inlineStr">
        <is>
          <t>否</t>
        </is>
      </c>
      <c r="M90" t="inlineStr">
        <is>
          <t>汽車車主共3,000人(需要拆4/29及4/30兩波發送，每波發送1,500筆 30號暫停
來源：委刊單(Order) 第 90 列</t>
        </is>
      </c>
      <c r="N90" t="inlineStr">
        <is>
          <t>2026-05-18</t>
        </is>
      </c>
    </row>
    <row r="91">
      <c r="A91" t="inlineStr">
        <is>
          <t>ord_5750a59259a2</t>
        </is>
      </c>
      <c r="B91" t="inlineStr"/>
      <c r="C91" t="inlineStr">
        <is>
          <t>廣告受眾包</t>
        </is>
      </c>
      <c r="D91" t="inlineStr"/>
      <c r="E91" t="inlineStr">
        <is>
          <t>Appier</t>
        </is>
      </c>
      <c r="F91" t="inlineStr">
        <is>
          <t>蕾黛絲</t>
        </is>
      </c>
      <c r="G91" t="inlineStr">
        <is>
          <t>2024-05-02</t>
        </is>
      </c>
      <c r="H91" t="n">
        <v>20000</v>
      </c>
      <c r="I91" t="inlineStr">
        <is>
          <t>ADID</t>
        </is>
      </c>
      <c r="J91" t="n">
        <v>20000</v>
      </c>
      <c r="K91" t="inlineStr">
        <is>
          <t>2024-05-03</t>
        </is>
      </c>
      <c r="L91" t="inlineStr">
        <is>
          <t>否</t>
        </is>
      </c>
      <c r="M91" t="inlineStr">
        <is>
          <t>19-34 女性  近兩年的蕾黛絲競品消費者+蕾黛絲的流失客
來源：委刊單(Order) 第 91 列</t>
        </is>
      </c>
      <c r="N91" t="inlineStr">
        <is>
          <t>2026-05-18</t>
        </is>
      </c>
    </row>
    <row r="92">
      <c r="A92" t="inlineStr">
        <is>
          <t>ord_514583a7d759</t>
        </is>
      </c>
      <c r="B92" t="inlineStr"/>
      <c r="C92" t="inlineStr">
        <is>
          <t>廣告受眾包</t>
        </is>
      </c>
      <c r="D92" t="inlineStr"/>
      <c r="E92" t="inlineStr">
        <is>
          <t>TenMax</t>
        </is>
      </c>
      <c r="F92" t="inlineStr">
        <is>
          <t>台灣味之素</t>
        </is>
      </c>
      <c r="G92" t="inlineStr">
        <is>
          <t>2024-05-06</t>
        </is>
      </c>
      <c r="H92" t="n">
        <v>1800</v>
      </c>
      <c r="I92" t="inlineStr">
        <is>
          <t>ADID</t>
        </is>
      </c>
      <c r="J92" t="n">
        <v>31000</v>
      </c>
      <c r="K92" t="inlineStr">
        <is>
          <t>2024-05-07</t>
        </is>
      </c>
      <c r="L92" t="inlineStr">
        <is>
          <t>否</t>
        </is>
      </c>
      <c r="M92" t="inlineStr">
        <is>
          <t>專案名稱：台灣味之素_VONO_2405
訂單編號：PB2400275
來源：委刊單(Order) 第 92 列</t>
        </is>
      </c>
      <c r="N92" t="inlineStr">
        <is>
          <t>2026-05-18</t>
        </is>
      </c>
    </row>
    <row r="93">
      <c r="A93" t="inlineStr">
        <is>
          <t>ord_399781660986</t>
        </is>
      </c>
      <c r="B93" t="inlineStr"/>
      <c r="C93" t="inlineStr">
        <is>
          <t>廣告受眾包</t>
        </is>
      </c>
      <c r="D93" t="inlineStr"/>
      <c r="E93" t="inlineStr">
        <is>
          <t>TenMax</t>
        </is>
      </c>
      <c r="F93" t="inlineStr">
        <is>
          <t>烹大師</t>
        </is>
      </c>
      <c r="G93" t="inlineStr">
        <is>
          <t>2024-05-06</t>
        </is>
      </c>
      <c r="H93" t="n">
        <v>2250</v>
      </c>
      <c r="I93" t="inlineStr">
        <is>
          <t>ADID</t>
        </is>
      </c>
      <c r="J93" t="n">
        <v>22500</v>
      </c>
      <c r="K93" t="inlineStr">
        <is>
          <t>2024-05-07</t>
        </is>
      </c>
      <c r="L93" t="inlineStr">
        <is>
          <t>否</t>
        </is>
      </c>
      <c r="M93" t="inlineStr">
        <is>
          <t>專案名稱：烹大師_TenMax Video_2405
訂單編號：PB2400274
來源：委刊單(Order) 第 93 列</t>
        </is>
      </c>
      <c r="N93" t="inlineStr">
        <is>
          <t>2026-05-18</t>
        </is>
      </c>
    </row>
    <row r="94">
      <c r="A94" t="inlineStr">
        <is>
          <t>ord_0c5b0ab7a49b</t>
        </is>
      </c>
      <c r="B94" t="inlineStr"/>
      <c r="C94" t="inlineStr">
        <is>
          <t>廣告受眾包</t>
        </is>
      </c>
      <c r="D94" t="inlineStr"/>
      <c r="E94" t="inlineStr">
        <is>
          <t>TenMax</t>
        </is>
      </c>
      <c r="F94" t="inlineStr">
        <is>
          <t>百醫生技</t>
        </is>
      </c>
      <c r="G94" t="inlineStr">
        <is>
          <t>2024-05-06</t>
        </is>
      </c>
      <c r="H94" t="n">
        <v>9000</v>
      </c>
      <c r="I94" t="inlineStr">
        <is>
          <t>ADID</t>
        </is>
      </c>
      <c r="J94" t="n">
        <v>180000</v>
      </c>
      <c r="K94" t="inlineStr">
        <is>
          <t>2024-05-07</t>
        </is>
      </c>
      <c r="L94" t="inlineStr">
        <is>
          <t>否</t>
        </is>
      </c>
      <c r="M94" t="inlineStr">
        <is>
          <t>專案名稱：百醫生技_TenMax NativeAd_2402
訂單編號：PB2400084
來源：委刊單(Order) 第 94 列</t>
        </is>
      </c>
      <c r="N94" t="inlineStr">
        <is>
          <t>2026-05-18</t>
        </is>
      </c>
    </row>
    <row r="95">
      <c r="A95" t="inlineStr">
        <is>
          <t>ord_af556d9404ba</t>
        </is>
      </c>
      <c r="B95" t="inlineStr"/>
      <c r="C95" t="inlineStr">
        <is>
          <t>廣告受眾包</t>
        </is>
      </c>
      <c r="D95" t="inlineStr"/>
      <c r="E95" t="inlineStr">
        <is>
          <t>TenMax</t>
        </is>
      </c>
      <c r="F95" t="inlineStr">
        <is>
          <t>立朵舒</t>
        </is>
      </c>
      <c r="G95" t="inlineStr">
        <is>
          <t>2024-05-06</t>
        </is>
      </c>
      <c r="H95" t="n">
        <v>3000</v>
      </c>
      <c r="I95" t="inlineStr">
        <is>
          <t>ADID</t>
        </is>
      </c>
      <c r="J95" t="n">
        <v>15000</v>
      </c>
      <c r="K95" t="inlineStr">
        <is>
          <t>2024-05-07</t>
        </is>
      </c>
      <c r="L95" t="inlineStr">
        <is>
          <t>否</t>
        </is>
      </c>
      <c r="M95" t="inlineStr">
        <is>
          <t>專案名稱：立朵舒_TenMax RichMedia Ads_2404
訂單編號：PB2400264
來源：委刊單(Order) 第 95 列</t>
        </is>
      </c>
      <c r="N95" t="inlineStr">
        <is>
          <t>2026-05-18</t>
        </is>
      </c>
    </row>
    <row r="96">
      <c r="A96" t="inlineStr">
        <is>
          <t>ord_7caa88be20ed</t>
        </is>
      </c>
      <c r="B96" t="inlineStr"/>
      <c r="C96" t="inlineStr">
        <is>
          <t>廣告受眾包</t>
        </is>
      </c>
      <c r="D96" t="inlineStr"/>
      <c r="E96" t="inlineStr">
        <is>
          <t>TenMax</t>
        </is>
      </c>
      <c r="F96" t="inlineStr">
        <is>
          <t>喜療瘀</t>
        </is>
      </c>
      <c r="G96" t="inlineStr">
        <is>
          <t>2024-05-06</t>
        </is>
      </c>
      <c r="H96" t="n">
        <v>3000</v>
      </c>
      <c r="I96" t="inlineStr">
        <is>
          <t>ADID</t>
        </is>
      </c>
      <c r="J96" t="n">
        <v>30000</v>
      </c>
      <c r="K96" t="inlineStr">
        <is>
          <t>2024-05-07</t>
        </is>
      </c>
      <c r="L96" t="inlineStr">
        <is>
          <t>否</t>
        </is>
      </c>
      <c r="M96" t="inlineStr">
        <is>
          <t>專案名稱：喜療瘀_TenMax RichMedia Ads_2404
訂單編號：PB2400251
來源：委刊單(Order) 第 96 列</t>
        </is>
      </c>
      <c r="N96" t="inlineStr">
        <is>
          <t>2026-05-18</t>
        </is>
      </c>
    </row>
    <row r="97">
      <c r="A97" t="inlineStr">
        <is>
          <t>ord_8ade2615f5bb</t>
        </is>
      </c>
      <c r="B97" t="inlineStr"/>
      <c r="C97" t="inlineStr">
        <is>
          <t>廣告受眾包</t>
        </is>
      </c>
      <c r="D97" t="inlineStr"/>
      <c r="E97" t="inlineStr">
        <is>
          <t>TenMax</t>
        </is>
      </c>
      <c r="F97" t="inlineStr">
        <is>
          <t>張國周</t>
        </is>
      </c>
      <c r="G97" t="inlineStr">
        <is>
          <t>2024-05-06</t>
        </is>
      </c>
      <c r="H97" t="n">
        <v>720</v>
      </c>
      <c r="I97" t="inlineStr">
        <is>
          <t>ADID</t>
        </is>
      </c>
      <c r="J97" t="n">
        <v>14400</v>
      </c>
      <c r="K97" t="inlineStr">
        <is>
          <t>2024-05-07</t>
        </is>
      </c>
      <c r="L97" t="inlineStr">
        <is>
          <t>否</t>
        </is>
      </c>
      <c r="M97" t="inlineStr">
        <is>
          <t>專案名稱：張國周_葉黃素_TenMax RichMedia Ads_2405
訂單編號：PB2400276
來源：委刊單(Order) 第 97 列</t>
        </is>
      </c>
      <c r="N97" t="inlineStr">
        <is>
          <t>2026-05-18</t>
        </is>
      </c>
    </row>
    <row r="98">
      <c r="A98" t="inlineStr">
        <is>
          <t>ord_e9d9734ebd9c</t>
        </is>
      </c>
      <c r="B98" t="inlineStr"/>
      <c r="C98" t="inlineStr">
        <is>
          <t>廣告受眾包</t>
        </is>
      </c>
      <c r="D98" t="inlineStr"/>
      <c r="E98" t="inlineStr">
        <is>
          <t>Appier</t>
        </is>
      </c>
      <c r="F98" t="inlineStr">
        <is>
          <t>Pchome</t>
        </is>
      </c>
      <c r="G98" t="inlineStr">
        <is>
          <t>2024-05-07</t>
        </is>
      </c>
      <c r="H98" t="n">
        <v>20000</v>
      </c>
      <c r="I98" t="inlineStr">
        <is>
          <t>ADID</t>
        </is>
      </c>
      <c r="J98" t="n">
        <v>20000</v>
      </c>
      <c r="K98" t="inlineStr">
        <is>
          <t>2024-05-07</t>
        </is>
      </c>
      <c r="L98" t="inlineStr">
        <is>
          <t>否</t>
        </is>
      </c>
      <c r="M98" t="inlineStr">
        <is>
          <t>請協助撈取近90天有在pchome消費3次以上
來源：委刊單(Order) 第 98 列</t>
        </is>
      </c>
      <c r="N98" t="inlineStr">
        <is>
          <t>2026-05-18</t>
        </is>
      </c>
    </row>
    <row r="99">
      <c r="A99" t="inlineStr">
        <is>
          <t>ord_5a680bc6faee</t>
        </is>
      </c>
      <c r="B99" t="inlineStr"/>
      <c r="C99" t="inlineStr">
        <is>
          <t>廣告受眾包</t>
        </is>
      </c>
      <c r="D99" t="inlineStr"/>
      <c r="E99" t="inlineStr">
        <is>
          <t>12CM</t>
        </is>
      </c>
      <c r="F99" t="inlineStr">
        <is>
          <t>停車場APP</t>
        </is>
      </c>
      <c r="G99" t="inlineStr">
        <is>
          <t>2024-05-08</t>
        </is>
      </c>
      <c r="H99" t="n">
        <v>3000</v>
      </c>
      <c r="I99" t="inlineStr">
        <is>
          <t>ADID</t>
        </is>
      </c>
      <c r="J99" t="n">
        <v>30000</v>
      </c>
      <c r="K99" t="inlineStr">
        <is>
          <t>2024-05-10</t>
        </is>
      </c>
      <c r="L99" t="inlineStr">
        <is>
          <t>否</t>
        </is>
      </c>
      <c r="M99" t="inlineStr">
        <is>
          <t>近三個月有停車費的受眾
來源：委刊單(Order) 第 99 列</t>
        </is>
      </c>
      <c r="N99" t="inlineStr">
        <is>
          <t>2026-05-18</t>
        </is>
      </c>
    </row>
    <row r="100">
      <c r="A100" t="inlineStr">
        <is>
          <t>ord_1e09a6ee8f02</t>
        </is>
      </c>
      <c r="B100" t="inlineStr"/>
      <c r="C100" t="inlineStr">
        <is>
          <t>廣告受眾包</t>
        </is>
      </c>
      <c r="D100" t="inlineStr"/>
      <c r="E100" t="inlineStr">
        <is>
          <t>TenMax</t>
        </is>
      </c>
      <c r="F100" t="inlineStr">
        <is>
          <t>聖州</t>
        </is>
      </c>
      <c r="G100" t="inlineStr">
        <is>
          <t>2024-05-15</t>
        </is>
      </c>
      <c r="H100" t="n">
        <v>1500</v>
      </c>
      <c r="I100" t="inlineStr">
        <is>
          <t>ADID</t>
        </is>
      </c>
      <c r="J100" t="n">
        <v>17300</v>
      </c>
      <c r="K100" t="inlineStr">
        <is>
          <t>2024-05-17</t>
        </is>
      </c>
      <c r="L100" t="inlineStr">
        <is>
          <t>否</t>
        </is>
      </c>
      <c r="M100" t="inlineStr">
        <is>
          <t>專案名稱：聖州_3D® Mats_TenMax Video_2405
訂單編號：PB2400298
來源：委刊單(Order) 第 100 列</t>
        </is>
      </c>
      <c r="N100" t="inlineStr">
        <is>
          <t>2026-05-18</t>
        </is>
      </c>
    </row>
    <row r="101">
      <c r="A101" t="inlineStr">
        <is>
          <t>ord_ad01f8f700f4</t>
        </is>
      </c>
      <c r="B101" t="inlineStr"/>
      <c r="C101" t="inlineStr">
        <is>
          <t>廣告受眾包</t>
        </is>
      </c>
      <c r="D101" t="inlineStr"/>
      <c r="E101" t="inlineStr">
        <is>
          <t>Appier</t>
        </is>
      </c>
      <c r="F101" t="inlineStr">
        <is>
          <t>葉黃素</t>
        </is>
      </c>
      <c r="G101" t="inlineStr">
        <is>
          <t>2024-05-16</t>
        </is>
      </c>
      <c r="H101" t="n">
        <v>20000</v>
      </c>
      <c r="I101" t="inlineStr">
        <is>
          <t>ADID</t>
        </is>
      </c>
      <c r="J101" t="n">
        <v>20000</v>
      </c>
      <c r="K101" t="inlineStr">
        <is>
          <t>2024-05-17</t>
        </is>
      </c>
      <c r="L101" t="inlineStr">
        <is>
          <t>否</t>
        </is>
      </c>
      <c r="M101" t="inlineStr">
        <is>
          <t>過去90天有購買特定品牌葉黃素受眾
來源：委刊單(Order) 第 101 列</t>
        </is>
      </c>
      <c r="N101" t="inlineStr">
        <is>
          <t>2026-05-18</t>
        </is>
      </c>
    </row>
    <row r="102">
      <c r="A102" t="inlineStr">
        <is>
          <t>ord_74e63b76b763</t>
        </is>
      </c>
      <c r="B102" t="inlineStr"/>
      <c r="C102" t="inlineStr">
        <is>
          <t>廣告受眾包</t>
        </is>
      </c>
      <c r="D102" t="inlineStr"/>
      <c r="E102" t="inlineStr">
        <is>
          <t>電通</t>
        </is>
      </c>
      <c r="F102" t="inlineStr">
        <is>
          <t>抗痘產品</t>
        </is>
      </c>
      <c r="G102" t="inlineStr">
        <is>
          <t>2024-05-17</t>
        </is>
      </c>
      <c r="H102" t="n">
        <v>40000</v>
      </c>
      <c r="I102" t="inlineStr">
        <is>
          <t>ADID</t>
        </is>
      </c>
      <c r="J102" t="n">
        <v>126734</v>
      </c>
      <c r="K102" t="inlineStr">
        <is>
          <t>2024-05-20</t>
        </is>
      </c>
      <c r="L102" t="inlineStr">
        <is>
          <t>否</t>
        </is>
      </c>
      <c r="M102" t="inlineStr">
        <is>
          <t>抗痘產品
來源：委刊單(Order) 第 102 列</t>
        </is>
      </c>
      <c r="N102" t="inlineStr">
        <is>
          <t>2026-05-18</t>
        </is>
      </c>
    </row>
    <row r="103">
      <c r="A103" t="inlineStr">
        <is>
          <t>ord_20dd116820a1</t>
        </is>
      </c>
      <c r="B103" t="inlineStr"/>
      <c r="C103" t="inlineStr">
        <is>
          <t>廣告受眾包</t>
        </is>
      </c>
      <c r="D103" t="inlineStr"/>
      <c r="E103" t="inlineStr">
        <is>
          <t>Appier</t>
        </is>
      </c>
      <c r="F103" t="inlineStr">
        <is>
          <t>手錶</t>
        </is>
      </c>
      <c r="G103" t="inlineStr">
        <is>
          <t>2024-05-17</t>
        </is>
      </c>
      <c r="H103" t="n">
        <v>20000</v>
      </c>
      <c r="I103" t="inlineStr">
        <is>
          <t>ADID</t>
        </is>
      </c>
      <c r="J103" t="n">
        <v>20000</v>
      </c>
      <c r="K103" t="inlineStr">
        <is>
          <t>2024-05-20</t>
        </is>
      </c>
      <c r="L103" t="inlineStr">
        <is>
          <t>否</t>
        </is>
      </c>
      <c r="M103" t="inlineStr">
        <is>
          <t>有購買特定手錶品牌的用戶
來源：委刊單(Order) 第 103 列</t>
        </is>
      </c>
      <c r="N103" t="inlineStr">
        <is>
          <t>2026-05-18</t>
        </is>
      </c>
    </row>
    <row r="104">
      <c r="A104" t="inlineStr">
        <is>
          <t>ord_693a750587d8</t>
        </is>
      </c>
      <c r="B104" t="inlineStr"/>
      <c r="C104" t="inlineStr">
        <is>
          <t>廣告受眾包</t>
        </is>
      </c>
      <c r="D104" t="inlineStr"/>
      <c r="E104" t="inlineStr">
        <is>
          <t>TenMax</t>
        </is>
      </c>
      <c r="F104" t="inlineStr">
        <is>
          <t>蓓朵娜</t>
        </is>
      </c>
      <c r="G104" t="inlineStr">
        <is>
          <t>2024-05-21</t>
        </is>
      </c>
      <c r="H104" t="n">
        <v>1920</v>
      </c>
      <c r="I104" t="inlineStr">
        <is>
          <t>ADID</t>
        </is>
      </c>
      <c r="J104" t="n">
        <v>19200</v>
      </c>
      <c r="K104" t="inlineStr">
        <is>
          <t>2024-05-23</t>
        </is>
      </c>
      <c r="L104" t="inlineStr">
        <is>
          <t>否</t>
        </is>
      </c>
      <c r="M104" t="inlineStr">
        <is>
          <t>專案名稱：蓓朵娜_TenMax RichMedia 5月活動
訂單編號：PB2400297
來源：委刊單(Order) 第 104 列</t>
        </is>
      </c>
      <c r="N104" t="inlineStr">
        <is>
          <t>2026-05-18</t>
        </is>
      </c>
    </row>
    <row r="105">
      <c r="A105" t="inlineStr">
        <is>
          <t>ord_b809cee2ef8a</t>
        </is>
      </c>
      <c r="B105" t="inlineStr"/>
      <c r="C105" t="inlineStr">
        <is>
          <t>廣告受眾包</t>
        </is>
      </c>
      <c r="D105" t="inlineStr"/>
      <c r="E105" t="inlineStr">
        <is>
          <t>TenMax</t>
        </is>
      </c>
      <c r="F105" t="inlineStr">
        <is>
          <t>光陽</t>
        </is>
      </c>
      <c r="G105" t="inlineStr">
        <is>
          <t>2024-05-21</t>
        </is>
      </c>
      <c r="H105" t="n">
        <v>3300</v>
      </c>
      <c r="I105" t="inlineStr">
        <is>
          <t>ADID</t>
        </is>
      </c>
      <c r="J105" t="n">
        <v>33000</v>
      </c>
      <c r="K105" t="inlineStr">
        <is>
          <t>2024-05-23</t>
        </is>
      </c>
      <c r="L105" t="inlineStr">
        <is>
          <t>否</t>
        </is>
      </c>
      <c r="M105" t="inlineStr">
        <is>
          <t>專案名稱：光陽機車_大地名流_TenMax VideoAd_2405
訂單編號：PB2400312
來源：委刊單(Order) 第 105 列</t>
        </is>
      </c>
      <c r="N105" t="inlineStr">
        <is>
          <t>2026-05-18</t>
        </is>
      </c>
    </row>
    <row r="106">
      <c r="A106" t="inlineStr">
        <is>
          <t>ord_be3e9314c6df</t>
        </is>
      </c>
      <c r="B106" t="inlineStr"/>
      <c r="C106" t="inlineStr">
        <is>
          <t>廣告受眾包</t>
        </is>
      </c>
      <c r="D106" t="inlineStr"/>
      <c r="E106" t="inlineStr">
        <is>
          <t>TenMax</t>
        </is>
      </c>
      <c r="F106" t="inlineStr">
        <is>
          <t>海昌</t>
        </is>
      </c>
      <c r="G106" t="inlineStr">
        <is>
          <t>2024-05-24</t>
        </is>
      </c>
      <c r="H106" t="n">
        <v>2400</v>
      </c>
      <c r="I106" t="inlineStr">
        <is>
          <t>ADID</t>
        </is>
      </c>
      <c r="J106" t="n">
        <v>24000</v>
      </c>
      <c r="K106" t="inlineStr">
        <is>
          <t>2024-05-27</t>
        </is>
      </c>
      <c r="L106" t="inlineStr">
        <is>
          <t>否</t>
        </is>
      </c>
      <c r="M106" t="inlineStr">
        <is>
          <t>專案名稱：【海昌】真水感日拋_TenMax Native2305
訂單編號：PB2400310
來源：委刊單(Order) 第 106 列</t>
        </is>
      </c>
      <c r="N106" t="inlineStr">
        <is>
          <t>2026-05-18</t>
        </is>
      </c>
    </row>
    <row r="107">
      <c r="A107" t="inlineStr">
        <is>
          <t>ord_692d576a3f23</t>
        </is>
      </c>
      <c r="B107" t="inlineStr"/>
      <c r="C107" t="inlineStr">
        <is>
          <t>廣告受眾包</t>
        </is>
      </c>
      <c r="D107" t="inlineStr"/>
      <c r="E107" t="inlineStr">
        <is>
          <t>TenMax</t>
        </is>
      </c>
      <c r="F107" t="inlineStr">
        <is>
          <t>Culligan</t>
        </is>
      </c>
      <c r="G107" t="inlineStr">
        <is>
          <t>2024-05-24</t>
        </is>
      </c>
      <c r="H107" t="n">
        <v>900</v>
      </c>
      <c r="I107" t="inlineStr">
        <is>
          <t>ADID</t>
        </is>
      </c>
      <c r="J107" t="n">
        <v>4500</v>
      </c>
      <c r="K107" t="inlineStr">
        <is>
          <t>2024-05-27</t>
        </is>
      </c>
      <c r="L107" t="inlineStr">
        <is>
          <t>否</t>
        </is>
      </c>
      <c r="M107" t="inlineStr">
        <is>
          <t>專案名稱：Culligan_TenMax
訂單編號：PB2400314
來源：委刊單(Order) 第 107 列</t>
        </is>
      </c>
      <c r="N107" t="inlineStr">
        <is>
          <t>2026-05-18</t>
        </is>
      </c>
    </row>
    <row r="108">
      <c r="A108" t="inlineStr">
        <is>
          <t>ord_a0ad16c43e8f</t>
        </is>
      </c>
      <c r="B108" t="inlineStr"/>
      <c r="C108" t="inlineStr">
        <is>
          <t>簡訊/推播</t>
        </is>
      </c>
      <c r="D108" t="inlineStr"/>
      <c r="E108" t="inlineStr">
        <is>
          <t>益索普</t>
        </is>
      </c>
      <c r="F108" t="inlineStr">
        <is>
          <t>時尚精品品牌</t>
        </is>
      </c>
      <c r="G108" t="inlineStr">
        <is>
          <t>2024-05-24</t>
        </is>
      </c>
      <c r="H108" t="n">
        <v>0</v>
      </c>
      <c r="I108" t="inlineStr">
        <is>
          <t>MMS</t>
        </is>
      </c>
      <c r="J108" t="n">
        <v>323</v>
      </c>
      <c r="K108" t="inlineStr">
        <is>
          <t>2024-05-28</t>
        </is>
      </c>
      <c r="L108" t="inlineStr">
        <is>
          <t>否</t>
        </is>
      </c>
      <c r="M108" t="inlineStr">
        <is>
          <t>時尚精品品牌調查訪問
來源：委刊單(Order) 第 108 列</t>
        </is>
      </c>
      <c r="N108" t="inlineStr">
        <is>
          <t>2026-05-18</t>
        </is>
      </c>
    </row>
    <row r="109">
      <c r="A109" t="inlineStr">
        <is>
          <t>ord_c1d7ef99ea2f</t>
        </is>
      </c>
      <c r="B109" t="inlineStr"/>
      <c r="C109" t="inlineStr">
        <is>
          <t>廣告受眾包</t>
        </is>
      </c>
      <c r="D109" t="inlineStr"/>
      <c r="E109" t="inlineStr">
        <is>
          <t>Appier</t>
        </is>
      </c>
      <c r="F109" t="inlineStr">
        <is>
          <t>金字塔頂端</t>
        </is>
      </c>
      <c r="G109" t="inlineStr">
        <is>
          <t>2024-05-27</t>
        </is>
      </c>
      <c r="H109" t="n">
        <v>2874</v>
      </c>
      <c r="I109" t="inlineStr">
        <is>
          <t>ADID</t>
        </is>
      </c>
      <c r="J109" t="n">
        <v>2874</v>
      </c>
      <c r="K109" t="inlineStr">
        <is>
          <t>2024-05-28</t>
        </is>
      </c>
      <c r="L109" t="inlineStr">
        <is>
          <t>否</t>
        </is>
      </c>
      <c r="M109" t="inlineStr">
        <is>
          <t>近半年平均每個月消費30萬以上
來源：委刊單(Order) 第 109 列</t>
        </is>
      </c>
      <c r="N109" t="inlineStr">
        <is>
          <t>2026-05-18</t>
        </is>
      </c>
    </row>
    <row r="110">
      <c r="A110" t="inlineStr">
        <is>
          <t>ord_9598bba50035</t>
        </is>
      </c>
      <c r="B110" t="inlineStr"/>
      <c r="C110" t="inlineStr">
        <is>
          <t>廣告受眾包</t>
        </is>
      </c>
      <c r="D110" t="inlineStr"/>
      <c r="E110" t="inlineStr">
        <is>
          <t>Appier</t>
        </is>
      </c>
      <c r="F110" t="inlineStr">
        <is>
          <t>電商數據</t>
        </is>
      </c>
      <c r="G110" t="inlineStr">
        <is>
          <t>2024-05-28</t>
        </is>
      </c>
      <c r="H110" t="n">
        <v>20000</v>
      </c>
      <c r="I110" t="inlineStr">
        <is>
          <t>ADID</t>
        </is>
      </c>
      <c r="J110" t="n">
        <v>20000</v>
      </c>
      <c r="K110" t="inlineStr">
        <is>
          <t>2024-05-31</t>
        </is>
      </c>
      <c r="L110" t="inlineStr">
        <is>
          <t>否</t>
        </is>
      </c>
      <c r="M110" t="inlineStr">
        <is>
          <t>202312月momo的消費data
來源：委刊單(Order) 第 110 列</t>
        </is>
      </c>
      <c r="N110" t="inlineStr">
        <is>
          <t>2026-05-18</t>
        </is>
      </c>
    </row>
    <row r="111">
      <c r="A111" t="inlineStr">
        <is>
          <t>ord_62ceff437ca1</t>
        </is>
      </c>
      <c r="B111" t="inlineStr"/>
      <c r="C111" t="inlineStr">
        <is>
          <t>廣告受眾包</t>
        </is>
      </c>
      <c r="D111" t="inlineStr"/>
      <c r="E111" t="inlineStr">
        <is>
          <t>TenMax</t>
        </is>
      </c>
      <c r="F111" t="inlineStr">
        <is>
          <t>倫士度</t>
        </is>
      </c>
      <c r="G111" t="inlineStr">
        <is>
          <t>2024-05-28</t>
        </is>
      </c>
      <c r="H111" t="n">
        <v>900</v>
      </c>
      <c r="I111" t="inlineStr">
        <is>
          <t>ADID</t>
        </is>
      </c>
      <c r="J111" t="n">
        <v>2250</v>
      </c>
      <c r="K111" t="inlineStr">
        <is>
          <t>2024-05-30</t>
        </is>
      </c>
      <c r="L111" t="inlineStr">
        <is>
          <t>否</t>
        </is>
      </c>
      <c r="M111" t="inlineStr">
        <is>
          <t>專案名稱：倫士度_TenMax RichMedia
訂單編號：PB2400313
來源：委刊單(Order) 第 111 列</t>
        </is>
      </c>
      <c r="N111" t="inlineStr">
        <is>
          <t>2026-05-18</t>
        </is>
      </c>
    </row>
    <row r="112">
      <c r="A112" t="inlineStr">
        <is>
          <t>ord_885a3e89614b</t>
        </is>
      </c>
      <c r="B112" t="inlineStr"/>
      <c r="C112" t="inlineStr">
        <is>
          <t>廣告受眾包</t>
        </is>
      </c>
      <c r="D112" t="inlineStr"/>
      <c r="E112" t="inlineStr">
        <is>
          <t>TenMax</t>
        </is>
      </c>
      <c r="F112" t="inlineStr">
        <is>
          <t>杏輝</t>
        </is>
      </c>
      <c r="G112" t="inlineStr">
        <is>
          <t>2024-06-03</t>
        </is>
      </c>
      <c r="H112" t="n">
        <v>4500</v>
      </c>
      <c r="I112" t="inlineStr">
        <is>
          <t>ADID</t>
        </is>
      </c>
      <c r="J112" t="n">
        <v>45000</v>
      </c>
      <c r="K112" t="inlineStr">
        <is>
          <t>2024-06-07</t>
        </is>
      </c>
      <c r="L112" t="inlineStr">
        <is>
          <t>否</t>
        </is>
      </c>
      <c r="M112" t="inlineStr">
        <is>
          <t>專案名稱：杏輝_TenMax Video_5-6月檔期
訂單編號：PB2400341
來源：委刊單(Order) 第 113 列</t>
        </is>
      </c>
      <c r="N112" t="inlineStr">
        <is>
          <t>2026-05-18</t>
        </is>
      </c>
    </row>
    <row r="113">
      <c r="A113" t="inlineStr">
        <is>
          <t>ord_edf9190fdf54</t>
        </is>
      </c>
      <c r="B113" t="inlineStr"/>
      <c r="C113" t="inlineStr">
        <is>
          <t>廣告受眾包</t>
        </is>
      </c>
      <c r="D113" t="inlineStr"/>
      <c r="E113" t="inlineStr">
        <is>
          <t>TenMax</t>
        </is>
      </c>
      <c r="F113" t="inlineStr">
        <is>
          <t>EASYSHOP</t>
        </is>
      </c>
      <c r="G113" t="inlineStr">
        <is>
          <t>2024-06-06</t>
        </is>
      </c>
      <c r="H113" t="n">
        <v>3300</v>
      </c>
      <c r="I113" t="inlineStr">
        <is>
          <t>ADID</t>
        </is>
      </c>
      <c r="J113" t="n">
        <v>16500</v>
      </c>
      <c r="K113" t="inlineStr">
        <is>
          <t>2024-06-11</t>
        </is>
      </c>
      <c r="L113" t="inlineStr">
        <is>
          <t>否</t>
        </is>
      </c>
      <c r="M113" t="inlineStr">
        <is>
          <t>專案名稱：EASYSHOP_2024618宣傳
訂單編號：PB2400340
來源：委刊單(Order) 第 114 列</t>
        </is>
      </c>
      <c r="N113" t="inlineStr">
        <is>
          <t>2026-05-18</t>
        </is>
      </c>
    </row>
    <row r="114">
      <c r="A114" t="inlineStr">
        <is>
          <t>ord_9704cd4586da</t>
        </is>
      </c>
      <c r="B114" t="inlineStr"/>
      <c r="C114" t="inlineStr">
        <is>
          <t>廣告受眾包</t>
        </is>
      </c>
      <c r="D114" t="inlineStr"/>
      <c r="E114" t="inlineStr">
        <is>
          <t>TenMax</t>
        </is>
      </c>
      <c r="F114" t="inlineStr">
        <is>
          <t>味之素</t>
        </is>
      </c>
      <c r="G114" t="inlineStr">
        <is>
          <t>2024-06-07</t>
        </is>
      </c>
      <c r="H114" t="n">
        <v>975</v>
      </c>
      <c r="I114" t="inlineStr">
        <is>
          <t>ADID</t>
        </is>
      </c>
      <c r="J114" t="n">
        <v>19500</v>
      </c>
      <c r="K114" t="inlineStr">
        <is>
          <t>2024-06-12</t>
        </is>
      </c>
      <c r="L114" t="inlineStr">
        <is>
          <t>否</t>
        </is>
      </c>
      <c r="M114" t="inlineStr">
        <is>
          <t>專案名稱：台灣味之素_VONO_TenMax Video_2406
訂單編號：PB2400349
來源：委刊單(Order) 第 115 列</t>
        </is>
      </c>
      <c r="N114" t="inlineStr">
        <is>
          <t>2026-05-18</t>
        </is>
      </c>
    </row>
    <row r="115">
      <c r="A115" t="inlineStr">
        <is>
          <t>ord_46a0eabfa694</t>
        </is>
      </c>
      <c r="B115" t="inlineStr"/>
      <c r="C115" t="inlineStr">
        <is>
          <t>廣告受眾包</t>
        </is>
      </c>
      <c r="D115" t="inlineStr"/>
      <c r="E115" t="inlineStr">
        <is>
          <t>TenMax</t>
        </is>
      </c>
      <c r="F115" t="inlineStr">
        <is>
          <t>烹大師</t>
        </is>
      </c>
      <c r="G115" t="inlineStr">
        <is>
          <t>2024-06-07</t>
        </is>
      </c>
      <c r="H115" t="n">
        <v>1650</v>
      </c>
      <c r="I115" t="inlineStr">
        <is>
          <t>ADID</t>
        </is>
      </c>
      <c r="J115" t="n">
        <v>33000</v>
      </c>
      <c r="K115" t="inlineStr">
        <is>
          <t>2024-06-12</t>
        </is>
      </c>
      <c r="L115" t="inlineStr">
        <is>
          <t>否</t>
        </is>
      </c>
      <c r="M115" t="inlineStr">
        <is>
          <t>專案名稱：台灣味之素_烹大師_TenMax Video_2406
訂單編號：PB2400350
來源：委刊單(Order) 第 116 列</t>
        </is>
      </c>
      <c r="N115" t="inlineStr">
        <is>
          <t>2026-05-18</t>
        </is>
      </c>
    </row>
    <row r="116">
      <c r="A116" t="inlineStr">
        <is>
          <t>ord_aa8701bf0fec</t>
        </is>
      </c>
      <c r="B116" t="inlineStr"/>
      <c r="C116" t="inlineStr">
        <is>
          <t>廣告受眾包</t>
        </is>
      </c>
      <c r="D116" t="inlineStr"/>
      <c r="E116" t="inlineStr">
        <is>
          <t>金果科技</t>
        </is>
      </c>
      <c r="F116" t="inlineStr">
        <is>
          <t>賽鴿大亨</t>
        </is>
      </c>
      <c r="G116" t="inlineStr">
        <is>
          <t>2024-06-06</t>
        </is>
      </c>
      <c r="H116" t="n">
        <v>0</v>
      </c>
      <c r="I116" t="inlineStr">
        <is>
          <t>SMS</t>
        </is>
      </c>
      <c r="J116" t="n">
        <v>20180</v>
      </c>
      <c r="K116" t="inlineStr">
        <is>
          <t>2024-06-09</t>
        </is>
      </c>
      <c r="L116" t="inlineStr">
        <is>
          <t>否</t>
        </is>
      </c>
      <c r="M116" t="inlineStr">
        <is>
          <t>第一檔期
來源：委刊單(Order) 第 117 列</t>
        </is>
      </c>
      <c r="N116" t="inlineStr">
        <is>
          <t>2026-05-18</t>
        </is>
      </c>
    </row>
    <row r="117">
      <c r="A117" t="inlineStr">
        <is>
          <t>ord_ff370862abed</t>
        </is>
      </c>
      <c r="B117" t="inlineStr"/>
      <c r="C117" t="inlineStr">
        <is>
          <t>廣告受眾包</t>
        </is>
      </c>
      <c r="D117" t="inlineStr"/>
      <c r="E117" t="inlineStr">
        <is>
          <t>Appier</t>
        </is>
      </c>
      <c r="F117" t="inlineStr">
        <is>
          <t>眼睛保健</t>
        </is>
      </c>
      <c r="G117" t="inlineStr">
        <is>
          <t>2024-06-13</t>
        </is>
      </c>
      <c r="H117" t="n">
        <v>20000</v>
      </c>
      <c r="I117" t="inlineStr">
        <is>
          <t>ADID</t>
        </is>
      </c>
      <c r="J117" t="n">
        <v>20000</v>
      </c>
      <c r="K117" t="inlineStr">
        <is>
          <t>2024-06-13</t>
        </is>
      </c>
      <c r="L117" t="inlineStr">
        <is>
          <t>否</t>
        </is>
      </c>
      <c r="M117" t="inlineStr">
        <is>
          <t>特定通路購買眼藥水相關產品受眾
來源：委刊單(Order) 第 118 列</t>
        </is>
      </c>
      <c r="N117" t="inlineStr">
        <is>
          <t>2026-05-18</t>
        </is>
      </c>
    </row>
    <row r="118">
      <c r="A118" t="inlineStr">
        <is>
          <t>ord_8a569e3ae4b4</t>
        </is>
      </c>
      <c r="B118" t="inlineStr"/>
      <c r="C118" t="inlineStr">
        <is>
          <t>廣告受眾包</t>
        </is>
      </c>
      <c r="D118" t="inlineStr"/>
      <c r="E118" t="inlineStr">
        <is>
          <t>Appier</t>
        </is>
      </c>
      <c r="F118" t="inlineStr">
        <is>
          <t>濕紙巾</t>
        </is>
      </c>
      <c r="G118" t="inlineStr">
        <is>
          <t>2024-06-13</t>
        </is>
      </c>
      <c r="H118" t="n">
        <v>20000</v>
      </c>
      <c r="I118" t="inlineStr">
        <is>
          <t>ADID</t>
        </is>
      </c>
      <c r="J118" t="n">
        <v>20000</v>
      </c>
      <c r="K118" t="inlineStr">
        <is>
          <t>2024-06-13</t>
        </is>
      </c>
      <c r="L118" t="inlineStr">
        <is>
          <t>否</t>
        </is>
      </c>
      <c r="M118" t="inlineStr">
        <is>
          <t>購買過清潔用品、居家香氛、免治馬桶、有標榜可沖馬桶衛生紙的受眾
來源：委刊單(Order) 第 119 列</t>
        </is>
      </c>
      <c r="N118" t="inlineStr">
        <is>
          <t>2026-05-18</t>
        </is>
      </c>
    </row>
    <row r="119">
      <c r="A119" t="inlineStr">
        <is>
          <t>ord_750cfc99c477</t>
        </is>
      </c>
      <c r="B119" t="inlineStr"/>
      <c r="C119" t="inlineStr">
        <is>
          <t>廣告受眾包</t>
        </is>
      </c>
      <c r="D119" t="inlineStr"/>
      <c r="E119" t="inlineStr">
        <is>
          <t>TenMax</t>
        </is>
      </c>
      <c r="F119" t="inlineStr">
        <is>
          <t>雅聞</t>
        </is>
      </c>
      <c r="G119" t="inlineStr">
        <is>
          <t>2024-06-14</t>
        </is>
      </c>
      <c r="H119" t="n">
        <v>900</v>
      </c>
      <c r="I119" t="inlineStr">
        <is>
          <t>ADID</t>
        </is>
      </c>
      <c r="J119" t="n">
        <v>18000</v>
      </c>
      <c r="K119" t="inlineStr">
        <is>
          <t>2024-06-14</t>
        </is>
      </c>
      <c r="L119" t="inlineStr">
        <is>
          <t>否</t>
        </is>
      </c>
      <c r="M119" t="inlineStr">
        <is>
          <t>專案名稱：台灣味之素_烹大師_TenMax Video_2406
訂單編號：PB2400350
來源：委刊單(Order) 第 120 列</t>
        </is>
      </c>
      <c r="N119" t="inlineStr">
        <is>
          <t>2026-05-18</t>
        </is>
      </c>
    </row>
    <row r="120">
      <c r="A120" t="inlineStr">
        <is>
          <t>ord_ee63ea616ca3</t>
        </is>
      </c>
      <c r="B120" t="inlineStr"/>
      <c r="C120" t="inlineStr">
        <is>
          <t>廣告受眾包</t>
        </is>
      </c>
      <c r="D120" t="inlineStr"/>
      <c r="E120" t="inlineStr">
        <is>
          <t>TenMax</t>
        </is>
      </c>
      <c r="F120" t="inlineStr">
        <is>
          <t>名偵探柯南</t>
        </is>
      </c>
      <c r="G120" t="inlineStr">
        <is>
          <t>2024-06-14</t>
        </is>
      </c>
      <c r="H120" t="n">
        <v>1500</v>
      </c>
      <c r="I120" t="inlineStr">
        <is>
          <t>ADID</t>
        </is>
      </c>
      <c r="J120" t="n">
        <v>26680</v>
      </c>
      <c r="K120" t="inlineStr">
        <is>
          <t>2024-06-20</t>
        </is>
      </c>
      <c r="L120" t="inlineStr">
        <is>
          <t>否</t>
        </is>
      </c>
      <c r="M120" t="inlineStr">
        <is>
          <t>專案名稱：名偵探柯南：100萬美元的五稜星_ VideoAds
訂單編號：PB2400368
來源：委刊單(Order) 第 121 列</t>
        </is>
      </c>
      <c r="N120" t="inlineStr">
        <is>
          <t>2026-05-18</t>
        </is>
      </c>
    </row>
    <row r="121">
      <c r="A121" t="inlineStr">
        <is>
          <t>ord_5d8a48ce8646</t>
        </is>
      </c>
      <c r="B121" t="inlineStr"/>
      <c r="C121" t="inlineStr">
        <is>
          <t>廣告受眾包</t>
        </is>
      </c>
      <c r="D121" t="inlineStr"/>
      <c r="E121" t="inlineStr">
        <is>
          <t>TenMax</t>
        </is>
      </c>
      <c r="F121" t="inlineStr">
        <is>
          <t>聖州</t>
        </is>
      </c>
      <c r="G121" t="inlineStr">
        <is>
          <t>2024-06-14</t>
        </is>
      </c>
      <c r="H121" t="n">
        <v>1500</v>
      </c>
      <c r="I121" t="inlineStr">
        <is>
          <t>ADID</t>
        </is>
      </c>
      <c r="J121" t="n">
        <v>30000</v>
      </c>
      <c r="K121" t="inlineStr">
        <is>
          <t>2024-06-20</t>
        </is>
      </c>
      <c r="L121" t="inlineStr">
        <is>
          <t>否</t>
        </is>
      </c>
      <c r="M121" t="inlineStr">
        <is>
          <t>專案名稱：聖州_3D® Mats_TenMax Video_2406
訂單編號：PB2400346
來源：委刊單(Order) 第 122 列</t>
        </is>
      </c>
      <c r="N121" t="inlineStr">
        <is>
          <t>2026-05-18</t>
        </is>
      </c>
    </row>
    <row r="122">
      <c r="A122" t="inlineStr">
        <is>
          <t>ord_f77e3f2bb22c</t>
        </is>
      </c>
      <c r="B122" t="inlineStr"/>
      <c r="C122" t="inlineStr">
        <is>
          <t>廣告受眾包</t>
        </is>
      </c>
      <c r="D122" t="inlineStr"/>
      <c r="E122" t="inlineStr">
        <is>
          <t>TenMax</t>
        </is>
      </c>
      <c r="F122" t="inlineStr">
        <is>
          <t>87谷</t>
        </is>
      </c>
      <c r="G122" t="inlineStr">
        <is>
          <t>2024-06-14</t>
        </is>
      </c>
      <c r="H122" t="n">
        <v>1500</v>
      </c>
      <c r="I122" t="inlineStr">
        <is>
          <t>ADID</t>
        </is>
      </c>
      <c r="J122" t="n">
        <v>30000</v>
      </c>
      <c r="K122" t="inlineStr">
        <is>
          <t>2024-06-20</t>
        </is>
      </c>
      <c r="L122" t="inlineStr">
        <is>
          <t>否</t>
        </is>
      </c>
      <c r="M122" t="inlineStr">
        <is>
          <t>專案名稱：87谷6-7月
訂單編號：PB2400398
來源：委刊單(Order) 第 123 列</t>
        </is>
      </c>
      <c r="N122" t="inlineStr">
        <is>
          <t>2026-05-18</t>
        </is>
      </c>
    </row>
    <row r="123">
      <c r="A123" t="inlineStr">
        <is>
          <t>ord_50293dace7fc</t>
        </is>
      </c>
      <c r="B123" t="inlineStr"/>
      <c r="C123" t="inlineStr">
        <is>
          <t>廣告受眾包</t>
        </is>
      </c>
      <c r="D123" t="inlineStr"/>
      <c r="E123" t="inlineStr">
        <is>
          <t>TenMax</t>
        </is>
      </c>
      <c r="F123" t="inlineStr">
        <is>
          <t>蓓朵娜</t>
        </is>
      </c>
      <c r="G123" t="inlineStr">
        <is>
          <t>2024-06-18</t>
        </is>
      </c>
      <c r="H123" t="n">
        <v>1920</v>
      </c>
      <c r="I123" t="inlineStr">
        <is>
          <t>ADID</t>
        </is>
      </c>
      <c r="J123" t="n">
        <v>19200</v>
      </c>
      <c r="K123" t="inlineStr">
        <is>
          <t>2024-06-20</t>
        </is>
      </c>
      <c r="L123" t="inlineStr">
        <is>
          <t>否</t>
        </is>
      </c>
      <c r="M123" t="inlineStr">
        <is>
          <t>專案名稱：蓓朵娜_TenMax RichMedia 6月活動(PB2400399)
訂單編號：PB2400399
來源：委刊單(Order) 第 124 列</t>
        </is>
      </c>
      <c r="N123" t="inlineStr">
        <is>
          <t>2026-05-18</t>
        </is>
      </c>
    </row>
    <row r="124">
      <c r="A124" t="inlineStr">
        <is>
          <t>ord_457323570a91</t>
        </is>
      </c>
      <c r="B124" t="inlineStr"/>
      <c r="C124" t="inlineStr">
        <is>
          <t>廣告受眾包</t>
        </is>
      </c>
      <c r="D124" t="inlineStr"/>
      <c r="E124" t="inlineStr">
        <is>
          <t>TenMax</t>
        </is>
      </c>
      <c r="F124" t="inlineStr">
        <is>
          <t>益生堂</t>
        </is>
      </c>
      <c r="G124" t="inlineStr">
        <is>
          <t>2024-06-18</t>
        </is>
      </c>
      <c r="H124" t="n">
        <v>900</v>
      </c>
      <c r="I124" t="inlineStr">
        <is>
          <t>ADID</t>
        </is>
      </c>
      <c r="J124" t="n">
        <v>10550</v>
      </c>
      <c r="K124" t="inlineStr">
        <is>
          <t>2024-06-20</t>
        </is>
      </c>
      <c r="L124" t="inlineStr">
        <is>
          <t>否</t>
        </is>
      </c>
      <c r="M124" t="inlineStr">
        <is>
          <t>專案名稱：益生堂。凡吉力_TenMax Native Ads_2406
訂單編號：PB2400371
來源：委刊單(Order) 第 125 列</t>
        </is>
      </c>
      <c r="N124" t="inlineStr">
        <is>
          <t>2026-05-18</t>
        </is>
      </c>
    </row>
    <row r="125">
      <c r="A125" t="inlineStr">
        <is>
          <t>ord_e262ed662e26</t>
        </is>
      </c>
      <c r="B125" t="inlineStr"/>
      <c r="C125" t="inlineStr">
        <is>
          <t>廣告受眾包</t>
        </is>
      </c>
      <c r="D125" t="inlineStr"/>
      <c r="E125" t="inlineStr">
        <is>
          <t>Appier</t>
        </is>
      </c>
      <c r="F125" t="inlineStr">
        <is>
          <t>雞精</t>
        </is>
      </c>
      <c r="G125" t="inlineStr">
        <is>
          <t>2024-06-18</t>
        </is>
      </c>
      <c r="H125" t="n">
        <v>20000</v>
      </c>
      <c r="I125" t="inlineStr">
        <is>
          <t>ADID</t>
        </is>
      </c>
      <c r="J125" t="n">
        <v>20000</v>
      </c>
      <c r="K125" t="inlineStr">
        <is>
          <t>2024-06-18</t>
        </is>
      </c>
      <c r="L125" t="inlineStr">
        <is>
          <t>否</t>
        </is>
      </c>
      <c r="M125" t="inlineStr">
        <is>
          <t>180天內不分通路購買過上述相關產品的人,但在這近60天內未購買人數
來源：委刊單(Order) 第 126 列</t>
        </is>
      </c>
      <c r="N125" t="inlineStr">
        <is>
          <t>2026-05-18</t>
        </is>
      </c>
    </row>
    <row r="126">
      <c r="A126" t="inlineStr">
        <is>
          <t>ord_9663bd612133</t>
        </is>
      </c>
      <c r="B126" t="inlineStr"/>
      <c r="C126" t="inlineStr">
        <is>
          <t>廣告受眾包</t>
        </is>
      </c>
      <c r="D126" t="inlineStr"/>
      <c r="E126" t="inlineStr">
        <is>
          <t>電通</t>
        </is>
      </c>
      <c r="F126" t="inlineStr">
        <is>
          <t>美白產品</t>
        </is>
      </c>
      <c r="G126" t="inlineStr">
        <is>
          <t>2024-06-21</t>
        </is>
      </c>
      <c r="H126" t="n">
        <v>40000</v>
      </c>
      <c r="I126" t="inlineStr">
        <is>
          <t>ADID</t>
        </is>
      </c>
      <c r="J126" t="n">
        <v>251774</v>
      </c>
      <c r="K126" t="inlineStr">
        <is>
          <t>2024-06-24</t>
        </is>
      </c>
      <c r="L126" t="inlineStr">
        <is>
          <t>否</t>
        </is>
      </c>
      <c r="M126" t="inlineStr">
        <is>
          <t>美白產品
來源：委刊單(Order) 第 127 列</t>
        </is>
      </c>
      <c r="N126" t="inlineStr">
        <is>
          <t>2026-05-18</t>
        </is>
      </c>
    </row>
    <row r="127">
      <c r="A127" t="inlineStr">
        <is>
          <t>ord_e9ffd186dcb4</t>
        </is>
      </c>
      <c r="B127" t="inlineStr"/>
      <c r="C127" t="inlineStr">
        <is>
          <t>廣告受眾包</t>
        </is>
      </c>
      <c r="D127" t="inlineStr"/>
      <c r="E127" t="inlineStr">
        <is>
          <t>Appier</t>
        </is>
      </c>
      <c r="F127" t="inlineStr">
        <is>
          <t>內衣品牌</t>
        </is>
      </c>
      <c r="G127" t="inlineStr">
        <is>
          <t>2024-06-25</t>
        </is>
      </c>
      <c r="H127" t="n">
        <v>20000</v>
      </c>
      <c r="I127" t="inlineStr">
        <is>
          <t>ADID</t>
        </is>
      </c>
      <c r="J127" t="n">
        <v>20000</v>
      </c>
      <c r="K127" t="inlineStr">
        <is>
          <t>2024-06-26</t>
        </is>
      </c>
      <c r="L127" t="inlineStr">
        <is>
          <t>否</t>
        </is>
      </c>
      <c r="M127" t="inlineStr">
        <is>
          <t>特定品牌內衣
來源：委刊單(Order) 第 128 列</t>
        </is>
      </c>
      <c r="N127" t="inlineStr">
        <is>
          <t>2026-05-18</t>
        </is>
      </c>
    </row>
    <row r="128">
      <c r="A128" t="inlineStr">
        <is>
          <t>ord_0c6c661892e6</t>
        </is>
      </c>
      <c r="B128" t="inlineStr"/>
      <c r="C128" t="inlineStr">
        <is>
          <t>廣告受眾包</t>
        </is>
      </c>
      <c r="D128" t="inlineStr"/>
      <c r="E128" t="inlineStr">
        <is>
          <t>LeadUp</t>
        </is>
      </c>
      <c r="F128" t="inlineStr">
        <is>
          <t>廚具</t>
        </is>
      </c>
      <c r="G128" t="inlineStr">
        <is>
          <t>2024-06-21</t>
        </is>
      </c>
      <c r="H128" t="n">
        <v>3010</v>
      </c>
      <c r="I128" t="inlineStr">
        <is>
          <t>ADID</t>
        </is>
      </c>
      <c r="J128" t="n">
        <v>60195</v>
      </c>
      <c r="K128" t="inlineStr">
        <is>
          <t>2024-06-24</t>
        </is>
      </c>
      <c r="L128" t="inlineStr">
        <is>
          <t>否</t>
        </is>
      </c>
      <c r="M128" t="inlineStr">
        <is>
          <t>四種廚具相關
來源：委刊單(Order) 第 129 列</t>
        </is>
      </c>
      <c r="N128" t="inlineStr">
        <is>
          <t>2026-05-18</t>
        </is>
      </c>
    </row>
    <row r="129">
      <c r="A129" t="inlineStr">
        <is>
          <t>ord_3e5ed36fd0e0</t>
        </is>
      </c>
      <c r="B129" t="inlineStr"/>
      <c r="C129" t="inlineStr">
        <is>
          <t>廣告受眾包</t>
        </is>
      </c>
      <c r="D129" t="inlineStr"/>
      <c r="E129" t="inlineStr">
        <is>
          <t>Appier</t>
        </is>
      </c>
      <c r="F129" t="inlineStr">
        <is>
          <t>眼罩</t>
        </is>
      </c>
      <c r="G129" t="inlineStr">
        <is>
          <t>2024-07-01</t>
        </is>
      </c>
      <c r="H129" t="n">
        <v>20000</v>
      </c>
      <c r="I129" t="inlineStr">
        <is>
          <t>ADID</t>
        </is>
      </c>
      <c r="J129" t="n">
        <v>20000</v>
      </c>
      <c r="K129" t="inlineStr">
        <is>
          <t>2024-07-02</t>
        </is>
      </c>
      <c r="L129" t="inlineStr">
        <is>
          <t>否</t>
        </is>
      </c>
      <c r="M129" t="inlineStr">
        <is>
          <t>眼罩限定關鍵字
來源：委刊單(Order) 第 130 列</t>
        </is>
      </c>
      <c r="N129" t="inlineStr">
        <is>
          <t>2026-05-18</t>
        </is>
      </c>
    </row>
    <row r="130">
      <c r="A130" t="inlineStr">
        <is>
          <t>ord_5998c1a562b0</t>
        </is>
      </c>
      <c r="B130" t="inlineStr"/>
      <c r="C130" t="inlineStr">
        <is>
          <t>廣告受眾包</t>
        </is>
      </c>
      <c r="D130" t="inlineStr"/>
      <c r="E130" t="inlineStr">
        <is>
          <t>Appier</t>
        </is>
      </c>
      <c r="F130" t="inlineStr">
        <is>
          <t>卡通聯名</t>
        </is>
      </c>
      <c r="G130" t="inlineStr">
        <is>
          <t>2024-07-01</t>
        </is>
      </c>
      <c r="H130" t="n">
        <v>20000</v>
      </c>
      <c r="I130" t="inlineStr">
        <is>
          <t>ADID</t>
        </is>
      </c>
      <c r="J130" t="n">
        <v>20000</v>
      </c>
      <c r="K130" t="inlineStr">
        <is>
          <t>2024-07-02</t>
        </is>
      </c>
      <c r="L130" t="inlineStr">
        <is>
          <t>否</t>
        </is>
      </c>
      <c r="M130" t="inlineStr">
        <is>
          <t>卡通聯名限定關鍵字
來源：委刊單(Order) 第 131 列</t>
        </is>
      </c>
      <c r="N130" t="inlineStr">
        <is>
          <t>2026-05-18</t>
        </is>
      </c>
    </row>
    <row r="131">
      <c r="A131" t="inlineStr">
        <is>
          <t>ord_e1276dfeed54</t>
        </is>
      </c>
      <c r="B131" t="inlineStr"/>
      <c r="C131" t="inlineStr">
        <is>
          <t>廣告受眾包</t>
        </is>
      </c>
      <c r="D131" t="inlineStr"/>
      <c r="E131" t="inlineStr">
        <is>
          <t>Appier</t>
        </is>
      </c>
      <c r="F131" t="inlineStr">
        <is>
          <t>貓食品</t>
        </is>
      </c>
      <c r="G131" t="inlineStr">
        <is>
          <t>2024-07-01</t>
        </is>
      </c>
      <c r="H131" t="n">
        <v>20000</v>
      </c>
      <c r="I131" t="inlineStr">
        <is>
          <t>ADID</t>
        </is>
      </c>
      <c r="J131" t="n">
        <v>20000</v>
      </c>
      <c r="K131" t="inlineStr">
        <is>
          <t>2024-07-02</t>
        </is>
      </c>
      <c r="L131" t="inlineStr">
        <is>
          <t>否</t>
        </is>
      </c>
      <c r="M131" t="inlineStr">
        <is>
          <t>限定通路+限定品項
來源：委刊單(Order) 第 132 列</t>
        </is>
      </c>
      <c r="N131" t="inlineStr">
        <is>
          <t>2026-05-18</t>
        </is>
      </c>
    </row>
    <row r="132">
      <c r="A132" t="inlineStr">
        <is>
          <t>ord_91b1251c2702</t>
        </is>
      </c>
      <c r="B132" t="inlineStr"/>
      <c r="C132" t="inlineStr">
        <is>
          <t>廣告受眾包</t>
        </is>
      </c>
      <c r="D132" t="inlineStr"/>
      <c r="E132" t="inlineStr">
        <is>
          <t>Appier</t>
        </is>
      </c>
      <c r="F132" t="inlineStr">
        <is>
          <t>冰品</t>
        </is>
      </c>
      <c r="G132" t="inlineStr">
        <is>
          <t>2024-07-01</t>
        </is>
      </c>
      <c r="H132" t="n">
        <v>20000</v>
      </c>
      <c r="I132" t="inlineStr">
        <is>
          <t>ADID</t>
        </is>
      </c>
      <c r="J132" t="n">
        <v>20000</v>
      </c>
      <c r="K132" t="inlineStr">
        <is>
          <t>2024-07-02</t>
        </is>
      </c>
      <c r="L132" t="inlineStr">
        <is>
          <t>否</t>
        </is>
      </c>
      <c r="M132" t="inlineStr">
        <is>
          <t>限定通路+限定品項
來源：委刊單(Order) 第 133 列</t>
        </is>
      </c>
      <c r="N132" t="inlineStr">
        <is>
          <t>2026-05-18</t>
        </is>
      </c>
    </row>
    <row r="133">
      <c r="A133" t="inlineStr">
        <is>
          <t>ord_570d4d4debbb</t>
        </is>
      </c>
      <c r="B133" t="inlineStr"/>
      <c r="C133" t="inlineStr">
        <is>
          <t>廣告受眾包</t>
        </is>
      </c>
      <c r="D133" t="inlineStr"/>
      <c r="E133" t="inlineStr">
        <is>
          <t>TenMax</t>
        </is>
      </c>
      <c r="F133" t="inlineStr">
        <is>
          <t>味之素-烹大師7月</t>
        </is>
      </c>
      <c r="G133" t="inlineStr">
        <is>
          <t>2024-07-10</t>
        </is>
      </c>
      <c r="H133" t="n">
        <v>1650</v>
      </c>
      <c r="I133" t="inlineStr">
        <is>
          <t>ADID</t>
        </is>
      </c>
      <c r="J133" t="n">
        <v>31500</v>
      </c>
      <c r="K133" t="inlineStr">
        <is>
          <t>2024-07-11</t>
        </is>
      </c>
      <c r="L133" t="inlineStr">
        <is>
          <t>否</t>
        </is>
      </c>
      <c r="M133" t="inlineStr">
        <is>
          <t>專案名稱：台灣味之素_烹大師_TenMax Video_2407
訂單編號：PB2400415
來源：委刊單(Order) 第 134 列</t>
        </is>
      </c>
      <c r="N133" t="inlineStr">
        <is>
          <t>2026-05-18</t>
        </is>
      </c>
    </row>
    <row r="134">
      <c r="A134" t="inlineStr">
        <is>
          <t>ord_15b6fb860b85</t>
        </is>
      </c>
      <c r="B134" t="inlineStr"/>
      <c r="C134" t="inlineStr">
        <is>
          <t>廣告受眾包</t>
        </is>
      </c>
      <c r="D134" t="inlineStr"/>
      <c r="E134" t="inlineStr">
        <is>
          <t>TenMax</t>
        </is>
      </c>
      <c r="F134" t="inlineStr">
        <is>
          <t>蓓朵娜_TenMax RichMedia 7月活動</t>
        </is>
      </c>
      <c r="G134" t="inlineStr">
        <is>
          <t>2024-07-10</t>
        </is>
      </c>
      <c r="H134" t="n">
        <v>1440</v>
      </c>
      <c r="I134" t="inlineStr">
        <is>
          <t>ADID</t>
        </is>
      </c>
      <c r="J134" t="n">
        <v>28800</v>
      </c>
      <c r="K134" t="inlineStr">
        <is>
          <t>2024-07-11</t>
        </is>
      </c>
      <c r="L134" t="inlineStr">
        <is>
          <t>否</t>
        </is>
      </c>
      <c r="M134" t="inlineStr">
        <is>
          <t>專案名稱：蓓朵娜_TenMax RichMedia 7月活動
訂單編號：PB2400474
來源：委刊單(Order) 第 135 列</t>
        </is>
      </c>
      <c r="N134" t="inlineStr">
        <is>
          <t>2026-05-18</t>
        </is>
      </c>
    </row>
    <row r="135">
      <c r="A135" t="inlineStr">
        <is>
          <t>ord_888b7b2a9835</t>
        </is>
      </c>
      <c r="B135" t="inlineStr"/>
      <c r="C135" t="inlineStr">
        <is>
          <t>廣告受眾包</t>
        </is>
      </c>
      <c r="D135" t="inlineStr"/>
      <c r="E135" t="inlineStr">
        <is>
          <t>TenMax</t>
        </is>
      </c>
      <c r="F135" t="inlineStr">
        <is>
          <t>台灣味之素_VONO</t>
        </is>
      </c>
      <c r="G135" t="inlineStr">
        <is>
          <t>2024-07-10</t>
        </is>
      </c>
      <c r="H135" t="n">
        <v>975</v>
      </c>
      <c r="I135" t="inlineStr">
        <is>
          <t>ADID</t>
        </is>
      </c>
      <c r="J135" t="n">
        <v>19500</v>
      </c>
      <c r="K135" t="inlineStr">
        <is>
          <t>2024-07-11</t>
        </is>
      </c>
      <c r="L135" t="inlineStr">
        <is>
          <t>否</t>
        </is>
      </c>
      <c r="M135" t="inlineStr">
        <is>
          <t>專案名稱：台灣味之素_VONO_TenMax Video_2407
訂單編號：PB2400417
來源：委刊單(Order) 第 136 列</t>
        </is>
      </c>
      <c r="N135" t="inlineStr">
        <is>
          <t>2026-05-18</t>
        </is>
      </c>
    </row>
    <row r="136">
      <c r="A136" t="inlineStr">
        <is>
          <t>ord_2a40cf8f2f8d</t>
        </is>
      </c>
      <c r="B136" t="inlineStr"/>
      <c r="C136" t="inlineStr">
        <is>
          <t>廣告受眾包</t>
        </is>
      </c>
      <c r="D136" t="inlineStr"/>
      <c r="E136" t="inlineStr">
        <is>
          <t>TenMax</t>
        </is>
      </c>
      <c r="F136" t="inlineStr">
        <is>
          <t>學習銀行</t>
        </is>
      </c>
      <c r="G136" t="inlineStr">
        <is>
          <t>2024-07-10</t>
        </is>
      </c>
      <c r="H136" t="n">
        <v>900</v>
      </c>
      <c r="I136" t="inlineStr">
        <is>
          <t>ADID</t>
        </is>
      </c>
      <c r="J136" t="n">
        <v>18000</v>
      </c>
      <c r="K136" t="inlineStr">
        <is>
          <t>2024-07-11</t>
        </is>
      </c>
      <c r="L136" t="inlineStr">
        <is>
          <t>否</t>
        </is>
      </c>
      <c r="M136" t="inlineStr">
        <is>
          <t>專案名稱：學習銀行
訂單編號：PB2400423
來源：委刊單(Order) 第 137 列</t>
        </is>
      </c>
      <c r="N136" t="inlineStr">
        <is>
          <t>2026-05-18</t>
        </is>
      </c>
    </row>
    <row r="137">
      <c r="A137" t="inlineStr">
        <is>
          <t>ord_3ff85cf6c47c</t>
        </is>
      </c>
      <c r="B137" t="inlineStr"/>
      <c r="C137" t="inlineStr">
        <is>
          <t>廣告受眾包</t>
        </is>
      </c>
      <c r="D137" t="inlineStr"/>
      <c r="E137" t="inlineStr">
        <is>
          <t>TenMax</t>
        </is>
      </c>
      <c r="F137" t="inlineStr">
        <is>
          <t>杏輝</t>
        </is>
      </c>
      <c r="G137" t="inlineStr">
        <is>
          <t>2024-07-10</t>
        </is>
      </c>
      <c r="H137" t="n">
        <v>2700</v>
      </c>
      <c r="I137" t="inlineStr">
        <is>
          <t>ADID</t>
        </is>
      </c>
      <c r="J137" t="n">
        <v>27000</v>
      </c>
      <c r="K137" t="inlineStr">
        <is>
          <t>2024-07-11</t>
        </is>
      </c>
      <c r="L137" t="inlineStr">
        <is>
          <t>否</t>
        </is>
      </c>
      <c r="M137" t="inlineStr">
        <is>
          <t>專案名稱：杏輝_TenMax Video_7月檔期
訂單編號：PB2400476
來源：委刊單(Order) 第 138 列</t>
        </is>
      </c>
      <c r="N137" t="inlineStr">
        <is>
          <t>2026-05-18</t>
        </is>
      </c>
    </row>
    <row r="138">
      <c r="A138" t="inlineStr">
        <is>
          <t>ord_dc532d385b97</t>
        </is>
      </c>
      <c r="B138" t="inlineStr"/>
      <c r="C138" t="inlineStr">
        <is>
          <t>廣告受眾包</t>
        </is>
      </c>
      <c r="D138" t="inlineStr"/>
      <c r="E138" t="inlineStr">
        <is>
          <t>Appier</t>
        </is>
      </c>
      <c r="F138" t="inlineStr">
        <is>
          <t>Gaming</t>
        </is>
      </c>
      <c r="G138" t="inlineStr">
        <is>
          <t>2024-07-11</t>
        </is>
      </c>
      <c r="H138" t="n">
        <v>20000</v>
      </c>
      <c r="I138" t="inlineStr">
        <is>
          <t>ADID</t>
        </is>
      </c>
      <c r="J138" t="n">
        <v>20000</v>
      </c>
      <c r="K138" t="inlineStr">
        <is>
          <t>2024-07-11</t>
        </is>
      </c>
      <c r="L138" t="inlineStr">
        <is>
          <t>否</t>
        </is>
      </c>
      <c r="M138" t="inlineStr">
        <is>
          <t>過去一年品牌名包含"Steam、Playstation、xbox、epic、Epic Games Store
來源：委刊單(Order) 第 139 列</t>
        </is>
      </c>
      <c r="N138" t="inlineStr">
        <is>
          <t>2026-05-18</t>
        </is>
      </c>
    </row>
    <row r="139">
      <c r="A139" t="inlineStr">
        <is>
          <t>ord_4a9db89cbbef</t>
        </is>
      </c>
      <c r="B139" t="inlineStr"/>
      <c r="C139" t="inlineStr">
        <is>
          <t>廣告受眾包</t>
        </is>
      </c>
      <c r="D139" t="inlineStr"/>
      <c r="E139" t="inlineStr">
        <is>
          <t>TenMax</t>
        </is>
      </c>
      <c r="F139" t="inlineStr">
        <is>
          <t>百醫生技</t>
        </is>
      </c>
      <c r="G139" t="inlineStr">
        <is>
          <t>2024-07-12</t>
        </is>
      </c>
      <c r="H139" t="n">
        <v>7200</v>
      </c>
      <c r="I139" t="inlineStr">
        <is>
          <t>ADID</t>
        </is>
      </c>
      <c r="J139" t="n">
        <v>144000</v>
      </c>
      <c r="K139" t="inlineStr">
        <is>
          <t>2024-07-16</t>
        </is>
      </c>
      <c r="L139" t="inlineStr">
        <is>
          <t>否</t>
        </is>
      </c>
      <c r="M139" t="inlineStr">
        <is>
          <t>專案名稱：杏輝_TenMax Video_7月檔期
訂單編號：PB2400476
來源：委刊單(Order) 第 140 列</t>
        </is>
      </c>
      <c r="N139" t="inlineStr">
        <is>
          <t>2026-05-18</t>
        </is>
      </c>
    </row>
    <row r="140">
      <c r="A140" t="inlineStr">
        <is>
          <t>ord_159ed496d712</t>
        </is>
      </c>
      <c r="B140" t="inlineStr"/>
      <c r="C140" t="inlineStr">
        <is>
          <t>廣告受眾包</t>
        </is>
      </c>
      <c r="D140" t="inlineStr"/>
      <c r="E140" t="inlineStr">
        <is>
          <t>cacaFly</t>
        </is>
      </c>
      <c r="F140" t="inlineStr">
        <is>
          <t>滴雞精</t>
        </is>
      </c>
      <c r="G140" t="inlineStr">
        <is>
          <t>2024-07-10</t>
        </is>
      </c>
      <c r="H140" t="n">
        <v>3807</v>
      </c>
      <c r="I140" t="inlineStr">
        <is>
          <t>ADID</t>
        </is>
      </c>
      <c r="J140" t="n">
        <v>3807</v>
      </c>
      <c r="K140" t="inlineStr">
        <is>
          <t>2024-07-10</t>
        </is>
      </c>
      <c r="L140" t="inlineStr">
        <is>
          <t>否</t>
        </is>
      </c>
      <c r="M140" t="inlineStr">
        <is>
          <t>雞精購買數量
來源：委刊單(Order) 第 141 列</t>
        </is>
      </c>
      <c r="N140" t="inlineStr">
        <is>
          <t>2026-05-18</t>
        </is>
      </c>
    </row>
    <row r="141">
      <c r="A141" t="inlineStr">
        <is>
          <t>ord_0ac5d9910a23</t>
        </is>
      </c>
      <c r="B141" t="inlineStr"/>
      <c r="C141" t="inlineStr">
        <is>
          <t>廣告受眾包</t>
        </is>
      </c>
      <c r="D141" t="inlineStr"/>
      <c r="E141" t="inlineStr">
        <is>
          <t>LeadUp</t>
        </is>
      </c>
      <c r="F141" t="inlineStr">
        <is>
          <t>美髮</t>
        </is>
      </c>
      <c r="G141" t="inlineStr">
        <is>
          <t>2024-07-10</t>
        </is>
      </c>
      <c r="H141" t="n">
        <v>697</v>
      </c>
      <c r="I141" t="inlineStr">
        <is>
          <t>ADID</t>
        </is>
      </c>
      <c r="J141" t="n">
        <v>13944</v>
      </c>
      <c r="K141" t="inlineStr">
        <is>
          <t>2024-07-10</t>
        </is>
      </c>
      <c r="L141" t="inlineStr">
        <is>
          <t>否</t>
        </is>
      </c>
      <c r="M141" t="inlineStr">
        <is>
          <t>七個品牌近三個月購買名單
來源：委刊單(Order) 第 142 列</t>
        </is>
      </c>
      <c r="N141" t="inlineStr">
        <is>
          <t>2026-05-18</t>
        </is>
      </c>
    </row>
    <row r="142">
      <c r="A142" t="inlineStr">
        <is>
          <t>ord_4f2449021e71</t>
        </is>
      </c>
      <c r="B142" t="inlineStr"/>
      <c r="C142" t="inlineStr">
        <is>
          <t>廣告受眾包</t>
        </is>
      </c>
      <c r="D142" t="inlineStr"/>
      <c r="E142" t="inlineStr">
        <is>
          <t>TenMax</t>
        </is>
      </c>
      <c r="F142" t="inlineStr">
        <is>
          <t>吉光旅遊</t>
        </is>
      </c>
      <c r="G142" t="inlineStr">
        <is>
          <t>2024-07-15</t>
        </is>
      </c>
      <c r="H142" t="n">
        <v>3720</v>
      </c>
      <c r="I142" t="inlineStr">
        <is>
          <t>ADID</t>
        </is>
      </c>
      <c r="J142" t="n">
        <v>74400</v>
      </c>
      <c r="K142" t="inlineStr">
        <is>
          <t>2024-07-18</t>
        </is>
      </c>
      <c r="L142" t="inlineStr">
        <is>
          <t>否</t>
        </is>
      </c>
      <c r="M142" t="inlineStr">
        <is>
          <t>專案名稱：吉光旅遊_TenMax RichMedia Ads_2406
訂單編號：PB2400402
來源：委刊單(Order) 第 143 列</t>
        </is>
      </c>
      <c r="N142" t="inlineStr">
        <is>
          <t>2026-05-18</t>
        </is>
      </c>
    </row>
    <row r="143">
      <c r="A143" t="inlineStr">
        <is>
          <t>ord_c612485691df</t>
        </is>
      </c>
      <c r="B143" t="inlineStr"/>
      <c r="C143" t="inlineStr">
        <is>
          <t>廣告受眾包</t>
        </is>
      </c>
      <c r="D143" t="inlineStr"/>
      <c r="E143" t="inlineStr">
        <is>
          <t>Appier</t>
        </is>
      </c>
      <c r="F143" t="inlineStr">
        <is>
          <t>刺客教條</t>
        </is>
      </c>
      <c r="G143" t="inlineStr">
        <is>
          <t>2024-07-18</t>
        </is>
      </c>
      <c r="H143" t="n">
        <v>20000</v>
      </c>
      <c r="I143" t="inlineStr">
        <is>
          <t>ADID</t>
        </is>
      </c>
      <c r="J143" t="n">
        <v>20000</v>
      </c>
      <c r="K143" t="inlineStr">
        <is>
          <t>2024-07-18</t>
        </is>
      </c>
      <c r="L143" t="inlineStr">
        <is>
          <t>否</t>
        </is>
      </c>
      <c r="M143" t="inlineStr">
        <is>
          <t>1、半年內有買過"刺客教條Assassin Creed” 遊戲、相關周邊的人 。ID: 791
2、 "刺客教條" AI 擴圈，ID數: 19,209
來源：委刊單(Order) 第 144 列</t>
        </is>
      </c>
      <c r="N143" t="inlineStr">
        <is>
          <t>2026-05-18</t>
        </is>
      </c>
    </row>
    <row r="144">
      <c r="A144" t="inlineStr">
        <is>
          <t>ord_f45abe45d0ab</t>
        </is>
      </c>
      <c r="B144" t="inlineStr"/>
      <c r="C144" t="inlineStr">
        <is>
          <t>廣告受眾包</t>
        </is>
      </c>
      <c r="D144" t="inlineStr"/>
      <c r="E144" t="inlineStr">
        <is>
          <t>電通</t>
        </is>
      </c>
      <c r="F144" t="inlineStr">
        <is>
          <t>奧運</t>
        </is>
      </c>
      <c r="G144" t="inlineStr">
        <is>
          <t>2024-07-18</t>
        </is>
      </c>
      <c r="H144" t="n">
        <v>45000</v>
      </c>
      <c r="I144" t="inlineStr">
        <is>
          <t>ADID</t>
        </is>
      </c>
      <c r="J144" t="n">
        <v>493200</v>
      </c>
      <c r="K144" t="inlineStr">
        <is>
          <t>2024-07-18</t>
        </is>
      </c>
      <c r="L144" t="inlineStr">
        <is>
          <t>否</t>
        </is>
      </c>
      <c r="M144" t="inlineStr">
        <is>
          <t>受眾包連結：https://ca.cmoney.tw/AdAudience/audiencereport/6697740cac5e57328b68f791
來源：委刊單(Order) 第 145 列</t>
        </is>
      </c>
      <c r="N144" t="inlineStr">
        <is>
          <t>2026-05-18</t>
        </is>
      </c>
    </row>
    <row r="145">
      <c r="A145" t="inlineStr">
        <is>
          <t>ord_9e06867e35a6</t>
        </is>
      </c>
      <c r="B145" t="inlineStr"/>
      <c r="C145" t="inlineStr">
        <is>
          <t>廣告受眾包</t>
        </is>
      </c>
      <c r="D145" t="inlineStr"/>
      <c r="E145" t="inlineStr">
        <is>
          <t>TenMax</t>
        </is>
      </c>
      <c r="F145" t="inlineStr">
        <is>
          <t>衛福部</t>
        </is>
      </c>
      <c r="G145" t="inlineStr">
        <is>
          <t>2024-07-19</t>
        </is>
      </c>
      <c r="H145" t="n">
        <v>3900</v>
      </c>
      <c r="I145" t="inlineStr">
        <is>
          <t>ADID</t>
        </is>
      </c>
      <c r="J145" t="n">
        <v>39000</v>
      </c>
      <c r="K145" t="inlineStr">
        <is>
          <t>2024-07-22</t>
        </is>
      </c>
      <c r="L145" t="inlineStr">
        <is>
          <t>否</t>
        </is>
      </c>
      <c r="M145" t="inlineStr">
        <is>
          <t>專案名稱：衛福部_家庭照顧者_TenMax_2407
訂單編號：PB2400494
來源：委刊單(Order) 第 146 列</t>
        </is>
      </c>
      <c r="N145" t="inlineStr">
        <is>
          <t>2026-05-18</t>
        </is>
      </c>
    </row>
    <row r="146">
      <c r="A146" t="inlineStr">
        <is>
          <t>ord_36e710aec0db</t>
        </is>
      </c>
      <c r="B146" t="inlineStr"/>
      <c r="C146" t="inlineStr">
        <is>
          <t>廣告受眾包</t>
        </is>
      </c>
      <c r="D146" t="inlineStr"/>
      <c r="E146" t="inlineStr">
        <is>
          <t>TenMax</t>
        </is>
      </c>
      <c r="F146" t="inlineStr">
        <is>
          <t>農業部</t>
        </is>
      </c>
      <c r="G146" t="inlineStr">
        <is>
          <t>2024-07-19</t>
        </is>
      </c>
      <c r="H146" t="n">
        <v>1440</v>
      </c>
      <c r="I146" t="inlineStr">
        <is>
          <t>ADID</t>
        </is>
      </c>
      <c r="J146" t="n">
        <v>7200</v>
      </c>
      <c r="K146" t="inlineStr">
        <is>
          <t>2024-07-22</t>
        </is>
      </c>
      <c r="L146" t="inlineStr">
        <is>
          <t>否</t>
        </is>
      </c>
      <c r="M146" t="inlineStr">
        <is>
          <t>專案名稱：臺灣英雄 · 全民相挺 TenMax Banner_2407
訂單編號：PB2400493
來源：委刊單(Order) 第 147 列</t>
        </is>
      </c>
      <c r="N146" t="inlineStr">
        <is>
          <t>2026-05-18</t>
        </is>
      </c>
    </row>
    <row r="147">
      <c r="A147" t="inlineStr">
        <is>
          <t>ord_caedefe0078d</t>
        </is>
      </c>
      <c r="B147" t="inlineStr"/>
      <c r="C147" t="inlineStr">
        <is>
          <t>廣告受眾包</t>
        </is>
      </c>
      <c r="D147" t="inlineStr"/>
      <c r="E147" t="inlineStr">
        <is>
          <t>Appier</t>
        </is>
      </c>
      <c r="F147" t="inlineStr">
        <is>
          <t>補體素</t>
        </is>
      </c>
      <c r="G147" t="inlineStr">
        <is>
          <t>2024-07-19</t>
        </is>
      </c>
      <c r="H147" t="n">
        <v>20000</v>
      </c>
      <c r="I147" t="inlineStr">
        <is>
          <t>ADID</t>
        </is>
      </c>
      <c r="J147" t="n">
        <v>20000</v>
      </c>
      <c r="K147" t="inlineStr">
        <is>
          <t>2024-07-22</t>
        </is>
      </c>
      <c r="L147" t="inlineStr">
        <is>
          <t>否</t>
        </is>
      </c>
      <c r="M147" t="inlineStr">
        <is>
          <t>過去一年買過補體素、亞培安素、益富益力壯、桂格完膳、雀巢立攝適均康、三多補体康、百仕可復易佳 品牌的人
來源：委刊單(Order) 第 148 列</t>
        </is>
      </c>
      <c r="N147" t="inlineStr">
        <is>
          <t>2026-05-18</t>
        </is>
      </c>
    </row>
    <row r="148">
      <c r="A148" t="inlineStr">
        <is>
          <t>ord_cca90534b685</t>
        </is>
      </c>
      <c r="B148" t="inlineStr"/>
      <c r="C148" t="inlineStr">
        <is>
          <t>廣告受眾包</t>
        </is>
      </c>
      <c r="D148" t="inlineStr"/>
      <c r="E148" t="inlineStr">
        <is>
          <t>電通</t>
        </is>
      </c>
      <c r="F148" t="inlineStr">
        <is>
          <t>潔顏油</t>
        </is>
      </c>
      <c r="G148" t="inlineStr">
        <is>
          <t>2024-07-26</t>
        </is>
      </c>
      <c r="H148" t="n">
        <v>50000</v>
      </c>
      <c r="I148" t="inlineStr">
        <is>
          <t>ADID</t>
        </is>
      </c>
      <c r="J148" t="n">
        <v>500000</v>
      </c>
      <c r="K148" t="inlineStr">
        <is>
          <t>2024-07-30</t>
        </is>
      </c>
      <c r="L148" t="inlineStr">
        <is>
          <t>否</t>
        </is>
      </c>
      <c r="M148" t="inlineStr">
        <is>
          <t>特定品牌
來源：委刊單(Order) 第 149 列</t>
        </is>
      </c>
      <c r="N148" t="inlineStr">
        <is>
          <t>2026-05-18</t>
        </is>
      </c>
    </row>
    <row r="149">
      <c r="A149" t="inlineStr">
        <is>
          <t>ord_044de6e277a2</t>
        </is>
      </c>
      <c r="B149" t="inlineStr"/>
      <c r="C149" t="inlineStr">
        <is>
          <t>廣告受眾包</t>
        </is>
      </c>
      <c r="D149" t="inlineStr"/>
      <c r="E149" t="inlineStr">
        <is>
          <t>TenMax</t>
        </is>
      </c>
      <c r="F149" t="inlineStr">
        <is>
          <t>AGF咖啡-7月</t>
        </is>
      </c>
      <c r="G149" t="inlineStr">
        <is>
          <t>2024-07-16</t>
        </is>
      </c>
      <c r="H149" t="n">
        <v>480</v>
      </c>
      <c r="I149" t="inlineStr">
        <is>
          <t>ADID</t>
        </is>
      </c>
      <c r="J149" t="n">
        <v>4800</v>
      </c>
      <c r="K149" t="inlineStr">
        <is>
          <t>2024-07-18</t>
        </is>
      </c>
      <c r="L149" t="inlineStr">
        <is>
          <t>否</t>
        </is>
      </c>
      <c r="M149" t="inlineStr">
        <is>
          <t>專案名稱：台灣味之素_AGF咖啡 _2407
訂單編號：PB2400517
來源：委刊單(Order) 第 150 列</t>
        </is>
      </c>
      <c r="N149" t="inlineStr">
        <is>
          <t>2026-05-18</t>
        </is>
      </c>
    </row>
    <row r="150">
      <c r="A150" t="inlineStr">
        <is>
          <t>ord_77901c7cbb58</t>
        </is>
      </c>
      <c r="B150" t="inlineStr"/>
      <c r="C150" t="inlineStr">
        <is>
          <t>廣告受眾包</t>
        </is>
      </c>
      <c r="D150" t="inlineStr"/>
      <c r="E150" t="inlineStr">
        <is>
          <t>TenMax</t>
        </is>
      </c>
      <c r="F150" t="inlineStr">
        <is>
          <t>Dozo</t>
        </is>
      </c>
      <c r="G150" t="inlineStr">
        <is>
          <t>2024-07-16</t>
        </is>
      </c>
      <c r="H150" t="n">
        <v>2253</v>
      </c>
      <c r="I150" t="inlineStr">
        <is>
          <t>ADID</t>
        </is>
      </c>
      <c r="J150" t="n">
        <v>31800</v>
      </c>
      <c r="K150" t="inlineStr">
        <is>
          <t>2024-07-18</t>
        </is>
      </c>
      <c r="L150" t="inlineStr">
        <is>
          <t>否</t>
        </is>
      </c>
      <c r="M150" t="inlineStr">
        <is>
          <t>專案名稱：Doorzo_7月檔期
訂單編號：PB2400419
來源：委刊單(Order) 第 151 列</t>
        </is>
      </c>
      <c r="N150" t="inlineStr">
        <is>
          <t>2026-05-18</t>
        </is>
      </c>
    </row>
    <row r="151">
      <c r="A151" t="inlineStr">
        <is>
          <t>ord_b7350ee4e1fa</t>
        </is>
      </c>
      <c r="B151" t="inlineStr"/>
      <c r="C151" t="inlineStr">
        <is>
          <t>廣告受眾包</t>
        </is>
      </c>
      <c r="D151" t="inlineStr"/>
      <c r="E151" t="inlineStr">
        <is>
          <t>LeadUp</t>
        </is>
      </c>
      <c r="F151" t="inlineStr">
        <is>
          <t>家電</t>
        </is>
      </c>
      <c r="G151" t="inlineStr">
        <is>
          <t>2024-08-01</t>
        </is>
      </c>
      <c r="H151" t="n">
        <v>7799</v>
      </c>
      <c r="I151" t="inlineStr">
        <is>
          <t>ADID</t>
        </is>
      </c>
      <c r="J151" t="n">
        <v>155978</v>
      </c>
      <c r="K151" t="inlineStr"/>
      <c r="L151" t="inlineStr">
        <is>
          <t>否</t>
        </is>
      </c>
      <c r="M151" t="inlineStr">
        <is>
          <t>2023/11/1-2023/11/12 有購買家電類的買家
來源：委刊單(Order) 第 152 列</t>
        </is>
      </c>
      <c r="N151" t="inlineStr">
        <is>
          <t>2026-05-18</t>
        </is>
      </c>
    </row>
    <row r="152">
      <c r="A152" t="inlineStr">
        <is>
          <t>ord_0b1014deb739</t>
        </is>
      </c>
      <c r="B152" t="inlineStr"/>
      <c r="C152" t="inlineStr">
        <is>
          <t>廣告受眾包</t>
        </is>
      </c>
      <c r="D152" t="inlineStr"/>
      <c r="E152" t="inlineStr">
        <is>
          <t>電通</t>
        </is>
      </c>
      <c r="F152" t="inlineStr">
        <is>
          <t>抗老保養</t>
        </is>
      </c>
      <c r="G152" t="inlineStr">
        <is>
          <t>2024-08-01</t>
        </is>
      </c>
      <c r="H152" t="n">
        <v>45000</v>
      </c>
      <c r="I152" t="inlineStr">
        <is>
          <t>ADID</t>
        </is>
      </c>
      <c r="J152" t="n">
        <v>124410</v>
      </c>
      <c r="K152" t="inlineStr">
        <is>
          <t>2024-07-31</t>
        </is>
      </c>
      <c r="L152" t="inlineStr">
        <is>
          <t>否</t>
        </is>
      </c>
      <c r="M152" t="inlineStr">
        <is>
          <t>高消費用戶
來源：委刊單(Order) 第 153 列</t>
        </is>
      </c>
      <c r="N152" t="inlineStr">
        <is>
          <t>2026-05-18</t>
        </is>
      </c>
    </row>
    <row r="153">
      <c r="A153" t="inlineStr">
        <is>
          <t>ord_8bf597780ce9</t>
        </is>
      </c>
      <c r="B153" t="inlineStr"/>
      <c r="C153" t="inlineStr">
        <is>
          <t>廣告受眾包</t>
        </is>
      </c>
      <c r="D153" t="inlineStr"/>
      <c r="E153" t="inlineStr">
        <is>
          <t>Appier</t>
        </is>
      </c>
      <c r="F153" t="inlineStr">
        <is>
          <t>飲料</t>
        </is>
      </c>
      <c r="G153" t="inlineStr">
        <is>
          <t>2024-08-01</t>
        </is>
      </c>
      <c r="H153" t="n">
        <v>20000</v>
      </c>
      <c r="I153" t="inlineStr">
        <is>
          <t>ADID</t>
        </is>
      </c>
      <c r="J153" t="n">
        <v>20000</v>
      </c>
      <c r="K153" t="inlineStr">
        <is>
          <t>2024-07-31</t>
        </is>
      </c>
      <c r="L153" t="inlineStr">
        <is>
          <t>否</t>
        </is>
      </c>
      <c r="M153" t="inlineStr">
        <is>
          <t>過去8週買過飲料的受眾
來源：委刊單(Order) 第 154 列</t>
        </is>
      </c>
      <c r="N153" t="inlineStr">
        <is>
          <t>2026-05-18</t>
        </is>
      </c>
    </row>
    <row r="154">
      <c r="A154" t="inlineStr">
        <is>
          <t>ord_5491a6610d75</t>
        </is>
      </c>
      <c r="B154" t="inlineStr"/>
      <c r="C154" t="inlineStr">
        <is>
          <t>廣告受眾包</t>
        </is>
      </c>
      <c r="D154" t="inlineStr"/>
      <c r="E154" t="inlineStr">
        <is>
          <t>TenMax</t>
        </is>
      </c>
      <c r="F154" t="inlineStr">
        <is>
          <t>烹大師8月</t>
        </is>
      </c>
      <c r="G154" t="inlineStr">
        <is>
          <t>2024-08-02</t>
        </is>
      </c>
      <c r="H154" t="n">
        <v>1650</v>
      </c>
      <c r="I154" t="inlineStr">
        <is>
          <t>ADID</t>
        </is>
      </c>
      <c r="J154" t="n">
        <v>33000</v>
      </c>
      <c r="K154" t="inlineStr">
        <is>
          <t>2024-08-07</t>
        </is>
      </c>
      <c r="L154" t="inlineStr">
        <is>
          <t>否</t>
        </is>
      </c>
      <c r="M154" t="inlineStr">
        <is>
          <t>專案名稱：台灣味之素_烹大師_TenMax Video_2408
訂單編號：PB2400516
來源：委刊單(Order) 第 155 列</t>
        </is>
      </c>
      <c r="N154" t="inlineStr">
        <is>
          <t>2026-05-18</t>
        </is>
      </c>
    </row>
    <row r="155">
      <c r="A155" t="inlineStr">
        <is>
          <t>ord_4f9c69e591a7</t>
        </is>
      </c>
      <c r="B155" t="inlineStr"/>
      <c r="C155" t="inlineStr">
        <is>
          <t>廣告受眾包</t>
        </is>
      </c>
      <c r="D155" t="inlineStr"/>
      <c r="E155" t="inlineStr">
        <is>
          <t>TenMax</t>
        </is>
      </c>
      <c r="F155" t="inlineStr">
        <is>
          <t>VONO-8月</t>
        </is>
      </c>
      <c r="G155" t="inlineStr">
        <is>
          <t>2024-08-02</t>
        </is>
      </c>
      <c r="H155" t="n">
        <v>976</v>
      </c>
      <c r="I155" t="inlineStr">
        <is>
          <t>ADID</t>
        </is>
      </c>
      <c r="J155" t="n">
        <v>9705</v>
      </c>
      <c r="K155" t="inlineStr">
        <is>
          <t>2024-08-07</t>
        </is>
      </c>
      <c r="L155" t="inlineStr">
        <is>
          <t>否</t>
        </is>
      </c>
      <c r="M155" t="inlineStr">
        <is>
          <t>專案名稱：台灣味之素_VONO_TenMax Video_2408
訂單編號：PB2400518
來源：委刊單(Order) 第 156 列</t>
        </is>
      </c>
      <c r="N155" t="inlineStr">
        <is>
          <t>2026-05-18</t>
        </is>
      </c>
    </row>
    <row r="156">
      <c r="A156" t="inlineStr">
        <is>
          <t>ord_d6a054583e4e</t>
        </is>
      </c>
      <c r="B156" t="inlineStr"/>
      <c r="C156" t="inlineStr">
        <is>
          <t>廣告受眾包</t>
        </is>
      </c>
      <c r="D156" t="inlineStr"/>
      <c r="E156" t="inlineStr">
        <is>
          <t>TenMax</t>
        </is>
      </c>
      <c r="F156" t="inlineStr">
        <is>
          <t>AGF咖啡-8月</t>
        </is>
      </c>
      <c r="G156" t="inlineStr">
        <is>
          <t>2024-08-02</t>
        </is>
      </c>
      <c r="H156" t="n">
        <v>480</v>
      </c>
      <c r="I156" t="inlineStr">
        <is>
          <t>ADID</t>
        </is>
      </c>
      <c r="J156" t="n">
        <v>4800</v>
      </c>
      <c r="K156" t="inlineStr">
        <is>
          <t>2024-08-07</t>
        </is>
      </c>
      <c r="L156" t="inlineStr">
        <is>
          <t>否</t>
        </is>
      </c>
      <c r="M156" t="inlineStr">
        <is>
          <t>專案名稱：台灣味之素_AGF咖啡 _2408
訂單編號：PB2400517
來源：委刊單(Order) 第 157 列</t>
        </is>
      </c>
      <c r="N156" t="inlineStr">
        <is>
          <t>2026-05-18</t>
        </is>
      </c>
    </row>
    <row r="157">
      <c r="A157" t="inlineStr">
        <is>
          <t>ord_1fdef98de844</t>
        </is>
      </c>
      <c r="B157" t="inlineStr"/>
      <c r="C157" t="inlineStr">
        <is>
          <t>廣告受眾包</t>
        </is>
      </c>
      <c r="D157" t="inlineStr"/>
      <c r="E157" t="inlineStr">
        <is>
          <t>TenMax</t>
        </is>
      </c>
      <c r="F157" t="inlineStr">
        <is>
          <t>益生堂 8月</t>
        </is>
      </c>
      <c r="G157" t="inlineStr">
        <is>
          <t>2024-08-02</t>
        </is>
      </c>
      <c r="H157" t="n">
        <v>900</v>
      </c>
      <c r="I157" t="inlineStr">
        <is>
          <t>ADID</t>
        </is>
      </c>
      <c r="J157" t="n">
        <v>1800</v>
      </c>
      <c r="K157" t="inlineStr">
        <is>
          <t>2024-08-07</t>
        </is>
      </c>
      <c r="L157" t="inlineStr">
        <is>
          <t>否</t>
        </is>
      </c>
      <c r="M157" t="inlineStr">
        <is>
          <t>專案名稱：益生堂。凡吉力_TenMax Native Ads_2408
訂單編號：PB2400513
來源：委刊單(Order) 第 158 列</t>
        </is>
      </c>
      <c r="N157" t="inlineStr">
        <is>
          <t>2026-05-18</t>
        </is>
      </c>
    </row>
    <row r="158">
      <c r="A158" t="inlineStr">
        <is>
          <t>ord_580db94512b2</t>
        </is>
      </c>
      <c r="B158" t="inlineStr"/>
      <c r="C158" t="inlineStr">
        <is>
          <t>廣告受眾包</t>
        </is>
      </c>
      <c r="D158" t="inlineStr"/>
      <c r="E158" t="inlineStr">
        <is>
          <t>cacaFly</t>
        </is>
      </c>
      <c r="F158" t="inlineStr">
        <is>
          <t>大紅麴</t>
        </is>
      </c>
      <c r="G158" t="inlineStr">
        <is>
          <t>2024-08-02</t>
        </is>
      </c>
      <c r="H158" t="n">
        <v>51023</v>
      </c>
      <c r="I158" t="inlineStr">
        <is>
          <t>ADID</t>
        </is>
      </c>
      <c r="J158" t="n">
        <v>51023</v>
      </c>
      <c r="K158" t="inlineStr">
        <is>
          <t>2024-08-02</t>
        </is>
      </c>
      <c r="L158" t="inlineStr">
        <is>
          <t>否</t>
        </is>
      </c>
      <c r="M158" t="inlineStr">
        <is>
          <t>來源：委刊單(Order) 第 159 列</t>
        </is>
      </c>
      <c r="N158" t="inlineStr">
        <is>
          <t>2026-05-18</t>
        </is>
      </c>
    </row>
    <row r="159">
      <c r="A159" t="inlineStr">
        <is>
          <t>ord_c81f8b130fd7</t>
        </is>
      </c>
      <c r="B159" t="inlineStr"/>
      <c r="C159" t="inlineStr">
        <is>
          <t>廣告受眾包</t>
        </is>
      </c>
      <c r="D159" t="inlineStr"/>
      <c r="E159" t="inlineStr">
        <is>
          <t>蒔間</t>
        </is>
      </c>
      <c r="F159" t="inlineStr">
        <is>
          <t>茶類</t>
        </is>
      </c>
      <c r="G159" t="inlineStr">
        <is>
          <t>2024-08-08</t>
        </is>
      </c>
      <c r="H159" t="n">
        <v>6000</v>
      </c>
      <c r="I159" t="inlineStr">
        <is>
          <t>ADID</t>
        </is>
      </c>
      <c r="J159" t="n">
        <v>46039</v>
      </c>
      <c r="K159" t="inlineStr"/>
      <c r="L159" t="inlineStr">
        <is>
          <t>否</t>
        </is>
      </c>
      <c r="M159" t="inlineStr">
        <is>
          <t>茶類受眾包
來源：委刊單(Order) 第 160 列</t>
        </is>
      </c>
      <c r="N159" t="inlineStr">
        <is>
          <t>2026-05-18</t>
        </is>
      </c>
    </row>
    <row r="160">
      <c r="A160" t="inlineStr">
        <is>
          <t>ord_3f117d206884</t>
        </is>
      </c>
      <c r="B160" t="inlineStr"/>
      <c r="C160" t="inlineStr">
        <is>
          <t>廣告受眾包</t>
        </is>
      </c>
      <c r="D160" t="inlineStr"/>
      <c r="E160" t="inlineStr">
        <is>
          <t>OneAD</t>
        </is>
      </c>
      <c r="F160" t="inlineStr"/>
      <c r="G160" t="inlineStr">
        <is>
          <t>2024-08-08</t>
        </is>
      </c>
      <c r="H160" t="n">
        <v>5000</v>
      </c>
      <c r="I160" t="inlineStr">
        <is>
          <t>ADID</t>
        </is>
      </c>
      <c r="J160" t="n">
        <v>5000</v>
      </c>
      <c r="K160" t="inlineStr">
        <is>
          <t>2024-08-09</t>
        </is>
      </c>
      <c r="L160" t="inlineStr">
        <is>
          <t>否</t>
        </is>
      </c>
      <c r="M160" t="inlineStr">
        <is>
          <t>記錄房租用戶
來源：委刊單(Order) 第 161 列</t>
        </is>
      </c>
      <c r="N160" t="inlineStr">
        <is>
          <t>2026-05-18</t>
        </is>
      </c>
    </row>
    <row r="161">
      <c r="A161" t="inlineStr">
        <is>
          <t>ord_bf1ec144134b</t>
        </is>
      </c>
      <c r="B161" t="inlineStr"/>
      <c r="C161" t="inlineStr">
        <is>
          <t>廣告受眾包</t>
        </is>
      </c>
      <c r="D161" t="inlineStr"/>
      <c r="E161" t="inlineStr">
        <is>
          <t>Appier</t>
        </is>
      </c>
      <c r="F161" t="inlineStr">
        <is>
          <t>街口幣</t>
        </is>
      </c>
      <c r="G161" t="inlineStr">
        <is>
          <t>2024-08-14</t>
        </is>
      </c>
      <c r="H161" t="n">
        <v>20000</v>
      </c>
      <c r="I161" t="inlineStr">
        <is>
          <t>ADID</t>
        </is>
      </c>
      <c r="J161" t="n">
        <v>20000</v>
      </c>
      <c r="K161" t="inlineStr">
        <is>
          <t>2024-08-14</t>
        </is>
      </c>
      <c r="L161" t="inlineStr">
        <is>
          <t>否</t>
        </is>
      </c>
      <c r="M161" t="inlineStr">
        <is>
          <t>來源：委刊單(Order) 第 162 列</t>
        </is>
      </c>
      <c r="N161" t="inlineStr">
        <is>
          <t>2026-05-18</t>
        </is>
      </c>
    </row>
    <row r="162">
      <c r="A162" t="inlineStr">
        <is>
          <t>ord_8b52f35145c0</t>
        </is>
      </c>
      <c r="B162" t="inlineStr"/>
      <c r="C162" t="inlineStr">
        <is>
          <t>廣告受眾包</t>
        </is>
      </c>
      <c r="D162" t="inlineStr"/>
      <c r="E162" t="inlineStr">
        <is>
          <t>Appier</t>
        </is>
      </c>
      <c r="F162" t="inlineStr">
        <is>
          <t>Costco</t>
        </is>
      </c>
      <c r="G162" t="inlineStr">
        <is>
          <t>2024-08-15</t>
        </is>
      </c>
      <c r="H162" t="n">
        <v>20000</v>
      </c>
      <c r="I162" t="inlineStr">
        <is>
          <t>ADID</t>
        </is>
      </c>
      <c r="J162" t="n">
        <v>20000</v>
      </c>
      <c r="K162" t="inlineStr">
        <is>
          <t>2024-08-16</t>
        </is>
      </c>
      <c r="L162" t="inlineStr">
        <is>
          <t>否</t>
        </is>
      </c>
      <c r="M162" t="inlineStr">
        <is>
          <t>來源：委刊單(Order) 第 163 列</t>
        </is>
      </c>
      <c r="N162" t="inlineStr">
        <is>
          <t>2026-05-18</t>
        </is>
      </c>
    </row>
    <row r="163">
      <c r="A163" t="inlineStr">
        <is>
          <t>ord_cb6726992781</t>
        </is>
      </c>
      <c r="B163" t="inlineStr"/>
      <c r="C163" t="inlineStr">
        <is>
          <t>廣告受眾包</t>
        </is>
      </c>
      <c r="D163" t="inlineStr"/>
      <c r="E163" t="inlineStr">
        <is>
          <t>TenMax</t>
        </is>
      </c>
      <c r="F163" t="inlineStr">
        <is>
          <t>農業部</t>
        </is>
      </c>
      <c r="G163" t="inlineStr">
        <is>
          <t>2024-08-16</t>
        </is>
      </c>
      <c r="H163" t="n">
        <v>4500</v>
      </c>
      <c r="I163" t="inlineStr">
        <is>
          <t>ADID</t>
        </is>
      </c>
      <c r="J163" t="n">
        <v>90000</v>
      </c>
      <c r="K163" t="inlineStr">
        <is>
          <t>2024-08-18</t>
        </is>
      </c>
      <c r="L163" t="inlineStr">
        <is>
          <t>否</t>
        </is>
      </c>
      <c r="M163" t="inlineStr">
        <is>
          <t>專案名稱：農業部防疫署_TenMax Video2408
訂單編號：PB2400515
來源：委刊單(Order) 第 164 列</t>
        </is>
      </c>
      <c r="N163" t="inlineStr">
        <is>
          <t>2026-05-18</t>
        </is>
      </c>
    </row>
    <row r="164">
      <c r="A164" t="inlineStr">
        <is>
          <t>ord_6679d079f600</t>
        </is>
      </c>
      <c r="B164" t="inlineStr"/>
      <c r="C164" t="inlineStr">
        <is>
          <t>廣告受眾包</t>
        </is>
      </c>
      <c r="D164" t="inlineStr"/>
      <c r="E164" t="inlineStr">
        <is>
          <t>TenMax</t>
        </is>
      </c>
      <c r="F164" t="inlineStr">
        <is>
          <t>SUZUKI</t>
        </is>
      </c>
      <c r="G164" t="inlineStr">
        <is>
          <t>2024-08-16</t>
        </is>
      </c>
      <c r="H164" t="n">
        <v>3000</v>
      </c>
      <c r="I164" t="inlineStr">
        <is>
          <t>ADID</t>
        </is>
      </c>
      <c r="J164" t="n">
        <v>30000</v>
      </c>
      <c r="K164" t="inlineStr">
        <is>
          <t>2024-08-18</t>
        </is>
      </c>
      <c r="L164" t="inlineStr">
        <is>
          <t>否</t>
        </is>
      </c>
      <c r="M164" t="inlineStr">
        <is>
          <t>專案名稱：SUZUKI_8月
訂單編號：PB2400519
來源：委刊單(Order) 第 165 列</t>
        </is>
      </c>
      <c r="N164" t="inlineStr">
        <is>
          <t>2026-05-18</t>
        </is>
      </c>
    </row>
    <row r="165">
      <c r="A165" t="inlineStr">
        <is>
          <t>ord_f3d5d29f7ccd</t>
        </is>
      </c>
      <c r="B165" t="inlineStr"/>
      <c r="C165" t="inlineStr">
        <is>
          <t>廣告受眾包</t>
        </is>
      </c>
      <c r="D165" t="inlineStr"/>
      <c r="E165" t="inlineStr">
        <is>
          <t>TenMax</t>
        </is>
      </c>
      <c r="F165" t="inlineStr">
        <is>
          <t>Easyshop</t>
        </is>
      </c>
      <c r="G165" t="inlineStr">
        <is>
          <t>2024-08-16</t>
        </is>
      </c>
      <c r="H165" t="n">
        <v>3300</v>
      </c>
      <c r="I165" t="inlineStr">
        <is>
          <t>ADID</t>
        </is>
      </c>
      <c r="J165" t="n">
        <v>16500</v>
      </c>
      <c r="K165" t="inlineStr">
        <is>
          <t>2024-08-19</t>
        </is>
      </c>
      <c r="L165" t="inlineStr">
        <is>
          <t>否</t>
        </is>
      </c>
      <c r="M165" t="inlineStr">
        <is>
          <t>專案名稱：EASYSHOP_TenMax 2024
訂單編號：PB2400518
來源：委刊單(Order) 第 166 列</t>
        </is>
      </c>
      <c r="N165" t="inlineStr">
        <is>
          <t>2026-05-18</t>
        </is>
      </c>
    </row>
    <row r="166">
      <c r="A166" t="inlineStr">
        <is>
          <t>ord_35fafc244e56</t>
        </is>
      </c>
      <c r="B166" t="inlineStr"/>
      <c r="C166" t="inlineStr">
        <is>
          <t>廣告受眾包</t>
        </is>
      </c>
      <c r="D166" t="inlineStr"/>
      <c r="E166" t="inlineStr">
        <is>
          <t>TenMax</t>
        </is>
      </c>
      <c r="F166" t="inlineStr">
        <is>
          <t>航向世界旅遊</t>
        </is>
      </c>
      <c r="G166" t="inlineStr">
        <is>
          <t>2024-08-21</t>
        </is>
      </c>
      <c r="H166" t="n">
        <v>720</v>
      </c>
      <c r="I166" t="inlineStr">
        <is>
          <t>ADID</t>
        </is>
      </c>
      <c r="J166" t="n">
        <v>1440</v>
      </c>
      <c r="K166" t="inlineStr">
        <is>
          <t>2024-08-23</t>
        </is>
      </c>
      <c r="L166" t="inlineStr">
        <is>
          <t>否</t>
        </is>
      </c>
      <c r="M166" t="inlineStr">
        <is>
          <t>專案名稱：航向世界旅遊_TenMax RichMedia Ads_08
訂單編號：PB2400560
來源：委刊單(Order) 第 167 列</t>
        </is>
      </c>
      <c r="N166" t="inlineStr">
        <is>
          <t>2026-05-18</t>
        </is>
      </c>
    </row>
    <row r="167">
      <c r="A167" t="inlineStr">
        <is>
          <t>ord_a65d9aea44d2</t>
        </is>
      </c>
      <c r="B167" t="inlineStr"/>
      <c r="C167" t="inlineStr">
        <is>
          <t>問券調查</t>
        </is>
      </c>
      <c r="D167" t="inlineStr"/>
      <c r="E167" t="inlineStr">
        <is>
          <t>iXresearch(創市際)</t>
        </is>
      </c>
      <c r="F167" t="inlineStr">
        <is>
          <t>問券調查</t>
        </is>
      </c>
      <c r="G167" t="inlineStr">
        <is>
          <t>2024-08-20</t>
        </is>
      </c>
      <c r="H167" t="n">
        <v>100000</v>
      </c>
      <c r="I167" t="inlineStr">
        <is>
          <t>專案</t>
        </is>
      </c>
      <c r="J167" t="n">
        <v>1154600</v>
      </c>
      <c r="K167" t="inlineStr"/>
      <c r="L167" t="inlineStr">
        <is>
          <t>否</t>
        </is>
      </c>
      <c r="M167" t="inlineStr">
        <is>
          <t>專案連結
來源：委刊單(Order) 第 168 列</t>
        </is>
      </c>
      <c r="N167" t="inlineStr">
        <is>
          <t>2026-05-18</t>
        </is>
      </c>
    </row>
    <row r="168">
      <c r="A168" t="inlineStr">
        <is>
          <t>ord_b7b933d4c614</t>
        </is>
      </c>
      <c r="B168" t="inlineStr"/>
      <c r="C168" t="inlineStr">
        <is>
          <t>廣告受眾包</t>
        </is>
      </c>
      <c r="D168" t="inlineStr"/>
      <c r="E168" t="inlineStr">
        <is>
          <t>電通</t>
        </is>
      </c>
      <c r="F168" t="inlineStr">
        <is>
          <t>抗老保養</t>
        </is>
      </c>
      <c r="G168" t="inlineStr">
        <is>
          <t>2024-08-23</t>
        </is>
      </c>
      <c r="H168" t="n">
        <v>40000</v>
      </c>
      <c r="I168" t="inlineStr">
        <is>
          <t>ADID</t>
        </is>
      </c>
      <c r="J168" t="n">
        <v>645774</v>
      </c>
      <c r="K168" t="inlineStr">
        <is>
          <t>2024-08-29</t>
        </is>
      </c>
      <c r="L168" t="inlineStr">
        <is>
          <t>否</t>
        </is>
      </c>
      <c r="M168" t="inlineStr">
        <is>
          <t>美妝專櫃保養精華
來源：委刊單(Order) 第 169 列</t>
        </is>
      </c>
      <c r="N168" t="inlineStr">
        <is>
          <t>2026-05-18</t>
        </is>
      </c>
    </row>
    <row r="169">
      <c r="A169" t="inlineStr">
        <is>
          <t>ord_848b5c3dd24e</t>
        </is>
      </c>
      <c r="B169" t="inlineStr"/>
      <c r="C169" t="inlineStr">
        <is>
          <t>廣告受眾包</t>
        </is>
      </c>
      <c r="D169" t="inlineStr"/>
      <c r="E169" t="inlineStr">
        <is>
          <t>蒔間</t>
        </is>
      </c>
      <c r="F169" t="inlineStr">
        <is>
          <t>西裝用戶</t>
        </is>
      </c>
      <c r="G169" t="inlineStr">
        <is>
          <t>2024-08-23</t>
        </is>
      </c>
      <c r="H169" t="n">
        <v>5492</v>
      </c>
      <c r="I169" t="inlineStr">
        <is>
          <t>ADID</t>
        </is>
      </c>
      <c r="J169" t="n">
        <v>5492</v>
      </c>
      <c r="K169" t="inlineStr">
        <is>
          <t>2024-08-28</t>
        </is>
      </c>
      <c r="L169" t="inlineStr">
        <is>
          <t>否</t>
        </is>
      </c>
      <c r="M169" t="inlineStr">
        <is>
          <t>西裝用戶排除特定通路
來源：委刊單(Order) 第 170 列</t>
        </is>
      </c>
      <c r="N169" t="inlineStr">
        <is>
          <t>2026-05-18</t>
        </is>
      </c>
    </row>
    <row r="170">
      <c r="A170" t="inlineStr">
        <is>
          <t>ord_69e9affec062</t>
        </is>
      </c>
      <c r="B170" t="inlineStr"/>
      <c r="C170" t="inlineStr">
        <is>
          <t>廣告受眾包</t>
        </is>
      </c>
      <c r="D170" t="inlineStr"/>
      <c r="E170" t="inlineStr">
        <is>
          <t>TenMax</t>
        </is>
      </c>
      <c r="F170" t="inlineStr">
        <is>
          <t>聖州</t>
        </is>
      </c>
      <c r="G170" t="inlineStr">
        <is>
          <t>2024-09-02</t>
        </is>
      </c>
      <c r="H170" t="n">
        <v>1500</v>
      </c>
      <c r="I170" t="inlineStr">
        <is>
          <t>ADID</t>
        </is>
      </c>
      <c r="J170" t="n">
        <v>30000</v>
      </c>
      <c r="K170" t="inlineStr">
        <is>
          <t>2024-09-02</t>
        </is>
      </c>
      <c r="L170" t="inlineStr">
        <is>
          <t>否</t>
        </is>
      </c>
      <c r="M170" t="inlineStr">
        <is>
          <t>專案名稱：聖州_2409
訂單編號：PB2400568
來源：委刊單(Order) 第 171 列</t>
        </is>
      </c>
      <c r="N170" t="inlineStr">
        <is>
          <t>2026-05-18</t>
        </is>
      </c>
    </row>
    <row r="171">
      <c r="A171" t="inlineStr">
        <is>
          <t>ord_b5c19eb10355</t>
        </is>
      </c>
      <c r="B171" t="inlineStr"/>
      <c r="C171" t="inlineStr">
        <is>
          <t>廣告受眾包</t>
        </is>
      </c>
      <c r="D171" t="inlineStr"/>
      <c r="E171" t="inlineStr">
        <is>
          <t>TenMax</t>
        </is>
      </c>
      <c r="F171" t="inlineStr">
        <is>
          <t>蓓蕾莉</t>
        </is>
      </c>
      <c r="G171" t="inlineStr">
        <is>
          <t>2024-09-03</t>
        </is>
      </c>
      <c r="H171" t="n">
        <v>840</v>
      </c>
      <c r="I171" t="inlineStr">
        <is>
          <t>ADID</t>
        </is>
      </c>
      <c r="J171" t="n">
        <v>8400</v>
      </c>
      <c r="K171" t="inlineStr">
        <is>
          <t>2024-09-03</t>
        </is>
      </c>
      <c r="L171" t="inlineStr">
        <is>
          <t>否</t>
        </is>
      </c>
      <c r="M171" t="inlineStr">
        <is>
          <t>專案名稱：蓓蕾莉生技_TenMax Native Ads_2409
訂單編號：PB2400590
來源：委刊單(Order) 第 172 列</t>
        </is>
      </c>
      <c r="N171" t="inlineStr">
        <is>
          <t>2026-05-18</t>
        </is>
      </c>
    </row>
    <row r="172">
      <c r="A172" t="inlineStr">
        <is>
          <t>ord_4ffdc131fb03</t>
        </is>
      </c>
      <c r="B172" t="inlineStr"/>
      <c r="C172" t="inlineStr">
        <is>
          <t>廣告受眾包</t>
        </is>
      </c>
      <c r="D172" t="inlineStr"/>
      <c r="E172" t="inlineStr">
        <is>
          <t>TenMax</t>
        </is>
      </c>
      <c r="F172" t="inlineStr">
        <is>
          <t>烹大師9月</t>
        </is>
      </c>
      <c r="G172" t="inlineStr">
        <is>
          <t>2024-09-03</t>
        </is>
      </c>
      <c r="H172" t="n">
        <v>1650</v>
      </c>
      <c r="I172" t="inlineStr">
        <is>
          <t>ADID</t>
        </is>
      </c>
      <c r="J172" t="n">
        <v>16500</v>
      </c>
      <c r="K172" t="inlineStr">
        <is>
          <t>2024-09-03</t>
        </is>
      </c>
      <c r="L172" t="inlineStr">
        <is>
          <t>否</t>
        </is>
      </c>
      <c r="M172" t="inlineStr">
        <is>
          <t>專案名稱：台灣味之素_烹大師_TenMax Video_2409
訂單編號：PB2400586
來源：委刊單(Order) 第 173 列</t>
        </is>
      </c>
      <c r="N172" t="inlineStr">
        <is>
          <t>2026-05-18</t>
        </is>
      </c>
    </row>
    <row r="173">
      <c r="A173" t="inlineStr">
        <is>
          <t>ord_9530d447e7a6</t>
        </is>
      </c>
      <c r="B173" t="inlineStr"/>
      <c r="C173" t="inlineStr">
        <is>
          <t>廣告受眾包</t>
        </is>
      </c>
      <c r="D173" t="inlineStr"/>
      <c r="E173" t="inlineStr">
        <is>
          <t>TenMax</t>
        </is>
      </c>
      <c r="F173" t="inlineStr">
        <is>
          <t>VONO 9月</t>
        </is>
      </c>
      <c r="G173" t="inlineStr">
        <is>
          <t>2024-09-03</t>
        </is>
      </c>
      <c r="H173" t="n">
        <v>975</v>
      </c>
      <c r="I173" t="inlineStr">
        <is>
          <t>ADID</t>
        </is>
      </c>
      <c r="J173" t="n">
        <v>19500</v>
      </c>
      <c r="K173" t="inlineStr">
        <is>
          <t>2024-09-03</t>
        </is>
      </c>
      <c r="L173" t="inlineStr">
        <is>
          <t>否</t>
        </is>
      </c>
      <c r="M173" t="inlineStr">
        <is>
          <t>專案名稱：台灣味之素_VONO_TenMax Video_2409
訂單編號：PB2400588
來源：委刊單(Order) 第 174 列</t>
        </is>
      </c>
      <c r="N173" t="inlineStr">
        <is>
          <t>2026-05-18</t>
        </is>
      </c>
    </row>
    <row r="174">
      <c r="A174" t="inlineStr">
        <is>
          <t>ord_6073b28da2a3</t>
        </is>
      </c>
      <c r="B174" t="inlineStr"/>
      <c r="C174" t="inlineStr">
        <is>
          <t>廣告受眾包</t>
        </is>
      </c>
      <c r="D174" t="inlineStr"/>
      <c r="E174" t="inlineStr">
        <is>
          <t>TenMax</t>
        </is>
      </c>
      <c r="F174" t="inlineStr">
        <is>
          <t>AGF 9月</t>
        </is>
      </c>
      <c r="G174" t="inlineStr">
        <is>
          <t>2024-09-03</t>
        </is>
      </c>
      <c r="H174" t="n">
        <v>480</v>
      </c>
      <c r="I174" t="inlineStr">
        <is>
          <t>ADID</t>
        </is>
      </c>
      <c r="J174" t="n">
        <v>4800</v>
      </c>
      <c r="K174" t="inlineStr">
        <is>
          <t>2024-09-03</t>
        </is>
      </c>
      <c r="L174" t="inlineStr">
        <is>
          <t>否</t>
        </is>
      </c>
      <c r="M174" t="inlineStr">
        <is>
          <t>專案名稱：台灣味之素｜AGF咖啡_TenMax Video_2409
訂單編號：PB2400587
來源：委刊單(Order) 第 175 列</t>
        </is>
      </c>
      <c r="N174" t="inlineStr">
        <is>
          <t>2026-05-18</t>
        </is>
      </c>
    </row>
    <row r="175">
      <c r="A175" t="inlineStr">
        <is>
          <t>ord_2f491d5f4fe2</t>
        </is>
      </c>
      <c r="B175" t="inlineStr"/>
      <c r="C175" t="inlineStr">
        <is>
          <t>廣告受眾包</t>
        </is>
      </c>
      <c r="D175" t="inlineStr"/>
      <c r="E175" t="inlineStr">
        <is>
          <t>電通</t>
        </is>
      </c>
      <c r="F175" t="inlineStr">
        <is>
          <t>髮品</t>
        </is>
      </c>
      <c r="G175" t="inlineStr">
        <is>
          <t>2024-09-03</t>
        </is>
      </c>
      <c r="H175" t="n">
        <v>40000</v>
      </c>
      <c r="I175" t="inlineStr">
        <is>
          <t>ADID</t>
        </is>
      </c>
      <c r="J175" t="n">
        <v>223569</v>
      </c>
      <c r="K175" t="inlineStr">
        <is>
          <t>2024-09-13</t>
        </is>
      </c>
      <c r="L175" t="inlineStr">
        <is>
          <t>否</t>
        </is>
      </c>
      <c r="M175" t="inlineStr">
        <is>
          <t>髮品
來源：委刊單(Order) 第 176 列</t>
        </is>
      </c>
      <c r="N175" t="inlineStr">
        <is>
          <t>2026-05-18</t>
        </is>
      </c>
    </row>
    <row r="176">
      <c r="A176" t="inlineStr">
        <is>
          <t>ord_baa6ac1fc2fe</t>
        </is>
      </c>
      <c r="B176" t="inlineStr"/>
      <c r="C176" t="inlineStr">
        <is>
          <t>廣告受眾包</t>
        </is>
      </c>
      <c r="D176" t="inlineStr"/>
      <c r="E176" t="inlineStr">
        <is>
          <t>蒔間</t>
        </is>
      </c>
      <c r="F176" t="inlineStr">
        <is>
          <t>膠原蛋白(女)</t>
        </is>
      </c>
      <c r="G176" t="inlineStr">
        <is>
          <t>2024-09-05</t>
        </is>
      </c>
      <c r="H176" t="n">
        <v>12000</v>
      </c>
      <c r="I176" t="inlineStr">
        <is>
          <t>ADID</t>
        </is>
      </c>
      <c r="J176" t="n">
        <v>132842</v>
      </c>
      <c r="K176" t="inlineStr">
        <is>
          <t>2024-09-05</t>
        </is>
      </c>
      <c r="L176" t="inlineStr">
        <is>
          <t>否</t>
        </is>
      </c>
      <c r="M176" t="inlineStr">
        <is>
          <t>膠原蛋白相關
來源：委刊單(Order) 第 177 列</t>
        </is>
      </c>
      <c r="N176" t="inlineStr">
        <is>
          <t>2026-05-18</t>
        </is>
      </c>
    </row>
    <row r="177">
      <c r="A177" t="inlineStr">
        <is>
          <t>ord_f29625b3194c</t>
        </is>
      </c>
      <c r="B177" t="inlineStr"/>
      <c r="C177" t="inlineStr">
        <is>
          <t>廣告受眾包</t>
        </is>
      </c>
      <c r="D177" t="inlineStr"/>
      <c r="E177" t="inlineStr">
        <is>
          <t>蒔間</t>
        </is>
      </c>
      <c r="F177" t="inlineStr">
        <is>
          <t>染髮膏（寶雅）</t>
        </is>
      </c>
      <c r="G177" t="inlineStr">
        <is>
          <t>2024-09-05</t>
        </is>
      </c>
      <c r="H177" t="n">
        <v>8000</v>
      </c>
      <c r="I177" t="inlineStr">
        <is>
          <t>ADID</t>
        </is>
      </c>
      <c r="J177" t="n">
        <v>43638</v>
      </c>
      <c r="K177" t="inlineStr">
        <is>
          <t>2024-09-05</t>
        </is>
      </c>
      <c r="L177" t="inlineStr">
        <is>
          <t>否</t>
        </is>
      </c>
      <c r="M177" t="inlineStr">
        <is>
          <t>來源：委刊單(Order) 第 178 列</t>
        </is>
      </c>
      <c r="N177" t="inlineStr">
        <is>
          <t>2026-05-18</t>
        </is>
      </c>
    </row>
    <row r="178">
      <c r="A178" t="inlineStr">
        <is>
          <t>ord_4de44ae01155</t>
        </is>
      </c>
      <c r="B178" t="inlineStr"/>
      <c r="C178" t="inlineStr">
        <is>
          <t>廣告受眾包</t>
        </is>
      </c>
      <c r="D178" t="inlineStr"/>
      <c r="E178" t="inlineStr">
        <is>
          <t>LeadUp</t>
        </is>
      </c>
      <c r="F178" t="inlineStr">
        <is>
          <t>3C換機族</t>
        </is>
      </c>
      <c r="G178" t="inlineStr">
        <is>
          <t>2024-09-06</t>
        </is>
      </c>
      <c r="H178" t="n">
        <v>5020</v>
      </c>
      <c r="I178" t="inlineStr">
        <is>
          <t>ADID</t>
        </is>
      </c>
      <c r="J178" t="n">
        <v>100400</v>
      </c>
      <c r="K178" t="inlineStr">
        <is>
          <t>2024-09-06</t>
        </is>
      </c>
      <c r="L178" t="inlineStr">
        <is>
          <t>否</t>
        </is>
      </c>
      <c r="M178" t="inlineStr">
        <is>
          <t>2022-2023年購買iphone / iPad 的買家
來源：委刊單(Order) 第 179 列</t>
        </is>
      </c>
      <c r="N178" t="inlineStr">
        <is>
          <t>2026-05-18</t>
        </is>
      </c>
    </row>
    <row r="179">
      <c r="A179" t="inlineStr">
        <is>
          <t>ord_6402a1f0dcd8</t>
        </is>
      </c>
      <c r="B179" t="inlineStr"/>
      <c r="C179" t="inlineStr">
        <is>
          <t>廣告受眾包</t>
        </is>
      </c>
      <c r="D179" t="inlineStr"/>
      <c r="E179" t="inlineStr">
        <is>
          <t>Appier</t>
        </is>
      </c>
      <c r="F179" t="inlineStr">
        <is>
          <t>美白牙膏</t>
        </is>
      </c>
      <c r="G179" t="inlineStr">
        <is>
          <t>2024-09-06</t>
        </is>
      </c>
      <c r="H179" t="n">
        <v>6800</v>
      </c>
      <c r="I179" t="inlineStr">
        <is>
          <t>ADID</t>
        </is>
      </c>
      <c r="J179" t="n">
        <v>6800</v>
      </c>
      <c r="K179" t="inlineStr">
        <is>
          <t>2024-09-11</t>
        </is>
      </c>
      <c r="L179" t="inlineStr">
        <is>
          <t>否</t>
        </is>
      </c>
      <c r="M179" t="inlineStr">
        <is>
          <t>來源：委刊單(Order) 第 180 列</t>
        </is>
      </c>
      <c r="N179" t="inlineStr">
        <is>
          <t>2026-05-18</t>
        </is>
      </c>
    </row>
    <row r="180">
      <c r="A180" t="inlineStr">
        <is>
          <t>ord_8a10563265c6</t>
        </is>
      </c>
      <c r="B180" t="inlineStr"/>
      <c r="C180" t="inlineStr">
        <is>
          <t>廣告受眾包</t>
        </is>
      </c>
      <c r="D180" t="inlineStr"/>
      <c r="E180" t="inlineStr">
        <is>
          <t>東方線上</t>
        </is>
      </c>
      <c r="F180" t="inlineStr">
        <is>
          <t>男性</t>
        </is>
      </c>
      <c r="G180" t="inlineStr">
        <is>
          <t>2024-09-11</t>
        </is>
      </c>
      <c r="H180" t="n">
        <v>5000</v>
      </c>
      <c r="I180" t="inlineStr">
        <is>
          <t>簡訊</t>
        </is>
      </c>
      <c r="J180" t="n">
        <v>0</v>
      </c>
      <c r="K180" t="inlineStr">
        <is>
          <t>2024-09-13</t>
        </is>
      </c>
      <c r="L180" t="inlineStr">
        <is>
          <t>否</t>
        </is>
      </c>
      <c r="M180" t="inlineStr">
        <is>
          <t>男性洗髮乳
來源：委刊單(Order) 第 181 列</t>
        </is>
      </c>
      <c r="N180" t="inlineStr">
        <is>
          <t>2026-05-18</t>
        </is>
      </c>
    </row>
    <row r="181">
      <c r="A181" t="inlineStr">
        <is>
          <t>ord_b4a9891bd8ee</t>
        </is>
      </c>
      <c r="B181" t="inlineStr"/>
      <c r="C181" t="inlineStr">
        <is>
          <t>廣告受眾包</t>
        </is>
      </c>
      <c r="D181" t="inlineStr"/>
      <c r="E181" t="inlineStr">
        <is>
          <t>TenMax</t>
        </is>
      </c>
      <c r="F181" t="inlineStr">
        <is>
          <t>農業部</t>
        </is>
      </c>
      <c r="G181" t="inlineStr">
        <is>
          <t>2024-09-18</t>
        </is>
      </c>
      <c r="H181" t="n">
        <v>4500</v>
      </c>
      <c r="I181" t="inlineStr">
        <is>
          <t>ADID</t>
        </is>
      </c>
      <c r="J181" t="n">
        <v>90000</v>
      </c>
      <c r="K181" t="inlineStr">
        <is>
          <t>2024-09-20</t>
        </is>
      </c>
      <c r="L181" t="inlineStr">
        <is>
          <t>否</t>
        </is>
      </c>
      <c r="M181" t="inlineStr">
        <is>
          <t>專案名稱：農業部防疫署｜入境不可攜帶物品宣導_TenMax Video2409
訂單編號：PB2400624
來源：委刊單(Order) 第 182 列</t>
        </is>
      </c>
      <c r="N181" t="inlineStr">
        <is>
          <t>2026-05-18</t>
        </is>
      </c>
    </row>
    <row r="182">
      <c r="A182" t="inlineStr">
        <is>
          <t>ord_199edae30944</t>
        </is>
      </c>
      <c r="B182" t="inlineStr"/>
      <c r="C182" t="inlineStr">
        <is>
          <t>廣告受眾包</t>
        </is>
      </c>
      <c r="D182" t="inlineStr"/>
      <c r="E182" t="inlineStr">
        <is>
          <t>TenMax</t>
        </is>
      </c>
      <c r="F182" t="inlineStr">
        <is>
          <t>蓓朵娜_9月</t>
        </is>
      </c>
      <c r="G182" t="inlineStr">
        <is>
          <t>2024-09-18</t>
        </is>
      </c>
      <c r="H182" t="n">
        <v>1440</v>
      </c>
      <c r="I182" t="inlineStr">
        <is>
          <t>ADID</t>
        </is>
      </c>
      <c r="J182" t="n">
        <v>28800</v>
      </c>
      <c r="K182" t="inlineStr">
        <is>
          <t>2024-09-20</t>
        </is>
      </c>
      <c r="L182" t="inlineStr">
        <is>
          <t>否</t>
        </is>
      </c>
      <c r="M182" t="inlineStr">
        <is>
          <t>專案名稱：蓓朵娜_TenMax RichMedia 9月活動
訂單編號：PB2400622
來源：委刊單(Order) 第 183 列</t>
        </is>
      </c>
      <c r="N182" t="inlineStr">
        <is>
          <t>2026-05-18</t>
        </is>
      </c>
    </row>
    <row r="183">
      <c r="A183" t="inlineStr">
        <is>
          <t>ord_84508120b33f</t>
        </is>
      </c>
      <c r="B183" t="inlineStr"/>
      <c r="C183" t="inlineStr">
        <is>
          <t>問券調查</t>
        </is>
      </c>
      <c r="D183" t="inlineStr"/>
      <c r="E183" t="inlineStr">
        <is>
          <t>JTI</t>
        </is>
      </c>
      <c r="F183" t="inlineStr">
        <is>
          <t>JTI</t>
        </is>
      </c>
      <c r="G183" t="inlineStr">
        <is>
          <t>2024-09-09</t>
        </is>
      </c>
      <c r="H183" t="n">
        <v>176000</v>
      </c>
      <c r="I183" t="inlineStr">
        <is>
          <t>問卷</t>
        </is>
      </c>
      <c r="J183" t="n">
        <v>0</v>
      </c>
      <c r="K183" t="inlineStr"/>
      <c r="L183" t="inlineStr">
        <is>
          <t>否</t>
        </is>
      </c>
      <c r="M183" t="inlineStr">
        <is>
          <t>新產品調查Mevius LSS Sky Blue/七星清藍5毫克
來源：委刊單(Order) 第 184 列</t>
        </is>
      </c>
      <c r="N183" t="inlineStr">
        <is>
          <t>2026-05-18</t>
        </is>
      </c>
    </row>
    <row r="184">
      <c r="A184" t="inlineStr">
        <is>
          <t>ord_835a951aa50a</t>
        </is>
      </c>
      <c r="B184" t="inlineStr"/>
      <c r="C184" t="inlineStr">
        <is>
          <t>廣告受眾包</t>
        </is>
      </c>
      <c r="D184" t="inlineStr"/>
      <c r="E184" t="inlineStr">
        <is>
          <t>電通</t>
        </is>
      </c>
      <c r="F184" t="inlineStr">
        <is>
          <t>奢侈化妝品</t>
        </is>
      </c>
      <c r="G184" t="inlineStr">
        <is>
          <t>2024-09-24</t>
        </is>
      </c>
      <c r="H184" t="n">
        <v>20000</v>
      </c>
      <c r="I184" t="inlineStr">
        <is>
          <t>ADID</t>
        </is>
      </c>
      <c r="J184" t="n">
        <v>155562</v>
      </c>
      <c r="K184" t="inlineStr">
        <is>
          <t>2024-09-26</t>
        </is>
      </c>
      <c r="L184" t="inlineStr">
        <is>
          <t>否</t>
        </is>
      </c>
      <c r="M184" t="inlineStr">
        <is>
          <t>奢侈化妝品
來源：委刊單(Order) 第 185 列</t>
        </is>
      </c>
      <c r="N184" t="inlineStr">
        <is>
          <t>2026-05-18</t>
        </is>
      </c>
    </row>
    <row r="185">
      <c r="A185" t="inlineStr">
        <is>
          <t>ord_ec30a346dc79</t>
        </is>
      </c>
      <c r="B185" t="inlineStr"/>
      <c r="C185" t="inlineStr">
        <is>
          <t>廣告受眾包</t>
        </is>
      </c>
      <c r="D185" t="inlineStr"/>
      <c r="E185" t="inlineStr">
        <is>
          <t>LeadUp</t>
        </is>
      </c>
      <c r="F185" t="inlineStr">
        <is>
          <t>小物先生</t>
        </is>
      </c>
      <c r="G185" t="inlineStr">
        <is>
          <t>2024-09-25</t>
        </is>
      </c>
      <c r="H185" t="n">
        <v>344</v>
      </c>
      <c r="I185" t="inlineStr">
        <is>
          <t>ADID</t>
        </is>
      </c>
      <c r="J185" t="n">
        <v>6871</v>
      </c>
      <c r="K185" t="inlineStr">
        <is>
          <t>2024-09-25</t>
        </is>
      </c>
      <c r="L185" t="inlineStr">
        <is>
          <t>否</t>
        </is>
      </c>
      <c r="M185" t="inlineStr">
        <is>
          <t>2024/9/10-2024/9/20之間購買iphone / iPad 的買家
來源：委刊單(Order) 第 186 列</t>
        </is>
      </c>
      <c r="N185" t="inlineStr">
        <is>
          <t>2026-05-18</t>
        </is>
      </c>
    </row>
    <row r="186">
      <c r="A186" t="inlineStr">
        <is>
          <t>ord_48b4391f0f74</t>
        </is>
      </c>
      <c r="B186" t="inlineStr"/>
      <c r="C186" t="inlineStr">
        <is>
          <t>廣告受眾包</t>
        </is>
      </c>
      <c r="D186" t="inlineStr"/>
      <c r="E186" t="inlineStr">
        <is>
          <t>Appier</t>
        </is>
      </c>
      <c r="F186" t="inlineStr">
        <is>
          <t>盈達旅遊</t>
        </is>
      </c>
      <c r="G186" t="inlineStr">
        <is>
          <t>2024-10-01</t>
        </is>
      </c>
      <c r="H186" t="n">
        <v>10000</v>
      </c>
      <c r="I186" t="inlineStr">
        <is>
          <t>ADID</t>
        </is>
      </c>
      <c r="J186" t="n">
        <v>10000</v>
      </c>
      <c r="K186" t="inlineStr">
        <is>
          <t>2024-10-01</t>
        </is>
      </c>
      <c r="L186" t="inlineStr">
        <is>
          <t>否</t>
        </is>
      </c>
      <c r="M186" t="inlineStr">
        <is>
          <t>網路卡, 上網卡, 網卡, 漫遊, 萬用轉接頭, 轉接頭萬用, 行李箱, 行李秤
來源：委刊單(Order) 第 187 列</t>
        </is>
      </c>
      <c r="N186" t="inlineStr">
        <is>
          <t>2026-05-18</t>
        </is>
      </c>
    </row>
    <row r="187">
      <c r="A187" t="inlineStr">
        <is>
          <t>ord_fcc28d6e3d44</t>
        </is>
      </c>
      <c r="B187" t="inlineStr"/>
      <c r="C187" t="inlineStr">
        <is>
          <t>廣告受眾包</t>
        </is>
      </c>
      <c r="D187" t="inlineStr"/>
      <c r="E187" t="inlineStr">
        <is>
          <t>電通</t>
        </is>
      </c>
      <c r="F187" t="inlineStr">
        <is>
          <t>跑步</t>
        </is>
      </c>
      <c r="G187" t="inlineStr">
        <is>
          <t>2024-10-01</t>
        </is>
      </c>
      <c r="H187" t="n">
        <v>40000</v>
      </c>
      <c r="I187" t="inlineStr">
        <is>
          <t>ADID</t>
        </is>
      </c>
      <c r="J187" t="n">
        <v>290575</v>
      </c>
      <c r="K187" t="inlineStr">
        <is>
          <t>2024-10-14</t>
        </is>
      </c>
      <c r="L187" t="inlineStr">
        <is>
          <t>否</t>
        </is>
      </c>
      <c r="M187" t="inlineStr">
        <is>
          <t>過去一年運動相關
來源：委刊單(Order) 第 188 列</t>
        </is>
      </c>
      <c r="N187" t="inlineStr">
        <is>
          <t>2026-05-18</t>
        </is>
      </c>
    </row>
    <row r="188">
      <c r="A188" t="inlineStr">
        <is>
          <t>ord_876e4722e342</t>
        </is>
      </c>
      <c r="B188" t="inlineStr"/>
      <c r="C188" t="inlineStr">
        <is>
          <t>廣告受眾包</t>
        </is>
      </c>
      <c r="D188" t="inlineStr"/>
      <c r="E188" t="inlineStr">
        <is>
          <t>TenMax</t>
        </is>
      </c>
      <c r="F188" t="inlineStr">
        <is>
          <t>台灣華嶠</t>
        </is>
      </c>
      <c r="G188" t="inlineStr">
        <is>
          <t>2024-10-01</t>
        </is>
      </c>
      <c r="H188" t="n">
        <v>1200</v>
      </c>
      <c r="I188" t="inlineStr">
        <is>
          <t>ADID</t>
        </is>
      </c>
      <c r="J188" t="n">
        <v>2400</v>
      </c>
      <c r="K188" t="inlineStr">
        <is>
          <t>2024-10-01</t>
        </is>
      </c>
      <c r="L188" t="inlineStr">
        <is>
          <t>否</t>
        </is>
      </c>
      <c r="M188" t="inlineStr">
        <is>
          <t>專案名稱：台灣華嶠
訂單編號：PB2400634
來源：委刊單(Order) 第 189 列</t>
        </is>
      </c>
      <c r="N188" t="inlineStr">
        <is>
          <t>2026-05-18</t>
        </is>
      </c>
    </row>
    <row r="189">
      <c r="A189" t="inlineStr">
        <is>
          <t>ord_e1db4e87c649</t>
        </is>
      </c>
      <c r="B189" t="inlineStr"/>
      <c r="C189" t="inlineStr">
        <is>
          <t>廣告受眾包</t>
        </is>
      </c>
      <c r="D189" t="inlineStr"/>
      <c r="E189" t="inlineStr">
        <is>
          <t>Appier</t>
        </is>
      </c>
      <c r="F189" t="inlineStr">
        <is>
          <t>髮品</t>
        </is>
      </c>
      <c r="G189" t="inlineStr">
        <is>
          <t>2024-10-03</t>
        </is>
      </c>
      <c r="H189" t="n">
        <v>20000</v>
      </c>
      <c r="I189" t="inlineStr">
        <is>
          <t>ADID</t>
        </is>
      </c>
      <c r="J189" t="n">
        <v>20000</v>
      </c>
      <c r="K189" t="inlineStr">
        <is>
          <t>2024-10-03</t>
        </is>
      </c>
      <c r="L189" t="inlineStr">
        <is>
          <t>否</t>
        </is>
      </c>
      <c r="M189" t="inlineStr">
        <is>
          <t>限定髮品及通路
來源：委刊單(Order) 第 190 列</t>
        </is>
      </c>
      <c r="N189" t="inlineStr">
        <is>
          <t>2026-05-18</t>
        </is>
      </c>
    </row>
    <row r="190">
      <c r="A190" t="inlineStr">
        <is>
          <t>ord_8d14b53a5f73</t>
        </is>
      </c>
      <c r="B190" t="inlineStr"/>
      <c r="C190" t="inlineStr">
        <is>
          <t>廣告受眾包</t>
        </is>
      </c>
      <c r="D190" t="inlineStr"/>
      <c r="E190" t="inlineStr">
        <is>
          <t>LeadUp</t>
        </is>
      </c>
      <c r="F190" t="inlineStr">
        <is>
          <t>美髮</t>
        </is>
      </c>
      <c r="G190" t="inlineStr">
        <is>
          <t>2024-10-04</t>
        </is>
      </c>
      <c r="H190" t="n">
        <v>5833</v>
      </c>
      <c r="I190" t="inlineStr">
        <is>
          <t>ADID</t>
        </is>
      </c>
      <c r="J190" t="n">
        <v>0</v>
      </c>
      <c r="K190" t="inlineStr">
        <is>
          <t>2024-10-04</t>
        </is>
      </c>
      <c r="L190" t="inlineStr">
        <is>
          <t>否</t>
        </is>
      </c>
      <c r="M190" t="inlineStr">
        <is>
          <t>過去一年購買過淨化液及洗髮精梳子等三受眾
來源：委刊單(Order) 第 191 列</t>
        </is>
      </c>
      <c r="N190" t="inlineStr">
        <is>
          <t>2026-05-18</t>
        </is>
      </c>
    </row>
    <row r="191">
      <c r="A191" t="inlineStr">
        <is>
          <t>ord_3e894f2e1122</t>
        </is>
      </c>
      <c r="B191" t="inlineStr"/>
      <c r="C191" t="inlineStr">
        <is>
          <t>廣告受眾包</t>
        </is>
      </c>
      <c r="D191" t="inlineStr"/>
      <c r="E191" t="inlineStr">
        <is>
          <t>Appier</t>
        </is>
      </c>
      <c r="F191" t="inlineStr">
        <is>
          <t>白蘭氏1002</t>
        </is>
      </c>
      <c r="G191" t="inlineStr">
        <is>
          <t>2024-10-04</t>
        </is>
      </c>
      <c r="H191" t="n">
        <v>10000</v>
      </c>
      <c r="I191" t="inlineStr">
        <is>
          <t>ADID</t>
        </is>
      </c>
      <c r="J191" t="n">
        <v>10000</v>
      </c>
      <c r="K191" t="inlineStr">
        <is>
          <t>2024-10-04</t>
        </is>
      </c>
      <c r="L191" t="inlineStr">
        <is>
          <t>否</t>
        </is>
      </c>
      <c r="M191" t="inlineStr">
        <is>
          <t>過去一年有購買過保捷相關產品
來源：委刊單(Order) 第 192 列</t>
        </is>
      </c>
      <c r="N191" t="inlineStr">
        <is>
          <t>2026-05-18</t>
        </is>
      </c>
    </row>
    <row r="192">
      <c r="A192" t="inlineStr">
        <is>
          <t>ord_8c665fff84ce</t>
        </is>
      </c>
      <c r="B192" t="inlineStr"/>
      <c r="C192" t="inlineStr">
        <is>
          <t>廣告受眾包</t>
        </is>
      </c>
      <c r="D192" t="inlineStr"/>
      <c r="E192" t="inlineStr">
        <is>
          <t>TenMax</t>
        </is>
      </c>
      <c r="F192" t="inlineStr">
        <is>
          <t>農業部</t>
        </is>
      </c>
      <c r="G192" t="inlineStr">
        <is>
          <t>2024-10-04</t>
        </is>
      </c>
      <c r="H192" t="n">
        <v>4500</v>
      </c>
      <c r="I192" t="inlineStr">
        <is>
          <t>ADID</t>
        </is>
      </c>
      <c r="J192" t="n">
        <v>90000</v>
      </c>
      <c r="K192" t="inlineStr">
        <is>
          <t>2024-10-07</t>
        </is>
      </c>
      <c r="L192" t="inlineStr">
        <is>
          <t>否</t>
        </is>
      </c>
      <c r="M192" t="inlineStr">
        <is>
          <t>專案名稱：農業部防疫署｜入境不可攜帶物品宣導_TenMax Video2410
訂單編號：PB2400644
來源：委刊單(Order) 第 193 列</t>
        </is>
      </c>
      <c r="N192" t="inlineStr">
        <is>
          <t>2026-05-18</t>
        </is>
      </c>
    </row>
    <row r="193">
      <c r="A193" t="inlineStr">
        <is>
          <t>ord_e983b2309d56</t>
        </is>
      </c>
      <c r="B193" t="inlineStr"/>
      <c r="C193" t="inlineStr">
        <is>
          <t>廣告受眾包</t>
        </is>
      </c>
      <c r="D193" t="inlineStr"/>
      <c r="E193" t="inlineStr">
        <is>
          <t>TenMax</t>
        </is>
      </c>
      <c r="F193" t="inlineStr">
        <is>
          <t>KOH COCONUT(酷椰嶼)</t>
        </is>
      </c>
      <c r="G193" t="inlineStr">
        <is>
          <t>2024-10-07</t>
        </is>
      </c>
      <c r="H193" t="n">
        <v>3300</v>
      </c>
      <c r="I193" t="inlineStr">
        <is>
          <t>ADID</t>
        </is>
      </c>
      <c r="J193" t="n">
        <v>66000</v>
      </c>
      <c r="K193" t="inlineStr">
        <is>
          <t>2024-10-07</t>
        </is>
      </c>
      <c r="L193" t="inlineStr">
        <is>
          <t>否</t>
        </is>
      </c>
      <c r="M193" t="inlineStr">
        <is>
          <t>專案名稱：KOH COCONUT _金椰子活動
訂單編號：PB2400636
來源：委刊單(Order) 第 194 列</t>
        </is>
      </c>
      <c r="N193" t="inlineStr">
        <is>
          <t>2026-05-18</t>
        </is>
      </c>
    </row>
    <row r="194">
      <c r="A194" t="inlineStr">
        <is>
          <t>ord_e01b03d018b2</t>
        </is>
      </c>
      <c r="B194" t="inlineStr"/>
      <c r="C194" t="inlineStr">
        <is>
          <t>廣告受眾包</t>
        </is>
      </c>
      <c r="D194" t="inlineStr"/>
      <c r="E194" t="inlineStr">
        <is>
          <t>TenMax</t>
        </is>
      </c>
      <c r="F194" t="inlineStr">
        <is>
          <t>疫苗</t>
        </is>
      </c>
      <c r="G194" t="inlineStr">
        <is>
          <t>2024-10-07</t>
        </is>
      </c>
      <c r="H194" t="n">
        <v>10500</v>
      </c>
      <c r="I194" t="inlineStr">
        <is>
          <t>ADID</t>
        </is>
      </c>
      <c r="J194" t="n">
        <v>210000</v>
      </c>
      <c r="K194" t="inlineStr">
        <is>
          <t>2024-10-07</t>
        </is>
      </c>
      <c r="L194" t="inlineStr">
        <is>
          <t>否</t>
        </is>
      </c>
      <c r="M194" t="inlineStr">
        <is>
          <t>專案名稱：秋冬疫苗衛教宣傳
訂單編號：PB2400649
來源：委刊單(Order) 第 195 列</t>
        </is>
      </c>
      <c r="N194" t="inlineStr">
        <is>
          <t>2026-05-18</t>
        </is>
      </c>
    </row>
    <row r="195">
      <c r="A195" t="inlineStr">
        <is>
          <t>ord_a40a0b9a7049</t>
        </is>
      </c>
      <c r="B195" t="inlineStr"/>
      <c r="C195" t="inlineStr">
        <is>
          <t>廣告受眾包</t>
        </is>
      </c>
      <c r="D195" t="inlineStr"/>
      <c r="E195" t="inlineStr">
        <is>
          <t>TenMax</t>
        </is>
      </c>
      <c r="F195" t="inlineStr">
        <is>
          <t>聖州</t>
        </is>
      </c>
      <c r="G195" t="inlineStr">
        <is>
          <t>2024-10-07</t>
        </is>
      </c>
      <c r="H195" t="n">
        <v>1500</v>
      </c>
      <c r="I195" t="inlineStr">
        <is>
          <t>ADID</t>
        </is>
      </c>
      <c r="J195" t="n">
        <v>15250</v>
      </c>
      <c r="K195" t="inlineStr">
        <is>
          <t>2024-10-07</t>
        </is>
      </c>
      <c r="L195" t="inlineStr">
        <is>
          <t>否</t>
        </is>
      </c>
      <c r="M195" t="inlineStr">
        <is>
          <t>專案名稱：聖州10月video
訂單編號：PB2400650
來源：委刊單(Order) 第 196 列</t>
        </is>
      </c>
      <c r="N195" t="inlineStr">
        <is>
          <t>2026-05-18</t>
        </is>
      </c>
    </row>
    <row r="196">
      <c r="A196" t="inlineStr">
        <is>
          <t>ord_9d2f4d8291ad</t>
        </is>
      </c>
      <c r="B196" t="inlineStr"/>
      <c r="C196" t="inlineStr">
        <is>
          <t>廣告受眾包</t>
        </is>
      </c>
      <c r="D196" t="inlineStr"/>
      <c r="E196" t="inlineStr">
        <is>
          <t>TenMax</t>
        </is>
      </c>
      <c r="F196" t="inlineStr">
        <is>
          <t>格治公關OTT</t>
        </is>
      </c>
      <c r="G196" t="inlineStr">
        <is>
          <t>2024-10-07</t>
        </is>
      </c>
      <c r="H196" t="n">
        <v>1008</v>
      </c>
      <c r="I196" t="inlineStr">
        <is>
          <t>ADID</t>
        </is>
      </c>
      <c r="J196" t="n">
        <v>10080</v>
      </c>
      <c r="K196" t="inlineStr">
        <is>
          <t>2024-10-07</t>
        </is>
      </c>
      <c r="L196" t="inlineStr">
        <is>
          <t>否</t>
        </is>
      </c>
      <c r="M196" t="inlineStr">
        <is>
          <t>專案名稱：格治公關OTT
訂單編號：PB2400640
來源：委刊單(Order) 第 197 列</t>
        </is>
      </c>
      <c r="N196" t="inlineStr">
        <is>
          <t>2026-05-18</t>
        </is>
      </c>
    </row>
    <row r="197">
      <c r="A197" t="inlineStr">
        <is>
          <t>ord_4261e089730d</t>
        </is>
      </c>
      <c r="B197" t="inlineStr"/>
      <c r="C197" t="inlineStr">
        <is>
          <t>廣告受眾包</t>
        </is>
      </c>
      <c r="D197" t="inlineStr"/>
      <c r="E197" t="inlineStr">
        <is>
          <t>電通</t>
        </is>
      </c>
      <c r="F197" t="inlineStr">
        <is>
          <t>身體乳液</t>
        </is>
      </c>
      <c r="G197" t="inlineStr">
        <is>
          <t>2024-10-04</t>
        </is>
      </c>
      <c r="H197" t="n">
        <v>30000</v>
      </c>
      <c r="I197" t="inlineStr">
        <is>
          <t>ADID</t>
        </is>
      </c>
      <c r="J197" t="n">
        <v>130000</v>
      </c>
      <c r="K197" t="inlineStr">
        <is>
          <t>2024-10-07</t>
        </is>
      </c>
      <c r="L197" t="inlineStr">
        <is>
          <t>否</t>
        </is>
      </c>
      <c r="M197" t="inlineStr">
        <is>
          <t>身體乳液(不限品牌) &amp; 排除CeraVe 身體乳購買者
來源：委刊單(Order) 第 198 列</t>
        </is>
      </c>
      <c r="N197" t="inlineStr">
        <is>
          <t>2026-05-18</t>
        </is>
      </c>
    </row>
    <row r="198">
      <c r="A198" t="inlineStr">
        <is>
          <t>ord_55e943d64f62</t>
        </is>
      </c>
      <c r="B198" t="inlineStr"/>
      <c r="C198" t="inlineStr">
        <is>
          <t>廣告受眾包</t>
        </is>
      </c>
      <c r="D198" t="inlineStr"/>
      <c r="E198" t="inlineStr">
        <is>
          <t>電通</t>
        </is>
      </c>
      <c r="F198" t="inlineStr">
        <is>
          <t>臉部保濕</t>
        </is>
      </c>
      <c r="G198" t="inlineStr">
        <is>
          <t>2024-10-08</t>
        </is>
      </c>
      <c r="H198" t="n">
        <v>35000</v>
      </c>
      <c r="I198" t="inlineStr">
        <is>
          <t>ADID</t>
        </is>
      </c>
      <c r="J198" t="n">
        <v>149437</v>
      </c>
      <c r="K198" t="inlineStr">
        <is>
          <t>2024-10-08</t>
        </is>
      </c>
      <c r="L198" t="inlineStr">
        <is>
          <t>否</t>
        </is>
      </c>
      <c r="M198" t="inlineStr">
        <is>
          <t>近一年購買過指定品牌的保濕產品受眾
來源：委刊單(Order) 第 199 列</t>
        </is>
      </c>
      <c r="N198" t="inlineStr">
        <is>
          <t>2026-05-18</t>
        </is>
      </c>
    </row>
    <row r="199">
      <c r="A199" t="inlineStr">
        <is>
          <t>ord_3a1120b8a85c</t>
        </is>
      </c>
      <c r="B199" t="inlineStr"/>
      <c r="C199" t="inlineStr">
        <is>
          <t>廣告受眾包</t>
        </is>
      </c>
      <c r="D199" t="inlineStr"/>
      <c r="E199" t="inlineStr">
        <is>
          <t>OneAD</t>
        </is>
      </c>
      <c r="F199" t="inlineStr">
        <is>
          <t>藝文相關(記帳)</t>
        </is>
      </c>
      <c r="G199" t="inlineStr">
        <is>
          <t>2024-10-07</t>
        </is>
      </c>
      <c r="H199" t="n">
        <v>2000</v>
      </c>
      <c r="I199" t="inlineStr">
        <is>
          <t>ADID</t>
        </is>
      </c>
      <c r="J199" t="n">
        <v>10000</v>
      </c>
      <c r="K199" t="inlineStr">
        <is>
          <t>2024-10-08</t>
        </is>
      </c>
      <c r="L199" t="inlineStr">
        <is>
          <t>否</t>
        </is>
      </c>
      <c r="M199" t="inlineStr">
        <is>
          <t>記帳APP裡面買藝文相關門票
來源：委刊單(Order) 第 200 列</t>
        </is>
      </c>
      <c r="N199" t="inlineStr">
        <is>
          <t>2026-05-18</t>
        </is>
      </c>
    </row>
    <row r="200">
      <c r="A200" t="inlineStr">
        <is>
          <t>ord_a46c2c5b22bf</t>
        </is>
      </c>
      <c r="B200" t="inlineStr"/>
      <c r="C200" t="inlineStr">
        <is>
          <t>廣告受眾包</t>
        </is>
      </c>
      <c r="D200" t="inlineStr"/>
      <c r="E200" t="inlineStr">
        <is>
          <t>TenMax</t>
        </is>
      </c>
      <c r="F200" t="inlineStr">
        <is>
          <t>台塑生醫</t>
        </is>
      </c>
      <c r="G200" t="inlineStr">
        <is>
          <t>2024-10-14</t>
        </is>
      </c>
      <c r="H200" t="n">
        <v>900</v>
      </c>
      <c r="I200" t="inlineStr">
        <is>
          <t>ADID</t>
        </is>
      </c>
      <c r="J200" t="n">
        <v>4500</v>
      </c>
      <c r="K200" t="inlineStr">
        <is>
          <t>2024-10-15</t>
        </is>
      </c>
      <c r="L200" t="inlineStr">
        <is>
          <t>否</t>
        </is>
      </c>
      <c r="M200" t="inlineStr">
        <is>
          <t>專案名稱：台塑生醫202410_TenMax
訂單編號：PB2400690
來源：委刊單(Order) 第 201 列</t>
        </is>
      </c>
      <c r="N200" t="inlineStr">
        <is>
          <t>2026-05-18</t>
        </is>
      </c>
    </row>
    <row r="201">
      <c r="A201" t="inlineStr">
        <is>
          <t>ord_efc4a3e76167</t>
        </is>
      </c>
      <c r="B201" t="inlineStr"/>
      <c r="C201" t="inlineStr">
        <is>
          <t>廣告受眾包</t>
        </is>
      </c>
      <c r="D201" t="inlineStr"/>
      <c r="E201" t="inlineStr">
        <is>
          <t>Appier</t>
        </is>
      </c>
      <c r="F201" t="inlineStr">
        <is>
          <t>咖啡愛好者</t>
        </is>
      </c>
      <c r="G201" t="inlineStr">
        <is>
          <t>2024-10-16</t>
        </is>
      </c>
      <c r="H201" t="n">
        <v>20000</v>
      </c>
      <c r="I201" t="inlineStr">
        <is>
          <t>ADID</t>
        </is>
      </c>
      <c r="J201" t="n">
        <v>20000</v>
      </c>
      <c r="K201" t="inlineStr">
        <is>
          <t>2024-10-16</t>
        </is>
      </c>
      <c r="L201" t="inlineStr">
        <is>
          <t>否</t>
        </is>
      </c>
      <c r="M201" t="inlineStr">
        <is>
          <t>1.近90天消費紀錄：星巴克/路易莎/cama café/CAFEIN/上島咖啡店,  花費超過 2,000元者
2.近90天消費紀錄：撈取全聯/好市多/家樂福，購買濾掛式咖啡(不限品牌)，花費超過500元者
來源：委刊單(Order) 第 202 列</t>
        </is>
      </c>
      <c r="N201" t="inlineStr">
        <is>
          <t>2026-05-18</t>
        </is>
      </c>
    </row>
    <row r="202">
      <c r="A202" t="inlineStr">
        <is>
          <t>ord_9f3d604c67c8</t>
        </is>
      </c>
      <c r="B202" t="inlineStr"/>
      <c r="C202" t="inlineStr">
        <is>
          <t>廣告受眾包</t>
        </is>
      </c>
      <c r="D202" t="inlineStr"/>
      <c r="E202" t="inlineStr">
        <is>
          <t>Appier</t>
        </is>
      </c>
      <c r="F202" t="inlineStr">
        <is>
          <t>保健商品</t>
        </is>
      </c>
      <c r="G202" t="inlineStr">
        <is>
          <t>2024-10-18</t>
        </is>
      </c>
      <c r="H202" t="n">
        <v>20000</v>
      </c>
      <c r="I202" t="inlineStr">
        <is>
          <t>ADID</t>
        </is>
      </c>
      <c r="J202" t="n">
        <v>20000</v>
      </c>
      <c r="K202" t="inlineStr">
        <is>
          <t>2024-10-22</t>
        </is>
      </c>
      <c r="L202" t="inlineStr">
        <is>
          <t>否</t>
        </is>
      </c>
      <c r="M202" t="inlineStr">
        <is>
          <t>發票數據(過去90天買過)：
來源：委刊單(Order) 第 203 列</t>
        </is>
      </c>
      <c r="N202" t="inlineStr">
        <is>
          <t>2026-05-18</t>
        </is>
      </c>
    </row>
    <row r="203">
      <c r="A203" t="inlineStr">
        <is>
          <t>ord_3502cf1dcf2c</t>
        </is>
      </c>
      <c r="B203" t="inlineStr"/>
      <c r="C203" t="inlineStr">
        <is>
          <t>廣告受眾包</t>
        </is>
      </c>
      <c r="D203" t="inlineStr"/>
      <c r="E203" t="inlineStr">
        <is>
          <t>你贏國際</t>
        </is>
      </c>
      <c r="F203" t="inlineStr">
        <is>
          <t>女力學院</t>
        </is>
      </c>
      <c r="G203" t="inlineStr">
        <is>
          <t>2024-10-25</t>
        </is>
      </c>
      <c r="H203" t="n">
        <v>10000</v>
      </c>
      <c r="I203" t="inlineStr">
        <is>
          <t>ADID</t>
        </is>
      </c>
      <c r="J203" t="n">
        <v>10000</v>
      </c>
      <c r="K203" t="inlineStr">
        <is>
          <t>2024-10-28</t>
        </is>
      </c>
      <c r="L203" t="inlineStr">
        <is>
          <t>否</t>
        </is>
      </c>
      <c r="M203" t="inlineStr">
        <is>
          <t>三種女性消費受眾
來源：委刊單(Order) 第 204 列</t>
        </is>
      </c>
      <c r="N203" t="inlineStr">
        <is>
          <t>2026-05-18</t>
        </is>
      </c>
    </row>
    <row r="204">
      <c r="A204" t="inlineStr">
        <is>
          <t>ord_94d2a0bf7aaf</t>
        </is>
      </c>
      <c r="B204" t="inlineStr"/>
      <c r="C204" t="inlineStr">
        <is>
          <t>廣告受眾包</t>
        </is>
      </c>
      <c r="D204" t="inlineStr"/>
      <c r="E204" t="inlineStr">
        <is>
          <t>你贏國際</t>
        </is>
      </c>
      <c r="F204" t="inlineStr">
        <is>
          <t>艾莉婭心教育幸福學院</t>
        </is>
      </c>
      <c r="G204" t="inlineStr">
        <is>
          <t>2024-10-29</t>
        </is>
      </c>
      <c r="H204" t="n">
        <v>20000</v>
      </c>
      <c r="I204" t="inlineStr">
        <is>
          <t>ADID</t>
        </is>
      </c>
      <c r="J204" t="n">
        <v>20000</v>
      </c>
      <c r="K204" t="inlineStr"/>
      <c r="L204" t="inlineStr">
        <is>
          <t>否</t>
        </is>
      </c>
      <c r="M204" t="inlineStr">
        <is>
          <t>親子課程30~45的媽媽
來源：委刊單(Order) 第 205 列</t>
        </is>
      </c>
      <c r="N204" t="inlineStr">
        <is>
          <t>2026-05-18</t>
        </is>
      </c>
    </row>
    <row r="205">
      <c r="A205" t="inlineStr">
        <is>
          <t>ord_887195231e9c</t>
        </is>
      </c>
      <c r="B205" t="inlineStr"/>
      <c r="C205" t="inlineStr">
        <is>
          <t>廣告受眾包</t>
        </is>
      </c>
      <c r="D205" t="inlineStr"/>
      <c r="E205" t="inlineStr">
        <is>
          <t>TenMax</t>
        </is>
      </c>
      <c r="F205" t="inlineStr">
        <is>
          <t>猛毒</t>
        </is>
      </c>
      <c r="G205" t="inlineStr">
        <is>
          <t>2024-10-29</t>
        </is>
      </c>
      <c r="H205" t="n">
        <v>1500</v>
      </c>
      <c r="I205" t="inlineStr">
        <is>
          <t>ADID</t>
        </is>
      </c>
      <c r="J205" t="n">
        <v>7500</v>
      </c>
      <c r="K205" t="inlineStr">
        <is>
          <t>2024-10-30</t>
        </is>
      </c>
      <c r="L205" t="inlineStr">
        <is>
          <t>否</t>
        </is>
      </c>
      <c r="M205" t="inlineStr">
        <is>
          <t>專案名稱：猛毒
訂單編號：PB2400689
來源：委刊單(Order) 第 206 列</t>
        </is>
      </c>
      <c r="N205" t="inlineStr">
        <is>
          <t>2026-05-18</t>
        </is>
      </c>
    </row>
    <row r="206">
      <c r="A206" t="inlineStr">
        <is>
          <t>ord_e496c4228a26</t>
        </is>
      </c>
      <c r="B206" t="inlineStr"/>
      <c r="C206" t="inlineStr">
        <is>
          <t>廣告受眾包</t>
        </is>
      </c>
      <c r="D206" t="inlineStr"/>
      <c r="E206" t="inlineStr">
        <is>
          <t>TenMax</t>
        </is>
      </c>
      <c r="F206" t="inlineStr">
        <is>
          <t>蓓朵娜10月</t>
        </is>
      </c>
      <c r="G206" t="inlineStr">
        <is>
          <t>2024-10-29</t>
        </is>
      </c>
      <c r="H206" t="n">
        <v>1440</v>
      </c>
      <c r="I206" t="inlineStr">
        <is>
          <t>ADID</t>
        </is>
      </c>
      <c r="J206" t="n">
        <v>14400</v>
      </c>
      <c r="K206" t="inlineStr">
        <is>
          <t>2024-10-30</t>
        </is>
      </c>
      <c r="L206" t="inlineStr">
        <is>
          <t>否</t>
        </is>
      </c>
      <c r="M206" t="inlineStr">
        <is>
          <t>專案名稱：蓓朵娜_TenMax RichMedia
訂單編號：PB2400696
來源：委刊單(Order) 第 207 列</t>
        </is>
      </c>
      <c r="N206" t="inlineStr">
        <is>
          <t>2026-05-18</t>
        </is>
      </c>
    </row>
    <row r="207">
      <c r="A207" t="inlineStr">
        <is>
          <t>ord_8c1f5d29d9f0</t>
        </is>
      </c>
      <c r="B207" t="inlineStr"/>
      <c r="C207" t="inlineStr">
        <is>
          <t>廣告受眾包</t>
        </is>
      </c>
      <c r="D207" t="inlineStr"/>
      <c r="E207" t="inlineStr">
        <is>
          <t>Appier</t>
        </is>
      </c>
      <c r="F207" t="inlineStr">
        <is>
          <t>電商平台</t>
        </is>
      </c>
      <c r="G207" t="inlineStr">
        <is>
          <t>2024-10-30</t>
        </is>
      </c>
      <c r="H207" t="n">
        <v>20000</v>
      </c>
      <c r="I207" t="inlineStr">
        <is>
          <t>ADID</t>
        </is>
      </c>
      <c r="J207" t="n">
        <v>20000</v>
      </c>
      <c r="K207" t="inlineStr">
        <is>
          <t>2024-10-31</t>
        </is>
      </c>
      <c r="L207" t="inlineStr">
        <is>
          <t>否</t>
        </is>
      </c>
      <c r="M207" t="inlineStr">
        <is>
          <t>雙11電商採購用戶
來源：委刊單(Order) 第 208 列</t>
        </is>
      </c>
      <c r="N207" t="inlineStr">
        <is>
          <t>2026-05-18</t>
        </is>
      </c>
    </row>
    <row r="208">
      <c r="A208" t="inlineStr">
        <is>
          <t>ord_b5c1cc0db19e</t>
        </is>
      </c>
      <c r="B208" t="inlineStr"/>
      <c r="C208" t="inlineStr">
        <is>
          <t>廣告受眾包</t>
        </is>
      </c>
      <c r="D208" t="inlineStr"/>
      <c r="E208" t="inlineStr">
        <is>
          <t>Appier</t>
        </is>
      </c>
      <c r="F208" t="inlineStr">
        <is>
          <t>牙膏品牌-1</t>
        </is>
      </c>
      <c r="G208" t="inlineStr">
        <is>
          <t>2024-10-30</t>
        </is>
      </c>
      <c r="H208" t="n">
        <v>15000</v>
      </c>
      <c r="I208" t="inlineStr">
        <is>
          <t>ADID</t>
        </is>
      </c>
      <c r="J208" t="n">
        <v>15000</v>
      </c>
      <c r="K208" t="inlineStr">
        <is>
          <t>2024-10-31</t>
        </is>
      </c>
      <c r="L208" t="inlineStr">
        <is>
          <t>否</t>
        </is>
      </c>
      <c r="M208" t="inlineStr">
        <is>
          <t>貝歐尼修復牙膏、好來琺瑯質修護牙膏、 百齡琺瑯質修護牙膏、德國AJONA強健琺瑯質草本牙齦護理牙膏
來源：委刊單(Order) 第 209 列</t>
        </is>
      </c>
      <c r="N208" t="inlineStr">
        <is>
          <t>2026-05-18</t>
        </is>
      </c>
    </row>
    <row r="209">
      <c r="A209" t="inlineStr">
        <is>
          <t>ord_53d62e0fc825</t>
        </is>
      </c>
      <c r="B209" t="inlineStr"/>
      <c r="C209" t="inlineStr">
        <is>
          <t>廣告受眾包</t>
        </is>
      </c>
      <c r="D209" t="inlineStr"/>
      <c r="E209" t="inlineStr">
        <is>
          <t>Appier</t>
        </is>
      </c>
      <c r="F209" t="inlineStr">
        <is>
          <t>牙膏品牌-2</t>
        </is>
      </c>
      <c r="G209" t="inlineStr">
        <is>
          <t>2024-10-30</t>
        </is>
      </c>
      <c r="H209" t="n">
        <v>15000</v>
      </c>
      <c r="I209" t="inlineStr">
        <is>
          <t>ADID</t>
        </is>
      </c>
      <c r="J209" t="n">
        <v>15000</v>
      </c>
      <c r="K209" t="inlineStr">
        <is>
          <t>2024-10-31</t>
        </is>
      </c>
      <c r="L209" t="inlineStr">
        <is>
          <t>否</t>
        </is>
      </c>
      <c r="M209" t="inlineStr">
        <is>
          <t>貝歐尼護齦牙膏、L8020益生菌護齦健齒牙膏、歐樂B抗敏護齦牙膏、阿原檜木牙膏
來源：委刊單(Order) 第 210 列</t>
        </is>
      </c>
      <c r="N209" t="inlineStr">
        <is>
          <t>2026-05-18</t>
        </is>
      </c>
    </row>
    <row r="210">
      <c r="A210" t="inlineStr">
        <is>
          <t>ord_97439851914f</t>
        </is>
      </c>
      <c r="B210" t="inlineStr"/>
      <c r="C210" t="inlineStr">
        <is>
          <t>廣告受眾包</t>
        </is>
      </c>
      <c r="D210" t="inlineStr"/>
      <c r="E210" t="inlineStr">
        <is>
          <t>Appier</t>
        </is>
      </c>
      <c r="F210" t="inlineStr">
        <is>
          <t>Costco貓砂</t>
        </is>
      </c>
      <c r="G210" t="inlineStr">
        <is>
          <t>2024-10-30</t>
        </is>
      </c>
      <c r="H210" t="n">
        <v>18000</v>
      </c>
      <c r="I210" t="inlineStr">
        <is>
          <t>ADID</t>
        </is>
      </c>
      <c r="J210" t="n">
        <v>18000</v>
      </c>
      <c r="K210" t="inlineStr">
        <is>
          <t>2024-10-31</t>
        </is>
      </c>
      <c r="L210" t="inlineStr">
        <is>
          <t>否</t>
        </is>
      </c>
      <c r="M210" t="inlineStr">
        <is>
          <t>寵物用品(Costco)
來源：委刊單(Order) 第 211 列</t>
        </is>
      </c>
      <c r="N210" t="inlineStr">
        <is>
          <t>2026-05-18</t>
        </is>
      </c>
    </row>
    <row r="211">
      <c r="A211" t="inlineStr">
        <is>
          <t>ord_6bd9608b244d</t>
        </is>
      </c>
      <c r="B211" t="inlineStr"/>
      <c r="C211" t="inlineStr">
        <is>
          <t>廣告受眾包</t>
        </is>
      </c>
      <c r="D211" t="inlineStr"/>
      <c r="E211" t="inlineStr">
        <is>
          <t>Appier</t>
        </is>
      </c>
      <c r="F211" t="inlineStr">
        <is>
          <t>尿布產業</t>
        </is>
      </c>
      <c r="G211" t="inlineStr">
        <is>
          <t>2024-11-01</t>
        </is>
      </c>
      <c r="H211" t="n">
        <v>20000</v>
      </c>
      <c r="I211" t="inlineStr">
        <is>
          <t>ADID</t>
        </is>
      </c>
      <c r="J211" t="n">
        <v>20000</v>
      </c>
      <c r="K211" t="inlineStr">
        <is>
          <t>2024-10-31</t>
        </is>
      </c>
      <c r="L211" t="inlineStr">
        <is>
          <t>否</t>
        </is>
      </c>
      <c r="M211" t="inlineStr">
        <is>
          <t>過去一年購買過嬰幼兒用品，排除""小森林""、""新生兒用品""
來源：委刊單(Order) 第 212 列</t>
        </is>
      </c>
      <c r="N211" t="inlineStr">
        <is>
          <t>2026-05-18</t>
        </is>
      </c>
    </row>
    <row r="212">
      <c r="A212" t="inlineStr">
        <is>
          <t>ord_e22bf09bd3e6</t>
        </is>
      </c>
      <c r="B212" t="inlineStr"/>
      <c r="C212" t="inlineStr">
        <is>
          <t>廣告受眾包</t>
        </is>
      </c>
      <c r="D212" t="inlineStr"/>
      <c r="E212" t="inlineStr">
        <is>
          <t>Appier</t>
        </is>
      </c>
      <c r="F212" t="inlineStr">
        <is>
          <t>包包產業</t>
        </is>
      </c>
      <c r="G212" t="inlineStr">
        <is>
          <t>2024-11-01</t>
        </is>
      </c>
      <c r="H212" t="n">
        <v>5000</v>
      </c>
      <c r="I212" t="inlineStr">
        <is>
          <t>ADID</t>
        </is>
      </c>
      <c r="J212" t="n">
        <v>20000</v>
      </c>
      <c r="K212" t="inlineStr">
        <is>
          <t>2024-10-31</t>
        </is>
      </c>
      <c r="L212" t="inlineStr">
        <is>
          <t>否</t>
        </is>
      </c>
      <c r="M212" t="inlineStr">
        <is>
          <t>演唱會購買用戶-近一年內購買韓國藝人藝人周邊商品用戶
來源：委刊單(Order) 第 213 列</t>
        </is>
      </c>
      <c r="N212" t="inlineStr">
        <is>
          <t>2026-05-18</t>
        </is>
      </c>
    </row>
    <row r="213">
      <c r="A213" t="inlineStr">
        <is>
          <t>ord_2101fbf5d52a</t>
        </is>
      </c>
      <c r="B213" t="inlineStr"/>
      <c r="C213" t="inlineStr">
        <is>
          <t>廣告受眾包</t>
        </is>
      </c>
      <c r="D213" t="inlineStr"/>
      <c r="E213" t="inlineStr">
        <is>
          <t>LeadUp</t>
        </is>
      </c>
      <c r="F213" t="inlineStr">
        <is>
          <t>螢幕護目</t>
        </is>
      </c>
      <c r="G213" t="inlineStr">
        <is>
          <t>2024-11-05</t>
        </is>
      </c>
      <c r="H213" t="n">
        <v>2918</v>
      </c>
      <c r="I213" t="inlineStr">
        <is>
          <t>ADID</t>
        </is>
      </c>
      <c r="J213" t="n">
        <v>58360</v>
      </c>
      <c r="K213" t="inlineStr">
        <is>
          <t>2024-11-05</t>
        </is>
      </c>
      <c r="L213" t="inlineStr">
        <is>
          <t>否</t>
        </is>
      </c>
      <c r="M213" t="inlineStr">
        <is>
          <t>抗藍光
來源：委刊單(Order) 第 214 列</t>
        </is>
      </c>
      <c r="N213" t="inlineStr">
        <is>
          <t>2026-05-18</t>
        </is>
      </c>
    </row>
    <row r="214">
      <c r="A214" t="inlineStr">
        <is>
          <t>ord_01f5d9d9a679</t>
        </is>
      </c>
      <c r="B214" t="inlineStr"/>
      <c r="C214" t="inlineStr">
        <is>
          <t>廣告受眾包</t>
        </is>
      </c>
      <c r="D214" t="inlineStr"/>
      <c r="E214" t="inlineStr">
        <is>
          <t>TenMax</t>
        </is>
      </c>
      <c r="F214" t="inlineStr">
        <is>
          <t>秋冬疫苗</t>
        </is>
      </c>
      <c r="G214" t="inlineStr">
        <is>
          <t>2024-11-05</t>
        </is>
      </c>
      <c r="H214" t="n">
        <v>19200</v>
      </c>
      <c r="I214" t="inlineStr">
        <is>
          <t>ADID</t>
        </is>
      </c>
      <c r="J214" t="n">
        <v>384000</v>
      </c>
      <c r="K214" t="inlineStr">
        <is>
          <t>2024-11-05</t>
        </is>
      </c>
      <c r="L214" t="inlineStr">
        <is>
          <t>否</t>
        </is>
      </c>
      <c r="M214" t="inlineStr">
        <is>
          <t>專案名稱：秋冬疫苗衛教宣傳
訂單編號：PB2400649
來源：委刊單(Order) 第 215 列</t>
        </is>
      </c>
      <c r="N214" t="inlineStr">
        <is>
          <t>2026-05-18</t>
        </is>
      </c>
    </row>
    <row r="215">
      <c r="A215" t="inlineStr">
        <is>
          <t>ord_71adc6484bdc</t>
        </is>
      </c>
      <c r="B215" t="inlineStr"/>
      <c r="C215" t="inlineStr">
        <is>
          <t>廣告受眾包</t>
        </is>
      </c>
      <c r="D215" t="inlineStr"/>
      <c r="E215" t="inlineStr">
        <is>
          <t>TenMax</t>
        </is>
      </c>
      <c r="F215" t="inlineStr">
        <is>
          <t>天天衛生棉</t>
        </is>
      </c>
      <c r="G215" t="inlineStr">
        <is>
          <t>2024-11-05</t>
        </is>
      </c>
      <c r="H215" t="n">
        <v>2805</v>
      </c>
      <c r="I215" t="inlineStr">
        <is>
          <t>ADID</t>
        </is>
      </c>
      <c r="J215" t="n">
        <v>16500</v>
      </c>
      <c r="K215" t="inlineStr">
        <is>
          <t>2024-11-05</t>
        </is>
      </c>
      <c r="L215" t="inlineStr">
        <is>
          <t>否</t>
        </is>
      </c>
      <c r="M215" t="inlineStr">
        <is>
          <t>專案名稱：天天衛生棉
訂單編號：PB2400621
來源：委刊單(Order) 第 216 列</t>
        </is>
      </c>
      <c r="N215" t="inlineStr">
        <is>
          <t>2026-05-18</t>
        </is>
      </c>
    </row>
    <row r="216">
      <c r="A216" t="inlineStr">
        <is>
          <t>ord_6d5e75228217</t>
        </is>
      </c>
      <c r="B216" t="inlineStr"/>
      <c r="C216" t="inlineStr">
        <is>
          <t>單次報告</t>
        </is>
      </c>
      <c r="D216" t="inlineStr"/>
      <c r="E216" t="inlineStr">
        <is>
          <t>尚格酒業</t>
        </is>
      </c>
      <c r="F216" t="inlineStr">
        <is>
          <t>尚格酒業</t>
        </is>
      </c>
      <c r="G216" t="inlineStr">
        <is>
          <t>2024-10-30</t>
        </is>
      </c>
      <c r="H216" t="n">
        <v>150000</v>
      </c>
      <c r="I216" t="inlineStr">
        <is>
          <t>Slide</t>
        </is>
      </c>
      <c r="J216" t="n">
        <v>0</v>
      </c>
      <c r="K216" t="inlineStr">
        <is>
          <t>2024-11-14</t>
        </is>
      </c>
      <c r="L216" t="inlineStr">
        <is>
          <t>否</t>
        </is>
      </c>
      <c r="M216" t="inlineStr">
        <is>
          <t>來源：委刊單(Order) 第 217 列</t>
        </is>
      </c>
      <c r="N216" t="inlineStr">
        <is>
          <t>2026-05-18</t>
        </is>
      </c>
    </row>
    <row r="217">
      <c r="A217" t="inlineStr">
        <is>
          <t>ord_89bce21e5e17</t>
        </is>
      </c>
      <c r="B217" t="inlineStr"/>
      <c r="C217" t="inlineStr">
        <is>
          <t>廣告受眾包</t>
        </is>
      </c>
      <c r="D217" t="inlineStr"/>
      <c r="E217" t="inlineStr">
        <is>
          <t>Appier</t>
        </is>
      </c>
      <c r="F217" t="inlineStr">
        <is>
          <t>FMCG產業</t>
        </is>
      </c>
      <c r="G217" t="inlineStr">
        <is>
          <t>2024-11-08</t>
        </is>
      </c>
      <c r="H217" t="n">
        <v>15000</v>
      </c>
      <c r="I217" t="inlineStr">
        <is>
          <t>ADID</t>
        </is>
      </c>
      <c r="J217" t="n">
        <v>15000</v>
      </c>
      <c r="K217" t="inlineStr">
        <is>
          <t>2024-11-13</t>
        </is>
      </c>
      <c r="L217" t="inlineStr">
        <is>
          <t>否</t>
        </is>
      </c>
      <c r="M217" t="inlineStr">
        <is>
          <t>商品品名包含 產品字“起司” “高鈣”“蛋白質”“乳酪”“起司球”
來源：委刊單(Order) 第 218 列</t>
        </is>
      </c>
      <c r="N217" t="inlineStr">
        <is>
          <t>2026-05-18</t>
        </is>
      </c>
    </row>
    <row r="218">
      <c r="A218" t="inlineStr">
        <is>
          <t>ord_db79a22a8c50</t>
        </is>
      </c>
      <c r="B218" t="inlineStr"/>
      <c r="C218" t="inlineStr">
        <is>
          <t>廣告受眾包</t>
        </is>
      </c>
      <c r="D218" t="inlineStr"/>
      <c r="E218" t="inlineStr">
        <is>
          <t>TenMax</t>
        </is>
      </c>
      <c r="F218" t="inlineStr">
        <is>
          <t>蓓蕾莉</t>
        </is>
      </c>
      <c r="G218" t="inlineStr">
        <is>
          <t>2024-11-08</t>
        </is>
      </c>
      <c r="H218" t="n">
        <v>840</v>
      </c>
      <c r="I218" t="inlineStr">
        <is>
          <t>ADID</t>
        </is>
      </c>
      <c r="J218" t="n">
        <v>8400</v>
      </c>
      <c r="K218" t="inlineStr">
        <is>
          <t>2024-11-11</t>
        </is>
      </c>
      <c r="L218" t="inlineStr">
        <is>
          <t>否</t>
        </is>
      </c>
      <c r="M218" t="inlineStr">
        <is>
          <t>專案名稱：蓓蕾莉_11月
訂單編號：PB2400694
來源：委刊單(Order) 第 219 列</t>
        </is>
      </c>
      <c r="N218" t="inlineStr">
        <is>
          <t>2026-05-18</t>
        </is>
      </c>
    </row>
    <row r="219">
      <c r="A219" t="inlineStr">
        <is>
          <t>ord_3b827fe47216</t>
        </is>
      </c>
      <c r="B219" t="inlineStr"/>
      <c r="C219" t="inlineStr">
        <is>
          <t>廣告受眾包</t>
        </is>
      </c>
      <c r="D219" t="inlineStr"/>
      <c r="E219" t="inlineStr">
        <is>
          <t>TenMax</t>
        </is>
      </c>
      <c r="F219" t="inlineStr">
        <is>
          <t>張國周_葉黃素</t>
        </is>
      </c>
      <c r="G219" t="inlineStr">
        <is>
          <t>2024-11-08</t>
        </is>
      </c>
      <c r="H219" t="n">
        <v>720</v>
      </c>
      <c r="I219" t="inlineStr">
        <is>
          <t>ADID</t>
        </is>
      </c>
      <c r="J219" t="n">
        <v>7200</v>
      </c>
      <c r="K219" t="inlineStr">
        <is>
          <t>2024-11-11</t>
        </is>
      </c>
      <c r="L219" t="inlineStr">
        <is>
          <t>否</t>
        </is>
      </c>
      <c r="M219" t="inlineStr">
        <is>
          <t>專案名稱：張國周_葉黃素_TenMax RichMedia Ads_2411
訂單編號：PB2400724
來源：委刊單(Order) 第 220 列</t>
        </is>
      </c>
      <c r="N219" t="inlineStr">
        <is>
          <t>2026-05-18</t>
        </is>
      </c>
    </row>
    <row r="220">
      <c r="A220" t="inlineStr">
        <is>
          <t>ord_23dc4393d3aa</t>
        </is>
      </c>
      <c r="B220" t="inlineStr"/>
      <c r="C220" t="inlineStr">
        <is>
          <t>廣告受眾包</t>
        </is>
      </c>
      <c r="D220" t="inlineStr"/>
      <c r="E220" t="inlineStr">
        <is>
          <t>Appier</t>
        </is>
      </c>
      <c r="F220" t="inlineStr">
        <is>
          <t>外送</t>
        </is>
      </c>
      <c r="G220" t="inlineStr">
        <is>
          <t>2024-11-18</t>
        </is>
      </c>
      <c r="H220" t="n">
        <v>20000</v>
      </c>
      <c r="I220" t="inlineStr">
        <is>
          <t>ADID</t>
        </is>
      </c>
      <c r="J220" t="n">
        <v>20000</v>
      </c>
      <c r="K220" t="inlineStr">
        <is>
          <t>2024-11-18</t>
        </is>
      </c>
      <c r="L220" t="inlineStr">
        <is>
          <t>否</t>
        </is>
      </c>
      <c r="M220" t="inlineStr">
        <is>
          <t>1)90天內購買過麥當勞至少二次的人
2)90天叫過UberEats、Foodpanda 至少三次的人
來源：委刊單(Order) 第 221 列</t>
        </is>
      </c>
      <c r="N220" t="inlineStr">
        <is>
          <t>2026-05-18</t>
        </is>
      </c>
    </row>
    <row r="221">
      <c r="A221" t="inlineStr">
        <is>
          <t>ord_7b49d8e831ce</t>
        </is>
      </c>
      <c r="B221" t="inlineStr"/>
      <c r="C221" t="inlineStr">
        <is>
          <t>廣告受眾包</t>
        </is>
      </c>
      <c r="D221" t="inlineStr"/>
      <c r="E221" t="inlineStr">
        <is>
          <t>電通</t>
        </is>
      </c>
      <c r="F221" t="inlineStr">
        <is>
          <t>出國旅遊</t>
        </is>
      </c>
      <c r="G221" t="inlineStr">
        <is>
          <t>2024-11-18</t>
        </is>
      </c>
      <c r="H221" t="n">
        <v>28000</v>
      </c>
      <c r="I221" t="inlineStr">
        <is>
          <t>ADID</t>
        </is>
      </c>
      <c r="J221" t="n">
        <v>74077</v>
      </c>
      <c r="K221" t="inlineStr">
        <is>
          <t>2024-11-19</t>
        </is>
      </c>
      <c r="L221" t="inlineStr">
        <is>
          <t>否</t>
        </is>
      </c>
      <c r="M221" t="inlineStr">
        <is>
          <t>過去一年30-55歲有出國的受眾
來源：委刊單(Order) 第 222 列</t>
        </is>
      </c>
      <c r="N221" t="inlineStr">
        <is>
          <t>2026-05-18</t>
        </is>
      </c>
    </row>
    <row r="222">
      <c r="A222" t="inlineStr">
        <is>
          <t>ord_4ff0db078d89</t>
        </is>
      </c>
      <c r="B222" t="inlineStr"/>
      <c r="C222" t="inlineStr">
        <is>
          <t>廣告受眾包</t>
        </is>
      </c>
      <c r="D222" t="inlineStr"/>
      <c r="E222" t="inlineStr">
        <is>
          <t>優兔數位</t>
        </is>
      </c>
      <c r="F222" t="inlineStr">
        <is>
          <t>投信</t>
        </is>
      </c>
      <c r="G222" t="inlineStr">
        <is>
          <t>2024-11-20</t>
        </is>
      </c>
      <c r="H222" t="n">
        <v>19000</v>
      </c>
      <c r="I222" t="inlineStr">
        <is>
          <t>ADID</t>
        </is>
      </c>
      <c r="J222" t="n">
        <v>19000</v>
      </c>
      <c r="K222" t="inlineStr">
        <is>
          <t>2024-11-21</t>
        </is>
      </c>
      <c r="L222" t="inlineStr">
        <is>
          <t>否</t>
        </is>
      </c>
      <c r="M222" t="inlineStr">
        <is>
          <t>財經書籍消費受眾
財經課程消費受眾
來源：委刊單(Order) 第 223 列</t>
        </is>
      </c>
      <c r="N222" t="inlineStr">
        <is>
          <t>2026-05-18</t>
        </is>
      </c>
    </row>
    <row r="223">
      <c r="A223" t="inlineStr">
        <is>
          <t>ord_d05785bece57</t>
        </is>
      </c>
      <c r="B223" t="inlineStr"/>
      <c r="C223" t="inlineStr">
        <is>
          <t>廣告受眾包</t>
        </is>
      </c>
      <c r="D223" t="inlineStr"/>
      <c r="E223" t="inlineStr">
        <is>
          <t>綠藤生機</t>
        </is>
      </c>
      <c r="F223" t="inlineStr">
        <is>
          <t>綠藤生機</t>
        </is>
      </c>
      <c r="G223" t="inlineStr">
        <is>
          <t>2024-11-21</t>
        </is>
      </c>
      <c r="H223" t="n">
        <v>15000</v>
      </c>
      <c r="I223" t="inlineStr">
        <is>
          <t>ADID</t>
        </is>
      </c>
      <c r="J223" t="n">
        <v>15000</v>
      </c>
      <c r="K223" t="inlineStr"/>
      <c r="L223" t="inlineStr">
        <is>
          <t>否</t>
        </is>
      </c>
      <c r="M223" t="inlineStr">
        <is>
          <t>• 競品流失客:競品 2024 以
後尚未回購,名單排名前
10,000 人
• 綠藤黏著度高客群(+AI 擴
圈):用 近一年累積消費
金額大於 2,000 元顧客 進行
AI 擴圈,名單大小需求
5,000 人
來源：委刊單(Order) 第 224 列</t>
        </is>
      </c>
      <c r="N223" t="inlineStr">
        <is>
          <t>2026-05-18</t>
        </is>
      </c>
    </row>
    <row r="224">
      <c r="A224" t="inlineStr">
        <is>
          <t>ord_eddb1e4e9748</t>
        </is>
      </c>
      <c r="B224" t="inlineStr"/>
      <c r="C224" t="inlineStr">
        <is>
          <t>廣告受眾包</t>
        </is>
      </c>
      <c r="D224" t="inlineStr"/>
      <c r="E224" t="inlineStr">
        <is>
          <t>TenMax</t>
        </is>
      </c>
      <c r="F224" t="inlineStr">
        <is>
          <t>Herz赫緻</t>
        </is>
      </c>
      <c r="G224" t="inlineStr">
        <is>
          <t>2024-11-25</t>
        </is>
      </c>
      <c r="H224" t="n">
        <v>3300</v>
      </c>
      <c r="I224" t="inlineStr">
        <is>
          <t>ADID</t>
        </is>
      </c>
      <c r="J224" t="n">
        <v>16500</v>
      </c>
      <c r="K224" t="inlineStr">
        <is>
          <t>2024-11-26</t>
        </is>
      </c>
      <c r="L224" t="inlineStr">
        <is>
          <t>否</t>
        </is>
      </c>
      <c r="M224" t="inlineStr">
        <is>
          <t>專案名稱：Herz赫緻_TenMaxRichMedia2411
訂單編號：PB2400726
來源：委刊單(Order) 第 225 列</t>
        </is>
      </c>
      <c r="N224" t="inlineStr">
        <is>
          <t>2026-05-18</t>
        </is>
      </c>
    </row>
    <row r="225">
      <c r="A225" t="inlineStr">
        <is>
          <t>ord_54c495e36305</t>
        </is>
      </c>
      <c r="B225" t="inlineStr"/>
      <c r="C225" t="inlineStr">
        <is>
          <t>廣告受眾包</t>
        </is>
      </c>
      <c r="D225" t="inlineStr"/>
      <c r="E225" t="inlineStr">
        <is>
          <t>TenMax</t>
        </is>
      </c>
      <c r="F225" t="inlineStr">
        <is>
          <t>蓓朵娜10月</t>
        </is>
      </c>
      <c r="G225" t="inlineStr">
        <is>
          <t>2024-11-25</t>
        </is>
      </c>
      <c r="H225" t="n">
        <v>1680</v>
      </c>
      <c r="I225" t="inlineStr">
        <is>
          <t>ADID</t>
        </is>
      </c>
      <c r="J225" t="n">
        <v>16800</v>
      </c>
      <c r="K225" t="inlineStr">
        <is>
          <t>2024-11-26</t>
        </is>
      </c>
      <c r="L225" t="inlineStr">
        <is>
          <t>否</t>
        </is>
      </c>
      <c r="M225" t="inlineStr">
        <is>
          <t>專案名稱：蓓朵娜_TenMax
RichMedia 11月活動(PB2400759)
訂單編號：PB2400759
來源：委刊單(Order) 第 226 列</t>
        </is>
      </c>
      <c r="N225" t="inlineStr">
        <is>
          <t>2026-05-18</t>
        </is>
      </c>
    </row>
    <row r="226">
      <c r="A226" t="inlineStr">
        <is>
          <t>ord_ca17b4d9bf5b</t>
        </is>
      </c>
      <c r="B226" t="inlineStr"/>
      <c r="C226" t="inlineStr">
        <is>
          <t>廣告受眾包</t>
        </is>
      </c>
      <c r="D226" t="inlineStr"/>
      <c r="E226" t="inlineStr">
        <is>
          <t>TenMax</t>
        </is>
      </c>
      <c r="F226" t="inlineStr">
        <is>
          <t>新感覺雞蛋沙拉</t>
        </is>
      </c>
      <c r="G226" t="inlineStr">
        <is>
          <t>2024-11-25</t>
        </is>
      </c>
      <c r="H226" t="n">
        <v>9900</v>
      </c>
      <c r="I226" t="inlineStr">
        <is>
          <t>ADID</t>
        </is>
      </c>
      <c r="J226" t="n">
        <v>64500</v>
      </c>
      <c r="K226" t="inlineStr">
        <is>
          <t>2024-11-26</t>
        </is>
      </c>
      <c r="L226" t="inlineStr">
        <is>
          <t>否</t>
        </is>
      </c>
      <c r="M226" t="inlineStr">
        <is>
          <t>專案名稱：新感覺2024年雞蛋沙拉升級議題操作
訂單編號：PB2400782
來源：委刊單(Order) 第 227 列</t>
        </is>
      </c>
      <c r="N226" t="inlineStr">
        <is>
          <t>2026-05-18</t>
        </is>
      </c>
    </row>
    <row r="227">
      <c r="A227" t="inlineStr">
        <is>
          <t>ord_be2b814e29f5</t>
        </is>
      </c>
      <c r="B227" t="inlineStr"/>
      <c r="C227" t="inlineStr">
        <is>
          <t>廣告受眾包</t>
        </is>
      </c>
      <c r="D227" t="inlineStr"/>
      <c r="E227" t="inlineStr">
        <is>
          <t>Appier</t>
        </is>
      </c>
      <c r="F227" t="inlineStr">
        <is>
          <t>烈酒產業</t>
        </is>
      </c>
      <c r="G227" t="inlineStr">
        <is>
          <t>2024-11-28</t>
        </is>
      </c>
      <c r="H227" t="n">
        <v>20000</v>
      </c>
      <c r="I227" t="inlineStr">
        <is>
          <t>ADID</t>
        </is>
      </c>
      <c r="J227" t="n">
        <v>20000</v>
      </c>
      <c r="K227" t="inlineStr">
        <is>
          <t>2024-11-29</t>
        </is>
      </c>
      <c r="L227" t="inlineStr">
        <is>
          <t>否</t>
        </is>
      </c>
      <c r="M227" t="inlineStr">
        <is>
          <t>高消費、禮盒等
來源：委刊單(Order) 第 228 列</t>
        </is>
      </c>
      <c r="N227" t="inlineStr">
        <is>
          <t>2026-05-18</t>
        </is>
      </c>
    </row>
    <row r="228">
      <c r="A228" t="inlineStr">
        <is>
          <t>ord_f337f26e093a</t>
        </is>
      </c>
      <c r="B228" t="inlineStr"/>
      <c r="C228" t="inlineStr">
        <is>
          <t>廣告受眾包</t>
        </is>
      </c>
      <c r="D228" t="inlineStr"/>
      <c r="E228" t="inlineStr">
        <is>
          <t>Appier</t>
        </is>
      </c>
      <c r="F228" t="inlineStr">
        <is>
          <t>電信產業</t>
        </is>
      </c>
      <c r="G228" t="inlineStr">
        <is>
          <t>2024-12-05</t>
        </is>
      </c>
      <c r="H228" t="n">
        <v>20000</v>
      </c>
      <c r="I228" t="inlineStr">
        <is>
          <t>ADID</t>
        </is>
      </c>
      <c r="J228" t="n">
        <v>20000</v>
      </c>
      <c r="K228" t="inlineStr">
        <is>
          <t>2024-12-05</t>
        </is>
      </c>
      <c r="L228" t="inlineStr">
        <is>
          <t>否</t>
        </is>
      </c>
      <c r="M228" t="inlineStr">
        <is>
          <t>過去一年電信帳單
來源：委刊單(Order) 第 229 列</t>
        </is>
      </c>
      <c r="N228" t="inlineStr">
        <is>
          <t>2026-05-18</t>
        </is>
      </c>
    </row>
    <row r="229">
      <c r="A229" t="inlineStr">
        <is>
          <t>ord_7ccecbe778d4</t>
        </is>
      </c>
      <c r="B229" t="inlineStr"/>
      <c r="C229" t="inlineStr">
        <is>
          <t>廣告受眾包</t>
        </is>
      </c>
      <c r="D229" t="inlineStr"/>
      <c r="E229" t="inlineStr">
        <is>
          <t>Appier</t>
        </is>
      </c>
      <c r="F229" t="inlineStr">
        <is>
          <t>鮮奶產業</t>
        </is>
      </c>
      <c r="G229" t="inlineStr">
        <is>
          <t>2024-12-05</t>
        </is>
      </c>
      <c r="H229" t="n">
        <v>20000</v>
      </c>
      <c r="I229" t="inlineStr">
        <is>
          <t>ADID</t>
        </is>
      </c>
      <c r="J229" t="n">
        <v>20000</v>
      </c>
      <c r="K229" t="inlineStr">
        <is>
          <t>2024-12-05</t>
        </is>
      </c>
      <c r="L229" t="inlineStr">
        <is>
          <t>否</t>
        </is>
      </c>
      <c r="M229" t="inlineStr">
        <is>
          <t>乳製品、牛奶、鮮乳、鮮乳品牌(林鳳營、瑞穗鮮乳、光泉鮮乳、鮮乳坊、....) 、兒童營養補充品、鈣質補充品
來源：委刊單(Order) 第 230 列</t>
        </is>
      </c>
      <c r="N229" t="inlineStr">
        <is>
          <t>2026-05-18</t>
        </is>
      </c>
    </row>
    <row r="230">
      <c r="A230" t="inlineStr">
        <is>
          <t>ord_2b1a7fafa252</t>
        </is>
      </c>
      <c r="B230" t="inlineStr"/>
      <c r="C230" t="inlineStr">
        <is>
          <t>廣告受眾包</t>
        </is>
      </c>
      <c r="D230" t="inlineStr"/>
      <c r="E230" t="inlineStr">
        <is>
          <t>電通</t>
        </is>
      </c>
      <c r="F230" t="inlineStr">
        <is>
          <t>頂級保養</t>
        </is>
      </c>
      <c r="G230" t="inlineStr">
        <is>
          <t>2024-12-06</t>
        </is>
      </c>
      <c r="H230" t="n">
        <v>45000</v>
      </c>
      <c r="I230" t="inlineStr">
        <is>
          <t>ADID</t>
        </is>
      </c>
      <c r="J230" t="n">
        <v>764092</v>
      </c>
      <c r="K230" t="inlineStr">
        <is>
          <t>2024-12-09</t>
        </is>
      </c>
      <c r="L230" t="inlineStr">
        <is>
          <t>否</t>
        </is>
      </c>
      <c r="M230" t="inlineStr">
        <is>
          <t>【交集】發票關鍵字: 保養 &amp; 發票關鍵字: 彩妝
來源：委刊單(Order) 第 231 列</t>
        </is>
      </c>
      <c r="N230" t="inlineStr">
        <is>
          <t>2026-05-18</t>
        </is>
      </c>
    </row>
    <row r="231">
      <c r="A231" t="inlineStr">
        <is>
          <t>ord_d37419abc1d9</t>
        </is>
      </c>
      <c r="B231" t="inlineStr"/>
      <c r="C231" t="inlineStr">
        <is>
          <t>廣告受眾包</t>
        </is>
      </c>
      <c r="D231" t="inlineStr"/>
      <c r="E231" t="inlineStr">
        <is>
          <t>TenMax</t>
        </is>
      </c>
      <c r="F231" t="inlineStr">
        <is>
          <t>貝洛邦</t>
        </is>
      </c>
      <c r="G231" t="inlineStr">
        <is>
          <t>2024-12-09</t>
        </is>
      </c>
      <c r="H231" t="n">
        <v>9900</v>
      </c>
      <c r="I231" t="inlineStr">
        <is>
          <t>ADID</t>
        </is>
      </c>
      <c r="J231" t="n">
        <v>198000</v>
      </c>
      <c r="K231" t="inlineStr">
        <is>
          <t>2024-12-09</t>
        </is>
      </c>
      <c r="L231" t="inlineStr">
        <is>
          <t>否</t>
        </is>
      </c>
      <c r="M231" t="inlineStr">
        <is>
          <t>專案名稱：貝洛邦 2024年Q4品牌議題操作宣傳
訂單編號：PB2400830
來源：委刊單(Order) 第 232 列</t>
        </is>
      </c>
      <c r="N231" t="inlineStr">
        <is>
          <t>2026-05-18</t>
        </is>
      </c>
    </row>
    <row r="232">
      <c r="A232" t="inlineStr">
        <is>
          <t>ord_6dd3e1cc489c</t>
        </is>
      </c>
      <c r="B232" t="inlineStr"/>
      <c r="C232" t="inlineStr">
        <is>
          <t>廣告受眾包</t>
        </is>
      </c>
      <c r="D232" t="inlineStr"/>
      <c r="E232" t="inlineStr">
        <is>
          <t>TenMax</t>
        </is>
      </c>
      <c r="F232" t="inlineStr">
        <is>
          <t>三得利
_Milcolla蜜露珂娜</t>
        </is>
      </c>
      <c r="G232" t="inlineStr">
        <is>
          <t>2024-12-09</t>
        </is>
      </c>
      <c r="H232" t="n">
        <v>3300</v>
      </c>
      <c r="I232" t="inlineStr">
        <is>
          <t>ADID</t>
        </is>
      </c>
      <c r="J232" t="n">
        <v>66000</v>
      </c>
      <c r="K232" t="inlineStr">
        <is>
          <t>2024-12-09</t>
        </is>
      </c>
      <c r="L232" t="inlineStr">
        <is>
          <t>否</t>
        </is>
      </c>
      <c r="M232" t="inlineStr">
        <is>
          <t>專案名稱：三得利_Milcolla蜜露珂娜
訂單編號：PB2400832
來源：委刊單(Order) 第 233 列</t>
        </is>
      </c>
      <c r="N232" t="inlineStr">
        <is>
          <t>2026-05-18</t>
        </is>
      </c>
    </row>
    <row r="233">
      <c r="A233" t="inlineStr">
        <is>
          <t>ord_01fc9abc6839</t>
        </is>
      </c>
      <c r="B233" t="inlineStr"/>
      <c r="C233" t="inlineStr">
        <is>
          <t>廣告受眾包</t>
        </is>
      </c>
      <c r="D233" t="inlineStr"/>
      <c r="E233" t="inlineStr">
        <is>
          <t>TenMax</t>
        </is>
      </c>
      <c r="F233" t="inlineStr">
        <is>
          <t>農業部</t>
        </is>
      </c>
      <c r="G233" t="inlineStr">
        <is>
          <t>2024-12-09</t>
        </is>
      </c>
      <c r="H233" t="n">
        <v>3300</v>
      </c>
      <c r="I233" t="inlineStr">
        <is>
          <t>ADID</t>
        </is>
      </c>
      <c r="J233" t="n">
        <v>66000</v>
      </c>
      <c r="K233" t="inlineStr">
        <is>
          <t>2024-12-09</t>
        </is>
      </c>
      <c r="L233" t="inlineStr">
        <is>
          <t>否</t>
        </is>
      </c>
      <c r="M233" t="inlineStr">
        <is>
          <t>專案名稱：農業部防疫署｜入境不可攜帶物品宣導
訂單編號：PB2400819
來源：委刊單(Order) 第 234 列</t>
        </is>
      </c>
      <c r="N233" t="inlineStr">
        <is>
          <t>2026-05-18</t>
        </is>
      </c>
    </row>
    <row r="234">
      <c r="A234" t="inlineStr">
        <is>
          <t>ord_98a481e24168</t>
        </is>
      </c>
      <c r="B234" t="inlineStr"/>
      <c r="C234" t="inlineStr">
        <is>
          <t>廣告受眾包</t>
        </is>
      </c>
      <c r="D234" t="inlineStr"/>
      <c r="E234" t="inlineStr">
        <is>
          <t>Appier</t>
        </is>
      </c>
      <c r="F234" t="inlineStr">
        <is>
          <t>聖誕節</t>
        </is>
      </c>
      <c r="G234" t="inlineStr">
        <is>
          <t>2024-12-09</t>
        </is>
      </c>
      <c r="H234" t="n">
        <v>10000</v>
      </c>
      <c r="I234" t="inlineStr">
        <is>
          <t>ADID</t>
        </is>
      </c>
      <c r="J234" t="n">
        <v>10000</v>
      </c>
      <c r="K234" t="inlineStr">
        <is>
          <t>2024-12-10</t>
        </is>
      </c>
      <c r="L234" t="inlineStr">
        <is>
          <t>否</t>
        </is>
      </c>
      <c r="M234" t="inlineStr">
        <is>
          <t>聖誕節發票用戶-2023年在台灣聖誕樹景點周圍一公里內消費的用戶
來源：委刊單(Order) 第 235 列</t>
        </is>
      </c>
      <c r="N234" t="inlineStr">
        <is>
          <t>2026-05-18</t>
        </is>
      </c>
    </row>
    <row r="235">
      <c r="A235" t="inlineStr">
        <is>
          <t>ord_0a0f1729a88b</t>
        </is>
      </c>
      <c r="B235" t="inlineStr"/>
      <c r="C235" t="inlineStr">
        <is>
          <t>廣告受眾包</t>
        </is>
      </c>
      <c r="D235" t="inlineStr"/>
      <c r="E235" t="inlineStr">
        <is>
          <t>電通</t>
        </is>
      </c>
      <c r="F235" t="inlineStr">
        <is>
          <t>嬰兒抗敏</t>
        </is>
      </c>
      <c r="G235" t="inlineStr">
        <is>
          <t>2024-12-10</t>
        </is>
      </c>
      <c r="H235" t="n">
        <v>10000</v>
      </c>
      <c r="I235" t="inlineStr">
        <is>
          <t>ADID</t>
        </is>
      </c>
      <c r="J235" t="n">
        <v>10414</v>
      </c>
      <c r="K235" t="inlineStr">
        <is>
          <t>2024-12-11</t>
        </is>
      </c>
      <c r="L235" t="inlineStr">
        <is>
          <t>否</t>
        </is>
      </c>
      <c r="M235" t="inlineStr">
        <is>
          <t>嬰兒 抗敏_ 180天_排除啟賦
來源：委刊單(Order) 第 236 列</t>
        </is>
      </c>
      <c r="N235" t="inlineStr">
        <is>
          <t>2026-05-18</t>
        </is>
      </c>
    </row>
    <row r="236">
      <c r="A236" t="inlineStr">
        <is>
          <t>ord_7aa389b588a7</t>
        </is>
      </c>
      <c r="B236" t="inlineStr"/>
      <c r="C236" t="inlineStr">
        <is>
          <t>廣告受眾包</t>
        </is>
      </c>
      <c r="D236" t="inlineStr"/>
      <c r="E236" t="inlineStr">
        <is>
          <t>Gosky</t>
        </is>
      </c>
      <c r="F236" t="inlineStr">
        <is>
          <t>車用週邊</t>
        </is>
      </c>
      <c r="G236" t="inlineStr">
        <is>
          <t>2024-12-16</t>
        </is>
      </c>
      <c r="H236" t="n">
        <v>32578</v>
      </c>
      <c r="I236" t="inlineStr">
        <is>
          <t>ADID</t>
        </is>
      </c>
      <c r="J236" t="n">
        <v>32578</v>
      </c>
      <c r="K236" t="inlineStr"/>
      <c r="L236" t="inlineStr">
        <is>
          <t>否</t>
        </is>
      </c>
      <c r="M236" t="inlineStr">
        <is>
          <t>品牌車主
來源：委刊單(Order) 第 237 列</t>
        </is>
      </c>
      <c r="N236" t="inlineStr">
        <is>
          <t>2026-05-18</t>
        </is>
      </c>
    </row>
    <row r="237">
      <c r="A237" t="inlineStr">
        <is>
          <t>ord_ce3098a492d7</t>
        </is>
      </c>
      <c r="B237" t="inlineStr"/>
      <c r="C237" t="inlineStr">
        <is>
          <t>廣告受眾包</t>
        </is>
      </c>
      <c r="D237" t="inlineStr"/>
      <c r="E237" t="inlineStr">
        <is>
          <t>Appier</t>
        </is>
      </c>
      <c r="F237" t="inlineStr">
        <is>
          <t>保健食品</t>
        </is>
      </c>
      <c r="G237" t="inlineStr">
        <is>
          <t>2024-12-16</t>
        </is>
      </c>
      <c r="H237" t="n">
        <v>20000</v>
      </c>
      <c r="I237" t="inlineStr">
        <is>
          <t>ADID</t>
        </is>
      </c>
      <c r="J237" t="n">
        <v>20000</v>
      </c>
      <c r="K237" t="inlineStr">
        <is>
          <t>2024-12-16</t>
        </is>
      </c>
      <c r="L237" t="inlineStr">
        <is>
          <t>否</t>
        </is>
      </c>
      <c r="M237" t="inlineStr">
        <is>
          <t>綜合維他命、維他命C、B群、感冒藥、止咳藥、鼻炎藥、口罩、退熱貼、溫度計
來源：委刊單(Order) 第 238 列</t>
        </is>
      </c>
      <c r="N237" t="inlineStr">
        <is>
          <t>2026-05-18</t>
        </is>
      </c>
    </row>
    <row r="238">
      <c r="A238" t="inlineStr">
        <is>
          <t>ord_3a20b00a00f6</t>
        </is>
      </c>
      <c r="B238" t="inlineStr"/>
      <c r="C238" t="inlineStr">
        <is>
          <t>單次報告</t>
        </is>
      </c>
      <c r="D238" t="inlineStr"/>
      <c r="E238" t="inlineStr">
        <is>
          <t>未來流通研究所</t>
        </is>
      </c>
      <c r="F238" t="inlineStr">
        <is>
          <t>雀巢(專業餐飲)</t>
        </is>
      </c>
      <c r="G238" t="inlineStr">
        <is>
          <t>2024-12-16</t>
        </is>
      </c>
      <c r="H238" t="n">
        <v>300000</v>
      </c>
      <c r="I238" t="inlineStr">
        <is>
          <t>Slide</t>
        </is>
      </c>
      <c r="J238" t="n">
        <v>0</v>
      </c>
      <c r="K238" t="inlineStr"/>
      <c r="L238" t="inlineStr">
        <is>
          <t>否</t>
        </is>
      </c>
      <c r="M238" t="inlineStr">
        <is>
          <t>分析1:手搖飲市場分析
￭ 資料期間:2023/1-2024/12(按季度分析)
￭ 資料範圍:台北市/台中市/高雄市 連鎖手搖飲店
分析2:連鎖通路現煮咖啡分析
￭ 資料期間:2023/1-2024/12(按季度分析)
￭ 資料範圍: 台北市/新北市 CVS、連鎖咖啡、QSR
來源：委刊單(Order) 第 239 列</t>
        </is>
      </c>
      <c r="N238" t="inlineStr">
        <is>
          <t>2026-05-18</t>
        </is>
      </c>
    </row>
    <row r="239">
      <c r="A239" t="inlineStr">
        <is>
          <t>ord_52117e6ca8c5</t>
        </is>
      </c>
      <c r="B239" t="inlineStr"/>
      <c r="C239" t="inlineStr">
        <is>
          <t>廣告受眾包</t>
        </is>
      </c>
      <c r="D239" t="inlineStr"/>
      <c r="E239" t="inlineStr">
        <is>
          <t>OneAD</t>
        </is>
      </c>
      <c r="F239" t="inlineStr">
        <is>
          <t>房貸(記帳)</t>
        </is>
      </c>
      <c r="G239" t="inlineStr">
        <is>
          <t>2024-12-17</t>
        </is>
      </c>
      <c r="H239" t="n">
        <v>5000</v>
      </c>
      <c r="I239" t="inlineStr">
        <is>
          <t>ADID</t>
        </is>
      </c>
      <c r="J239" t="n">
        <v>5000</v>
      </c>
      <c r="K239" t="inlineStr">
        <is>
          <t>2024-12-17</t>
        </is>
      </c>
      <c r="L239" t="inlineStr">
        <is>
          <t>否</t>
        </is>
      </c>
      <c r="M239" t="inlineStr">
        <is>
          <t>5000筆記帳房貸用戶
來源：委刊單(Order) 第 240 列</t>
        </is>
      </c>
      <c r="N239" t="inlineStr">
        <is>
          <t>2026-05-18</t>
        </is>
      </c>
    </row>
    <row r="240">
      <c r="A240" t="inlineStr">
        <is>
          <t>ord_db654fe55424</t>
        </is>
      </c>
      <c r="B240" t="inlineStr"/>
      <c r="C240" t="inlineStr">
        <is>
          <t>廣告受眾包</t>
        </is>
      </c>
      <c r="D240" t="inlineStr"/>
      <c r="E240" t="inlineStr">
        <is>
          <t>電通</t>
        </is>
      </c>
      <c r="F240" t="inlineStr">
        <is>
          <t>寵物食品</t>
        </is>
      </c>
      <c r="G240" t="inlineStr">
        <is>
          <t>2024-12-18</t>
        </is>
      </c>
      <c r="H240" t="n">
        <v>25000</v>
      </c>
      <c r="I240" t="inlineStr">
        <is>
          <t>ADID</t>
        </is>
      </c>
      <c r="J240" t="n">
        <v>165000</v>
      </c>
      <c r="K240" t="inlineStr">
        <is>
          <t>2024-12-19</t>
        </is>
      </c>
      <c r="L240" t="inlineStr">
        <is>
          <t>否</t>
        </is>
      </c>
      <c r="M240" t="inlineStr">
        <is>
          <t>過去半年內購買寵物食品品牌糧食（不限品牌）
來源：委刊單(Order) 第 241 列</t>
        </is>
      </c>
      <c r="N240" t="inlineStr">
        <is>
          <t>2026-05-18</t>
        </is>
      </c>
    </row>
    <row r="241">
      <c r="A241" t="inlineStr">
        <is>
          <t>ord_049b37f8be86</t>
        </is>
      </c>
      <c r="B241" t="inlineStr"/>
      <c r="C241" t="inlineStr">
        <is>
          <t>廣告受眾包</t>
        </is>
      </c>
      <c r="D241" t="inlineStr"/>
      <c r="E241" t="inlineStr">
        <is>
          <t>cacaFly</t>
        </is>
      </c>
      <c r="F241" t="inlineStr">
        <is>
          <t>滴雞精</t>
        </is>
      </c>
      <c r="G241" t="inlineStr">
        <is>
          <t>2024-12-18</t>
        </is>
      </c>
      <c r="H241" t="n">
        <v>25278</v>
      </c>
      <c r="I241" t="inlineStr">
        <is>
          <t>ADID</t>
        </is>
      </c>
      <c r="J241" t="n">
        <v>25278</v>
      </c>
      <c r="K241" t="inlineStr">
        <is>
          <t>2024-12-18</t>
        </is>
      </c>
      <c r="L241" t="inlineStr">
        <is>
          <t>否</t>
        </is>
      </c>
      <c r="M241" t="inlineStr">
        <is>
          <t>滴雞精與美妍飲
來源：委刊單(Order) 第 242 列</t>
        </is>
      </c>
      <c r="N241" t="inlineStr">
        <is>
          <t>2026-05-18</t>
        </is>
      </c>
    </row>
    <row r="242">
      <c r="A242" t="inlineStr">
        <is>
          <t>ord_73d29a3bd1cc</t>
        </is>
      </c>
      <c r="B242" t="inlineStr"/>
      <c r="C242" t="inlineStr">
        <is>
          <t>廣告受眾包</t>
        </is>
      </c>
      <c r="D242" t="inlineStr"/>
      <c r="E242" t="inlineStr">
        <is>
          <t>電通</t>
        </is>
      </c>
      <c r="F242" t="inlineStr">
        <is>
          <t>高價精華</t>
        </is>
      </c>
      <c r="G242" t="inlineStr">
        <is>
          <t>2024-12-19</t>
        </is>
      </c>
      <c r="H242" t="n">
        <v>55000</v>
      </c>
      <c r="I242" t="inlineStr">
        <is>
          <t>ADID</t>
        </is>
      </c>
      <c r="J242" t="n">
        <v>165000</v>
      </c>
      <c r="K242" t="inlineStr">
        <is>
          <t>2024-12-24</t>
        </is>
      </c>
      <c r="L242" t="inlineStr">
        <is>
          <t>否</t>
        </is>
      </c>
      <c r="M242" t="inlineStr">
        <is>
          <t>AI擴圈至15萬
來源：委刊單(Order) 第 243 列</t>
        </is>
      </c>
      <c r="N242" t="inlineStr">
        <is>
          <t>2026-05-18</t>
        </is>
      </c>
    </row>
    <row r="243">
      <c r="A243" t="inlineStr">
        <is>
          <t>ord_0c21d20f395c</t>
        </is>
      </c>
      <c r="B243" t="inlineStr"/>
      <c r="C243" t="inlineStr">
        <is>
          <t>廣告受眾包</t>
        </is>
      </c>
      <c r="D243" t="inlineStr"/>
      <c r="E243" t="inlineStr">
        <is>
          <t>電通</t>
        </is>
      </c>
      <c r="F243" t="inlineStr">
        <is>
          <t>保養品</t>
        </is>
      </c>
      <c r="G243" t="inlineStr">
        <is>
          <t>2024-12-27</t>
        </is>
      </c>
      <c r="H243" t="n">
        <v>40000</v>
      </c>
      <c r="I243" t="inlineStr">
        <is>
          <t>ADID</t>
        </is>
      </c>
      <c r="J243" t="n">
        <v>277035</v>
      </c>
      <c r="K243" t="inlineStr">
        <is>
          <t>2025-01-06</t>
        </is>
      </c>
      <c r="L243" t="inlineStr">
        <is>
          <t>否</t>
        </is>
      </c>
      <c r="M243" t="inlineStr">
        <is>
          <t>過去一年購買過保養或產品關鍵字相關的25-49歲男性
過去一年購買過男性高質感25-49男性
過去一年在百貨通路消費超過5000且每月皆有消費的25-49男性受眾
來源：委刊單(Order) 第 244 列</t>
        </is>
      </c>
      <c r="N243" t="inlineStr">
        <is>
          <t>2026-05-18</t>
        </is>
      </c>
    </row>
    <row r="244">
      <c r="A244" t="inlineStr">
        <is>
          <t>ord_d34183c44506</t>
        </is>
      </c>
      <c r="B244" t="inlineStr"/>
      <c r="C244" t="inlineStr">
        <is>
          <t>廣告受眾包</t>
        </is>
      </c>
      <c r="D244" t="inlineStr"/>
      <c r="E244" t="inlineStr">
        <is>
          <t>綠藤生機</t>
        </is>
      </c>
      <c r="F244" t="inlineStr">
        <is>
          <t>綠藤生機</t>
        </is>
      </c>
      <c r="G244" t="inlineStr">
        <is>
          <t>2025-01-14</t>
        </is>
      </c>
      <c r="H244" t="n">
        <v>6632</v>
      </c>
      <c r="I244" t="inlineStr">
        <is>
          <t>ADID</t>
        </is>
      </c>
      <c r="J244" t="n">
        <v>6632</v>
      </c>
      <c r="K244" t="inlineStr">
        <is>
          <t>2025-01-15</t>
        </is>
      </c>
      <c r="L244" t="inlineStr">
        <is>
          <t>否</t>
        </is>
      </c>
      <c r="M244" t="inlineStr">
        <is>
          <t>一寸鮮
來源：委刊單(Order) 第 245 列</t>
        </is>
      </c>
      <c r="N244" t="inlineStr">
        <is>
          <t>2026-05-18</t>
        </is>
      </c>
    </row>
    <row r="245">
      <c r="A245" t="inlineStr">
        <is>
          <t>ord_6883c7909c67</t>
        </is>
      </c>
      <c r="B245" t="inlineStr"/>
      <c r="C245" t="inlineStr">
        <is>
          <t>廣告受眾包</t>
        </is>
      </c>
      <c r="D245" t="inlineStr"/>
      <c r="E245" t="inlineStr">
        <is>
          <t>Appier</t>
        </is>
      </c>
      <c r="F245" t="inlineStr">
        <is>
          <t>行動支付</t>
        </is>
      </c>
      <c r="G245" t="inlineStr">
        <is>
          <t>2025-01-17</t>
        </is>
      </c>
      <c r="H245" t="n">
        <v>20000</v>
      </c>
      <c r="I245" t="inlineStr">
        <is>
          <t>ADID</t>
        </is>
      </c>
      <c r="J245" t="n">
        <v>20000</v>
      </c>
      <c r="K245" t="inlineStr">
        <is>
          <t>2025-01-17</t>
        </is>
      </c>
      <c r="L245" t="inlineStr">
        <is>
          <t>否</t>
        </is>
      </c>
      <c r="M245" t="inlineStr">
        <is>
          <t>1.發票存於一卡通或悠遊卡用戶 
2.行動支付, 行動支付服務, 手機支付行動支付折抵,第三方支付….
一年使用行動支付點數
來源：委刊單(Order) 第 246 列</t>
        </is>
      </c>
      <c r="N245" t="inlineStr">
        <is>
          <t>2026-05-18</t>
        </is>
      </c>
    </row>
    <row r="246">
      <c r="A246" t="inlineStr">
        <is>
          <t>ord_d04f3b3e3054</t>
        </is>
      </c>
      <c r="B246" t="inlineStr"/>
      <c r="C246" t="inlineStr">
        <is>
          <t>廣告受眾包</t>
        </is>
      </c>
      <c r="D246" t="inlineStr"/>
      <c r="E246" t="inlineStr">
        <is>
          <t>Appier</t>
        </is>
      </c>
      <c r="F246" t="inlineStr">
        <is>
          <t>牙膏</t>
        </is>
      </c>
      <c r="G246" t="inlineStr">
        <is>
          <t>2025-01-17</t>
        </is>
      </c>
      <c r="H246" t="n">
        <v>20000</v>
      </c>
      <c r="I246" t="inlineStr">
        <is>
          <t>ADID</t>
        </is>
      </c>
      <c r="J246" t="n">
        <v>20000</v>
      </c>
      <c r="K246" t="inlineStr">
        <is>
          <t>2025-01-17</t>
        </is>
      </c>
      <c r="L246" t="inlineStr">
        <is>
          <t>否</t>
        </is>
      </c>
      <c r="M246" t="inlineStr">
        <is>
          <t>[品牌] 貝歐尼修復牙膏、貝利達琺瑯質修補牙膏、舒酸定抗敏牙膏 舒酸定強化琺瑯質牙膏、好來琺瑯質修護牙膏、高露潔抗敏感強護琺瑯質牙膏、百齡琺瑯質修護牙膏、3M護齒牙膏、德國AJONA強健琺瑯質草本牙齦護理牙膏、麗奇修護琺瑯質牙膏..等
[通路] 近90天在通路消費過的消費受眾 : MOMO/蝦皮/屈臣氏/康是美/家樂福/大潤發/寶雅….等
來源：委刊單(Order) 第 247 列</t>
        </is>
      </c>
      <c r="N246" t="inlineStr">
        <is>
          <t>2026-05-18</t>
        </is>
      </c>
    </row>
    <row r="247">
      <c r="A247" t="inlineStr">
        <is>
          <t>ord_354a6b1a1423</t>
        </is>
      </c>
      <c r="B247" t="inlineStr"/>
      <c r="C247" t="inlineStr">
        <is>
          <t>廣告受眾包</t>
        </is>
      </c>
      <c r="D247" t="inlineStr"/>
      <c r="E247" t="inlineStr">
        <is>
          <t>LeadUp</t>
        </is>
      </c>
      <c r="F247" t="inlineStr">
        <is>
          <t>總採購</t>
        </is>
      </c>
      <c r="G247" t="inlineStr">
        <is>
          <t>2025-01-20</t>
        </is>
      </c>
      <c r="H247" t="n">
        <v>94379</v>
      </c>
      <c r="I247" t="inlineStr">
        <is>
          <t>ADID</t>
        </is>
      </c>
      <c r="J247" t="n">
        <v>1887580</v>
      </c>
      <c r="K247" t="inlineStr"/>
      <c r="L247" t="inlineStr">
        <is>
          <t>否</t>
        </is>
      </c>
      <c r="M247" t="inlineStr">
        <is>
          <t>合約結束總採購共119包
來源：委刊單(Order) 第 248 列</t>
        </is>
      </c>
      <c r="N247" t="inlineStr">
        <is>
          <t>2026-05-18</t>
        </is>
      </c>
    </row>
    <row r="248">
      <c r="A248" t="inlineStr">
        <is>
          <t>ord_2b524332de07</t>
        </is>
      </c>
      <c r="B248" t="inlineStr"/>
      <c r="C248" t="inlineStr">
        <is>
          <t>廣告受眾包</t>
        </is>
      </c>
      <c r="D248" t="inlineStr"/>
      <c r="E248" t="inlineStr">
        <is>
          <t>蒔間</t>
        </is>
      </c>
      <c r="F248" t="inlineStr">
        <is>
          <t>魚油</t>
        </is>
      </c>
      <c r="G248" t="inlineStr">
        <is>
          <t>2025-02-03</t>
        </is>
      </c>
      <c r="H248" t="n">
        <v>10000</v>
      </c>
      <c r="I248" t="inlineStr">
        <is>
          <t>ADID</t>
        </is>
      </c>
      <c r="J248" t="n">
        <v>84132</v>
      </c>
      <c r="K248" t="inlineStr">
        <is>
          <t>2025-02-03</t>
        </is>
      </c>
      <c r="L248" t="inlineStr">
        <is>
          <t>否</t>
        </is>
      </c>
      <c r="M248" t="inlineStr">
        <is>
          <t>魚油人群受眾包
來源：委刊單(Order) 第 249 列</t>
        </is>
      </c>
      <c r="N248" t="inlineStr">
        <is>
          <t>2026-05-18</t>
        </is>
      </c>
    </row>
    <row r="249">
      <c r="A249" t="inlineStr">
        <is>
          <t>ord_07acf2a6f855</t>
        </is>
      </c>
      <c r="B249" t="inlineStr"/>
      <c r="C249" t="inlineStr">
        <is>
          <t>廣告受眾包</t>
        </is>
      </c>
      <c r="D249" t="inlineStr"/>
      <c r="E249" t="inlineStr">
        <is>
          <t>Appier</t>
        </is>
      </c>
      <c r="F249" t="inlineStr">
        <is>
          <t>動漫產業</t>
        </is>
      </c>
      <c r="G249" t="inlineStr">
        <is>
          <t>2025-02-04</t>
        </is>
      </c>
      <c r="H249" t="n">
        <v>15000</v>
      </c>
      <c r="I249" t="inlineStr">
        <is>
          <t>ADID</t>
        </is>
      </c>
      <c r="J249" t="n">
        <v>15000</v>
      </c>
      <c r="K249" t="inlineStr">
        <is>
          <t>2025-02-18</t>
        </is>
      </c>
      <c r="L249" t="inlineStr">
        <is>
          <t>否</t>
        </is>
      </c>
      <c r="M249" t="inlineStr">
        <is>
          <t>不分通路所有購買動漫或運動漫畫類商品 (如灌籃高手、進擊的巨人相關周邊)，內容包含二次元、電動遊戲、動漫、模型、動漫展門票等品項，單筆消費金額超過 500 元
請後補給我Pool數
來源：委刊單(Order) 第 250 列</t>
        </is>
      </c>
      <c r="N249" t="inlineStr">
        <is>
          <t>2026-05-18</t>
        </is>
      </c>
    </row>
    <row r="250">
      <c r="A250" t="inlineStr">
        <is>
          <t>ord_81cfa8a47b4e</t>
        </is>
      </c>
      <c r="B250" t="inlineStr"/>
      <c r="C250" t="inlineStr">
        <is>
          <t>單次報告</t>
        </is>
      </c>
      <c r="D250" t="inlineStr"/>
      <c r="E250" t="inlineStr">
        <is>
          <t>12CM</t>
        </is>
      </c>
      <c r="F250" t="inlineStr">
        <is>
          <t>雀巢</t>
        </is>
      </c>
      <c r="G250" t="inlineStr">
        <is>
          <t>2025-02-05</t>
        </is>
      </c>
      <c r="H250" t="n">
        <v>300000</v>
      </c>
      <c r="I250" t="inlineStr">
        <is>
          <t>專案報告</t>
        </is>
      </c>
      <c r="J250" t="n">
        <v>0</v>
      </c>
      <c r="K250" t="inlineStr"/>
      <c r="L250" t="inlineStr">
        <is>
          <t>否</t>
        </is>
      </c>
      <c r="M250" t="inlineStr">
        <is>
          <t>蝦皮電商
咖啡市場分析
來源：委刊單(Order) 第 251 列</t>
        </is>
      </c>
      <c r="N250" t="inlineStr">
        <is>
          <t>2026-05-18</t>
        </is>
      </c>
    </row>
    <row r="251">
      <c r="A251" t="inlineStr">
        <is>
          <t>ord_ca4c692cd8d7</t>
        </is>
      </c>
      <c r="B251" t="inlineStr"/>
      <c r="C251" t="inlineStr">
        <is>
          <t>廣告受眾包</t>
        </is>
      </c>
      <c r="D251" t="inlineStr"/>
      <c r="E251" t="inlineStr">
        <is>
          <t>Appier</t>
        </is>
      </c>
      <c r="F251" t="inlineStr">
        <is>
          <t>隱形眼鏡</t>
        </is>
      </c>
      <c r="G251" t="inlineStr">
        <is>
          <t>2025-02-08</t>
        </is>
      </c>
      <c r="H251" t="n">
        <v>20000</v>
      </c>
      <c r="I251" t="inlineStr">
        <is>
          <t>ADID</t>
        </is>
      </c>
      <c r="J251" t="n">
        <v>20000</v>
      </c>
      <c r="K251" t="inlineStr">
        <is>
          <t>2025-02-08</t>
        </is>
      </c>
      <c r="L251" t="inlineStr">
        <is>
          <t>否</t>
        </is>
      </c>
      <c r="M251" t="inlineStr">
        <is>
          <t>[品項] 隱形眼鏡、透明片、彩色月拋、彩色日拋..
[通路] 屈臣氏、唐吉軻德、寶雅、晶碩光學、寶島眼鏡..
(發票品項: 隱形眼鏡的關鍵字會出現：隱形眼鏡、彩拋、日拋、月拋)
來源：委刊單(Order) 第 252 列</t>
        </is>
      </c>
      <c r="N251" t="inlineStr">
        <is>
          <t>2026-05-18</t>
        </is>
      </c>
    </row>
    <row r="252">
      <c r="A252" t="inlineStr">
        <is>
          <t>ord_94763449e3ef</t>
        </is>
      </c>
      <c r="B252" t="inlineStr"/>
      <c r="C252" t="inlineStr">
        <is>
          <t>廣告受眾包</t>
        </is>
      </c>
      <c r="D252" t="inlineStr"/>
      <c r="E252" t="inlineStr">
        <is>
          <t>其他(品牌自操)</t>
        </is>
      </c>
      <c r="F252" t="inlineStr">
        <is>
          <t>wstyle</t>
        </is>
      </c>
      <c r="G252" t="inlineStr">
        <is>
          <t>2025-02-11</t>
        </is>
      </c>
      <c r="H252" t="n">
        <v>34285</v>
      </c>
      <c r="I252" t="inlineStr">
        <is>
          <t>主題受眾包</t>
        </is>
      </c>
      <c r="J252" t="n">
        <v>0</v>
      </c>
      <c r="K252" t="inlineStr"/>
      <c r="L252" t="inlineStr">
        <is>
          <t>否</t>
        </is>
      </c>
      <c r="M252" t="inlineStr">
        <is>
          <t>3.抗老保養輕熟女
18.快時尚忠誠粉絲
37.質感生活粉領族3.抗老保養輕熟女
來源：委刊單(Order) 第 253 列</t>
        </is>
      </c>
      <c r="N252" t="inlineStr">
        <is>
          <t>2026-05-18</t>
        </is>
      </c>
    </row>
    <row r="253">
      <c r="A253" t="inlineStr">
        <is>
          <t>ord_7cf5b40a472d</t>
        </is>
      </c>
      <c r="B253" t="inlineStr"/>
      <c r="C253" t="inlineStr">
        <is>
          <t>簡訊/推播</t>
        </is>
      </c>
      <c r="D253" t="inlineStr"/>
      <c r="E253" t="inlineStr">
        <is>
          <t>益索普</t>
        </is>
      </c>
      <c r="F253" t="inlineStr">
        <is>
          <t>問券</t>
        </is>
      </c>
      <c r="G253" t="inlineStr">
        <is>
          <t>2024-01-03</t>
        </is>
      </c>
      <c r="H253" t="n">
        <v>6120</v>
      </c>
      <c r="I253" t="inlineStr">
        <is>
          <t>MMS</t>
        </is>
      </c>
      <c r="J253" t="n">
        <v>612</v>
      </c>
      <c r="K253" t="inlineStr">
        <is>
          <t>2025-02-15</t>
        </is>
      </c>
      <c r="L253" t="inlineStr">
        <is>
          <t>否</t>
        </is>
      </c>
      <c r="M253" t="inlineStr">
        <is>
          <t>女性臉部保養品座談會邀請報名簡訊發送
來源：委刊單(Order) 第 254 列</t>
        </is>
      </c>
      <c r="N253" t="inlineStr">
        <is>
          <t>2026-05-18</t>
        </is>
      </c>
    </row>
    <row r="254">
      <c r="A254" t="inlineStr">
        <is>
          <t>ord_2e2d0d1ee8d7</t>
        </is>
      </c>
      <c r="B254" t="inlineStr"/>
      <c r="C254" t="inlineStr">
        <is>
          <t>廣告受眾包</t>
        </is>
      </c>
      <c r="D254" t="inlineStr"/>
      <c r="E254" t="inlineStr">
        <is>
          <t>Appier</t>
        </is>
      </c>
      <c r="F254" t="inlineStr">
        <is>
          <t>隱形眼鏡-2</t>
        </is>
      </c>
      <c r="G254" t="inlineStr">
        <is>
          <t>2025-02-12</t>
        </is>
      </c>
      <c r="H254" t="n">
        <v>18000</v>
      </c>
      <c r="I254" t="inlineStr">
        <is>
          <t>ADID</t>
        </is>
      </c>
      <c r="J254" t="n">
        <v>18000</v>
      </c>
      <c r="K254" t="inlineStr">
        <is>
          <t>2025-02-13</t>
        </is>
      </c>
      <c r="L254" t="inlineStr">
        <is>
          <t>否</t>
        </is>
      </c>
      <c r="M254" t="inlineStr">
        <is>
          <t>商品關鍵字: 隱形眼鏡/軟性隱形眼鏡/拋棄型隱形眼鏡/隱形眼鏡藥水/彩色隱形眼鏡 / 美瞳 / 變色隱形眼鏡日拋隱形眼鏡 / 週拋隱形眼鏡 /保濕隱形眼鏡 ……等商品
隱形眼鏡品牌: 博士倫、嬌生安視優ACUVUE/海昌/愛爾康/酷柏/美若康/星歐/晶碩/帝康/加美….
來源：委刊單(Order) 第 255 列</t>
        </is>
      </c>
      <c r="N254" t="inlineStr">
        <is>
          <t>2026-05-18</t>
        </is>
      </c>
    </row>
    <row r="255">
      <c r="A255" t="inlineStr">
        <is>
          <t>ord_fcd01863b2b8</t>
        </is>
      </c>
      <c r="B255" t="inlineStr"/>
      <c r="C255" t="inlineStr">
        <is>
          <t>廣告受眾包</t>
        </is>
      </c>
      <c r="D255" t="inlineStr"/>
      <c r="E255" t="inlineStr">
        <is>
          <t>Appier</t>
        </is>
      </c>
      <c r="F255" t="inlineStr">
        <is>
          <t>速食產業</t>
        </is>
      </c>
      <c r="G255" t="inlineStr">
        <is>
          <t>2025-02-13</t>
        </is>
      </c>
      <c r="H255" t="n">
        <v>15000</v>
      </c>
      <c r="I255" t="inlineStr">
        <is>
          <t>ADID</t>
        </is>
      </c>
      <c r="J255" t="n">
        <v>15000</v>
      </c>
      <c r="K255" t="inlineStr">
        <is>
          <t>2025-02-13</t>
        </is>
      </c>
      <c r="L255" t="inlineStr">
        <is>
          <t>否</t>
        </is>
      </c>
      <c r="M255" t="inlineStr">
        <is>
          <t>近半年買過品牌: 肯德基、麥當勞、漢堡王、摩斯、頂呱呱
近半年買過商品中有"漢堡"關鍵字
來源：委刊單(Order) 第 256 列</t>
        </is>
      </c>
      <c r="N255" t="inlineStr">
        <is>
          <t>2026-05-18</t>
        </is>
      </c>
    </row>
    <row r="256">
      <c r="A256" t="inlineStr">
        <is>
          <t>ord_05758a4e64b1</t>
        </is>
      </c>
      <c r="B256" t="inlineStr"/>
      <c r="C256" t="inlineStr">
        <is>
          <t>廣告受眾包</t>
        </is>
      </c>
      <c r="D256" t="inlineStr"/>
      <c r="E256" t="inlineStr">
        <is>
          <t>電通</t>
        </is>
      </c>
      <c r="F256" t="inlineStr">
        <is>
          <t>Dprogram</t>
        </is>
      </c>
      <c r="G256" t="inlineStr">
        <is>
          <t>2025-02-13</t>
        </is>
      </c>
      <c r="H256" t="n">
        <v>45000</v>
      </c>
      <c r="I256" t="inlineStr">
        <is>
          <t>ADID</t>
        </is>
      </c>
      <c r="J256" t="n">
        <v>398755</v>
      </c>
      <c r="K256" t="inlineStr">
        <is>
          <t>2025-02-24</t>
        </is>
      </c>
      <c r="L256" t="inlineStr">
        <is>
          <t>否</t>
        </is>
      </c>
      <c r="M256" t="inlineStr">
        <is>
          <t>一年內購買過DR.WU、CeraVe、理膚寶水、敏感話題、AHC、Curel、Neogence
一年內購買過 「DR.WU 玻尿酸保濕精華化庄水」、「AHC 玻尿酸保濕精華化妝水」、「DRWU 玻尿酸保濕精華乳」、「CeraVe 全效超級修護乳」、「Curel 潤浸保濕乳液」、「AHC 瞬效保濕B5微導玻尿酸精華液」、「DRWU 神經醯胺保濕精華」、「Neogence玻尿酸保濕原液」
來源：委刊單(Order) 第 257 列</t>
        </is>
      </c>
      <c r="N256" t="inlineStr">
        <is>
          <t>2026-05-18</t>
        </is>
      </c>
    </row>
    <row r="257">
      <c r="A257" t="inlineStr">
        <is>
          <t>ord_e9c2b286b258</t>
        </is>
      </c>
      <c r="B257" t="inlineStr"/>
      <c r="C257" t="inlineStr">
        <is>
          <t>廣告受眾包</t>
        </is>
      </c>
      <c r="D257" t="inlineStr"/>
      <c r="E257" t="inlineStr">
        <is>
          <t>電通</t>
        </is>
      </c>
      <c r="F257" t="inlineStr">
        <is>
          <t>Lacome</t>
        </is>
      </c>
      <c r="G257" t="inlineStr">
        <is>
          <t>2025-02-14</t>
        </is>
      </c>
      <c r="H257" t="n">
        <v>25500</v>
      </c>
      <c r="I257" t="inlineStr">
        <is>
          <t>ADID</t>
        </is>
      </c>
      <c r="J257" t="n">
        <v>193716</v>
      </c>
      <c r="K257" t="inlineStr">
        <is>
          <t>2025-02-17</t>
        </is>
      </c>
      <c r="L257" t="inlineStr">
        <is>
          <t>否</t>
        </is>
      </c>
      <c r="M257" t="inlineStr">
        <is>
          <t>35-55歲女性半年內購買過
過去半年有購買萬元乳霜,保濕霜,抗老面霜,抗老精華,拉提面霜
來源：委刊單(Order) 第 258 列</t>
        </is>
      </c>
      <c r="N257" t="inlineStr">
        <is>
          <t>2026-05-18</t>
        </is>
      </c>
    </row>
    <row r="258">
      <c r="A258" t="inlineStr">
        <is>
          <t>ord_f823faf50b4a</t>
        </is>
      </c>
      <c r="B258" t="inlineStr"/>
      <c r="C258" t="inlineStr">
        <is>
          <t>廣告受眾包</t>
        </is>
      </c>
      <c r="D258" t="inlineStr"/>
      <c r="E258" t="inlineStr">
        <is>
          <t>Appier</t>
        </is>
      </c>
      <c r="F258" t="inlineStr">
        <is>
          <t>金融產業</t>
        </is>
      </c>
      <c r="G258" t="inlineStr">
        <is>
          <t>2025-02-17</t>
        </is>
      </c>
      <c r="H258" t="n">
        <v>20000</v>
      </c>
      <c r="I258" t="inlineStr">
        <is>
          <t>ADID</t>
        </is>
      </c>
      <c r="J258" t="n">
        <v>20000</v>
      </c>
      <c r="K258" t="inlineStr">
        <is>
          <t>2025-02-17</t>
        </is>
      </c>
      <c r="L258" t="inlineStr">
        <is>
          <t>否</t>
        </is>
      </c>
      <c r="M258" t="inlineStr">
        <is>
          <t>發票data：一年內有在Apple store消費的用戶（買Apple產品/買App ）
來源：委刊單(Order) 第 259 列</t>
        </is>
      </c>
      <c r="N258" t="inlineStr">
        <is>
          <t>2026-05-18</t>
        </is>
      </c>
    </row>
    <row r="259">
      <c r="A259" t="inlineStr">
        <is>
          <t>ord_897d91364e82</t>
        </is>
      </c>
      <c r="B259" t="inlineStr"/>
      <c r="C259" t="inlineStr">
        <is>
          <t>廣告受眾包</t>
        </is>
      </c>
      <c r="D259" t="inlineStr"/>
      <c r="E259" t="inlineStr">
        <is>
          <t>電通</t>
        </is>
      </c>
      <c r="F259" t="inlineStr">
        <is>
          <t>理膚CICA</t>
        </is>
      </c>
      <c r="G259" t="inlineStr">
        <is>
          <t>2025-02-19</t>
        </is>
      </c>
      <c r="H259" t="n">
        <v>46000</v>
      </c>
      <c r="I259" t="inlineStr">
        <is>
          <t>ADID</t>
        </is>
      </c>
      <c r="J259" t="n">
        <v>177738</v>
      </c>
      <c r="K259" t="inlineStr">
        <is>
          <t>2025-02-20</t>
        </is>
      </c>
      <c r="L259" t="inlineStr">
        <is>
          <t>否</t>
        </is>
      </c>
      <c r="M259" t="inlineStr">
        <is>
          <t>尋找購買過抗痘產品/痘疤產品/痘痘貼的消費者
來源：委刊單(Order) 第 260 列</t>
        </is>
      </c>
      <c r="N259" t="inlineStr">
        <is>
          <t>2026-05-18</t>
        </is>
      </c>
    </row>
    <row r="260">
      <c r="A260" t="inlineStr">
        <is>
          <t>ord_40e8b788b27c</t>
        </is>
      </c>
      <c r="B260" t="inlineStr"/>
      <c r="C260" t="inlineStr">
        <is>
          <t>廣告受眾包</t>
        </is>
      </c>
      <c r="D260" t="inlineStr"/>
      <c r="E260" t="inlineStr">
        <is>
          <t>電通</t>
        </is>
      </c>
      <c r="F260" t="inlineStr">
        <is>
          <t>Mela B3</t>
        </is>
      </c>
      <c r="G260" t="inlineStr">
        <is>
          <t>2025-02-19</t>
        </is>
      </c>
      <c r="H260" t="n">
        <v>60000</v>
      </c>
      <c r="I260" t="inlineStr">
        <is>
          <t>ADID</t>
        </is>
      </c>
      <c r="J260" t="n">
        <v>893706</v>
      </c>
      <c r="K260" t="inlineStr">
        <is>
          <t>2025-02-20</t>
        </is>
      </c>
      <c r="L260" t="inlineStr">
        <is>
          <t>否</t>
        </is>
      </c>
      <c r="M260" t="inlineStr">
        <is>
          <t>過去一年購買過相關商品及成分的用戶聯集
來源：委刊單(Order) 第 261 列</t>
        </is>
      </c>
      <c r="N260" t="inlineStr">
        <is>
          <t>2026-05-18</t>
        </is>
      </c>
    </row>
    <row r="261">
      <c r="A261" t="inlineStr">
        <is>
          <t>ord_973663e2a5ce</t>
        </is>
      </c>
      <c r="B261" t="inlineStr"/>
      <c r="C261" t="inlineStr">
        <is>
          <t>廣告受眾包</t>
        </is>
      </c>
      <c r="D261" t="inlineStr"/>
      <c r="E261" t="inlineStr">
        <is>
          <t>電通</t>
        </is>
      </c>
      <c r="F261" t="inlineStr">
        <is>
          <t>信用卡</t>
        </is>
      </c>
      <c r="G261" t="inlineStr">
        <is>
          <t>2025-02-21</t>
        </is>
      </c>
      <c r="H261" t="n">
        <v>50000</v>
      </c>
      <c r="I261" t="inlineStr">
        <is>
          <t>ADID</t>
        </is>
      </c>
      <c r="J261" t="n">
        <v>280000</v>
      </c>
      <c r="K261" t="inlineStr">
        <is>
          <t>2025-02-24</t>
        </is>
      </c>
      <c r="L261" t="inlineStr">
        <is>
          <t>否</t>
        </is>
      </c>
      <c r="M261" t="inlineStr">
        <is>
          <t>來源：委刊單(Order) 第 262 列</t>
        </is>
      </c>
      <c r="N261" t="inlineStr">
        <is>
          <t>2026-05-18</t>
        </is>
      </c>
    </row>
    <row r="262">
      <c r="A262" t="inlineStr">
        <is>
          <t>ord_3be9048c4c67</t>
        </is>
      </c>
      <c r="B262" t="inlineStr"/>
      <c r="C262" t="inlineStr">
        <is>
          <t>廣告受眾包</t>
        </is>
      </c>
      <c r="D262" t="inlineStr"/>
      <c r="E262" t="inlineStr">
        <is>
          <t>Appier</t>
        </is>
      </c>
      <c r="F262" t="inlineStr">
        <is>
          <t>外送</t>
        </is>
      </c>
      <c r="G262" t="inlineStr">
        <is>
          <t>2025-02-27</t>
        </is>
      </c>
      <c r="H262" t="n">
        <v>20000</v>
      </c>
      <c r="I262" t="inlineStr">
        <is>
          <t>ADID</t>
        </is>
      </c>
      <c r="J262" t="n">
        <v>20000</v>
      </c>
      <c r="K262" t="inlineStr">
        <is>
          <t>2025-02-27</t>
        </is>
      </c>
      <c r="L262" t="inlineStr">
        <is>
          <t>否</t>
        </is>
      </c>
      <c r="M262" t="inlineStr">
        <is>
          <t>關鍵字or 品牌: 【lalamove】+【Uber】+【Ubereats】
來源：委刊單(Order) 第 263 列</t>
        </is>
      </c>
      <c r="N262" t="inlineStr">
        <is>
          <t>2026-05-18</t>
        </is>
      </c>
    </row>
    <row r="263">
      <c r="A263" t="inlineStr">
        <is>
          <t>ord_2a52f5c997af</t>
        </is>
      </c>
      <c r="B263" t="inlineStr"/>
      <c r="C263" t="inlineStr">
        <is>
          <t>廣告受眾包</t>
        </is>
      </c>
      <c r="D263" t="inlineStr"/>
      <c r="E263" t="inlineStr">
        <is>
          <t>電通</t>
        </is>
      </c>
      <c r="F263" t="inlineStr">
        <is>
          <t>隱形眼鏡</t>
        </is>
      </c>
      <c r="G263" t="inlineStr">
        <is>
          <t>2025-03-04</t>
        </is>
      </c>
      <c r="H263" t="n">
        <v>35000</v>
      </c>
      <c r="I263" t="inlineStr">
        <is>
          <t>ADID</t>
        </is>
      </c>
      <c r="J263" t="n">
        <v>157791</v>
      </c>
      <c r="K263" t="inlineStr"/>
      <c r="L263" t="inlineStr">
        <is>
          <t>否</t>
        </is>
      </c>
      <c r="M263" t="inlineStr">
        <is>
          <t>過去一年
l   購買過隱形眼鏡+藥水：眼藥水、保養液、舒潤液、人工淚液
l   購買過矽水膠品牌:愛爾康、嬌生、酷柏、帝康、美若康
來源：委刊單(Order) 第 265 列</t>
        </is>
      </c>
      <c r="N263" t="inlineStr">
        <is>
          <t>2026-05-18</t>
        </is>
      </c>
    </row>
    <row r="264">
      <c r="A264" t="inlineStr">
        <is>
          <t>ord_d96713d57938</t>
        </is>
      </c>
      <c r="B264" t="inlineStr"/>
      <c r="C264" t="inlineStr">
        <is>
          <t>廣告受眾包</t>
        </is>
      </c>
      <c r="D264" t="inlineStr"/>
      <c r="E264" t="inlineStr">
        <is>
          <t>OneAD</t>
        </is>
      </c>
      <c r="F264" t="inlineStr">
        <is>
          <t>交通(記帳)</t>
        </is>
      </c>
      <c r="G264" t="inlineStr">
        <is>
          <t>2025-03-04</t>
        </is>
      </c>
      <c r="H264" t="n">
        <v>2000</v>
      </c>
      <c r="I264" t="inlineStr">
        <is>
          <t>ADID</t>
        </is>
      </c>
      <c r="J264" t="n">
        <v>2000</v>
      </c>
      <c r="K264" t="inlineStr">
        <is>
          <t>2025-03-04</t>
        </is>
      </c>
      <c r="L264" t="inlineStr">
        <is>
          <t>否</t>
        </is>
      </c>
      <c r="M264" t="inlineStr">
        <is>
          <t>2000筆TPASS通勤月票記帳用戶
來源：委刊單(Order) 第 266 列</t>
        </is>
      </c>
      <c r="N264" t="inlineStr">
        <is>
          <t>2026-05-18</t>
        </is>
      </c>
    </row>
    <row r="265">
      <c r="A265" t="inlineStr">
        <is>
          <t>ord_349619e43d2f</t>
        </is>
      </c>
      <c r="B265" t="inlineStr"/>
      <c r="C265" t="inlineStr">
        <is>
          <t>問券調查</t>
        </is>
      </c>
      <c r="D265" t="inlineStr"/>
      <c r="E265" t="inlineStr">
        <is>
          <t>Nielson</t>
        </is>
      </c>
      <c r="F265" t="inlineStr">
        <is>
          <t>問券收集POC</t>
        </is>
      </c>
      <c r="G265" t="inlineStr">
        <is>
          <t>2025-03-05</t>
        </is>
      </c>
      <c r="H265" t="n">
        <v>30000</v>
      </c>
      <c r="I265" t="inlineStr">
        <is>
          <t>ADID</t>
        </is>
      </c>
      <c r="J265" t="n">
        <v>1000</v>
      </c>
      <c r="K265" t="inlineStr"/>
      <c r="L265" t="inlineStr">
        <is>
          <t>否</t>
        </is>
      </c>
      <c r="M265" t="inlineStr">
        <is>
          <t>-3/12-3/14 收集
1.7-11 啤酒類別 500份發票描述及Barcode
2.康是美 洗面乳 500份發票描述及Barcode
來源：委刊單(Order) 第 267 列</t>
        </is>
      </c>
      <c r="N265" t="inlineStr">
        <is>
          <t>2026-05-18</t>
        </is>
      </c>
    </row>
    <row r="266">
      <c r="A266" t="inlineStr">
        <is>
          <t>ord_1756b39e5be9</t>
        </is>
      </c>
      <c r="B266" t="inlineStr"/>
      <c r="C266" t="inlineStr">
        <is>
          <t>廣告受眾包</t>
        </is>
      </c>
      <c r="D266" t="inlineStr"/>
      <c r="E266" t="inlineStr">
        <is>
          <t>TenMax</t>
        </is>
      </c>
      <c r="F266" t="inlineStr">
        <is>
          <t>環亞電訊</t>
        </is>
      </c>
      <c r="G266" t="inlineStr">
        <is>
          <t>2025-03-07</t>
        </is>
      </c>
      <c r="H266" t="n">
        <v>0</v>
      </c>
      <c r="I266" t="inlineStr">
        <is>
          <t>ADID</t>
        </is>
      </c>
      <c r="J266" t="n">
        <v>61500</v>
      </c>
      <c r="K266" t="inlineStr"/>
      <c r="L266" t="inlineStr">
        <is>
          <t>否</t>
        </is>
      </c>
      <c r="M266" t="inlineStr">
        <is>
          <t>專案名稱：環亞電訊
訂單編號：PB250011
來源：委刊單(Order) 第 268 列</t>
        </is>
      </c>
      <c r="N266" t="inlineStr">
        <is>
          <t>2026-05-18</t>
        </is>
      </c>
    </row>
    <row r="267">
      <c r="A267" t="inlineStr">
        <is>
          <t>ord_10d0b7e01060</t>
        </is>
      </c>
      <c r="B267" t="inlineStr"/>
      <c r="C267" t="inlineStr">
        <is>
          <t>廣告受眾包</t>
        </is>
      </c>
      <c r="D267" t="inlineStr"/>
      <c r="E267" t="inlineStr">
        <is>
          <t>TenMax</t>
        </is>
      </c>
      <c r="F267" t="inlineStr">
        <is>
          <t>VONO</t>
        </is>
      </c>
      <c r="G267" t="inlineStr">
        <is>
          <t>2025-03-07</t>
        </is>
      </c>
      <c r="H267" t="n">
        <v>0</v>
      </c>
      <c r="I267" t="inlineStr">
        <is>
          <t>ADID</t>
        </is>
      </c>
      <c r="J267" t="n">
        <v>33000</v>
      </c>
      <c r="K267" t="inlineStr"/>
      <c r="L267" t="inlineStr">
        <is>
          <t>否</t>
        </is>
      </c>
      <c r="M267" t="inlineStr">
        <is>
          <t>專案名稱：VONO 3月OTT
訂單編號：PB2500123
來源：委刊單(Order) 第 269 列</t>
        </is>
      </c>
      <c r="N267" t="inlineStr">
        <is>
          <t>2026-05-18</t>
        </is>
      </c>
    </row>
    <row r="268">
      <c r="A268" t="inlineStr">
        <is>
          <t>ord_79c37960934f</t>
        </is>
      </c>
      <c r="B268" t="inlineStr"/>
      <c r="C268" t="inlineStr">
        <is>
          <t>廣告受眾包</t>
        </is>
      </c>
      <c r="D268" t="inlineStr"/>
      <c r="E268" t="inlineStr">
        <is>
          <t>TenMax</t>
        </is>
      </c>
      <c r="F268" t="inlineStr">
        <is>
          <t>AGF咖啡</t>
        </is>
      </c>
      <c r="G268" t="inlineStr">
        <is>
          <t>2025-03-07</t>
        </is>
      </c>
      <c r="H268" t="n">
        <v>0</v>
      </c>
      <c r="I268" t="inlineStr">
        <is>
          <t>ADID</t>
        </is>
      </c>
      <c r="J268" t="n">
        <v>9600</v>
      </c>
      <c r="K268" t="inlineStr"/>
      <c r="L268" t="inlineStr">
        <is>
          <t>否</t>
        </is>
      </c>
      <c r="M268" t="inlineStr">
        <is>
          <t>專案名稱：AGF咖啡3月OTT
訂單編號：PB2500121
來源：委刊單(Order) 第 270 列</t>
        </is>
      </c>
      <c r="N268" t="inlineStr">
        <is>
          <t>2026-05-18</t>
        </is>
      </c>
    </row>
    <row r="269">
      <c r="A269" t="inlineStr">
        <is>
          <t>ord_260406dbfe97</t>
        </is>
      </c>
      <c r="B269" t="inlineStr"/>
      <c r="C269" t="inlineStr">
        <is>
          <t>廣告受眾包</t>
        </is>
      </c>
      <c r="D269" t="inlineStr"/>
      <c r="E269" t="inlineStr">
        <is>
          <t>TenMax</t>
        </is>
      </c>
      <c r="F269" t="inlineStr">
        <is>
          <t>烹大師</t>
        </is>
      </c>
      <c r="G269" t="inlineStr">
        <is>
          <t>2025-03-07</t>
        </is>
      </c>
      <c r="H269" t="n">
        <v>0</v>
      </c>
      <c r="I269" t="inlineStr">
        <is>
          <t>ADID</t>
        </is>
      </c>
      <c r="J269" t="n">
        <v>30000</v>
      </c>
      <c r="K269" t="inlineStr"/>
      <c r="L269" t="inlineStr">
        <is>
          <t>否</t>
        </is>
      </c>
      <c r="M269" t="inlineStr">
        <is>
          <t>專案名稱：烹大師3月OTT
訂單編號：PB2500122
來源：委刊單(Order) 第 271 列</t>
        </is>
      </c>
      <c r="N269" t="inlineStr">
        <is>
          <t>2026-05-18</t>
        </is>
      </c>
    </row>
    <row r="270">
      <c r="A270" t="inlineStr">
        <is>
          <t>ord_d8c4b26cb94a</t>
        </is>
      </c>
      <c r="B270" t="inlineStr"/>
      <c r="C270" t="inlineStr">
        <is>
          <t>廣告受眾包</t>
        </is>
      </c>
      <c r="D270" t="inlineStr"/>
      <c r="E270" t="inlineStr">
        <is>
          <t>Appier</t>
        </is>
      </c>
      <c r="F270" t="inlineStr">
        <is>
          <t>金融產業</t>
        </is>
      </c>
      <c r="G270" t="inlineStr">
        <is>
          <t>2025-03-07</t>
        </is>
      </c>
      <c r="H270" t="n">
        <v>20000</v>
      </c>
      <c r="I270" t="inlineStr">
        <is>
          <t>ADID</t>
        </is>
      </c>
      <c r="J270" t="n">
        <v>20000</v>
      </c>
      <c r="K270" t="inlineStr">
        <is>
          <t>2025-03-10</t>
        </is>
      </c>
      <c r="L270" t="inlineStr">
        <is>
          <t>否</t>
        </is>
      </c>
      <c r="M270" t="inlineStr">
        <is>
          <t>來源：委刊單(Order) 第 272 列</t>
        </is>
      </c>
      <c r="N270" t="inlineStr">
        <is>
          <t>2026-05-18</t>
        </is>
      </c>
    </row>
    <row r="271">
      <c r="A271" t="inlineStr">
        <is>
          <t>ord_7a28358823be</t>
        </is>
      </c>
      <c r="B271" t="inlineStr"/>
      <c r="C271" t="inlineStr">
        <is>
          <t>廣告受眾包</t>
        </is>
      </c>
      <c r="D271" t="inlineStr"/>
      <c r="E271" t="inlineStr">
        <is>
          <t>電通</t>
        </is>
      </c>
      <c r="F271" t="inlineStr">
        <is>
          <t>保濕防曬</t>
        </is>
      </c>
      <c r="G271" t="inlineStr">
        <is>
          <t>2025-03-11</t>
        </is>
      </c>
      <c r="H271" t="n">
        <v>50000</v>
      </c>
      <c r="I271" t="inlineStr">
        <is>
          <t>ADID</t>
        </is>
      </c>
      <c r="J271" t="n">
        <v>304123</v>
      </c>
      <c r="K271" t="inlineStr"/>
      <c r="L271" t="inlineStr">
        <is>
          <t>否</t>
        </is>
      </c>
      <c r="M271" t="inlineStr">
        <is>
          <t>1.過去一年購買過下列品牌的消費者 (保濕)-2 +舒特膚
2.過去一年購買過下列品牌的消費者 (臉部防曬隔離)+舒特膚/Bioré /曼秀雷敦
來源：委刊單(Order) 第 273 列</t>
        </is>
      </c>
      <c r="N271" t="inlineStr">
        <is>
          <t>2026-05-18</t>
        </is>
      </c>
    </row>
    <row r="272">
      <c r="A272" t="inlineStr">
        <is>
          <t>ord_777b0811ef4c</t>
        </is>
      </c>
      <c r="B272" t="inlineStr"/>
      <c r="C272" t="inlineStr">
        <is>
          <t>廣告受眾包</t>
        </is>
      </c>
      <c r="D272" t="inlineStr"/>
      <c r="E272" t="inlineStr">
        <is>
          <t>Appier</t>
        </is>
      </c>
      <c r="F272" t="inlineStr">
        <is>
          <t>寵物產業</t>
        </is>
      </c>
      <c r="G272" t="inlineStr">
        <is>
          <t>2025-03-11</t>
        </is>
      </c>
      <c r="H272" t="n">
        <v>20000</v>
      </c>
      <c r="I272" t="inlineStr">
        <is>
          <t>ADID</t>
        </is>
      </c>
      <c r="J272" t="n">
        <v>20000</v>
      </c>
      <c r="K272" t="inlineStr">
        <is>
          <t>2025-03-11</t>
        </is>
      </c>
      <c r="L272" t="inlineStr">
        <is>
          <t>否</t>
        </is>
      </c>
      <c r="M272" t="inlineStr">
        <is>
          <t>來源：委刊單(Order) 第 274 列</t>
        </is>
      </c>
      <c r="N272" t="inlineStr">
        <is>
          <t>2026-05-18</t>
        </is>
      </c>
    </row>
    <row r="273">
      <c r="A273" t="inlineStr">
        <is>
          <t>ord_0e9e75df9d1c</t>
        </is>
      </c>
      <c r="B273" t="inlineStr"/>
      <c r="C273" t="inlineStr">
        <is>
          <t>廣告受眾包</t>
        </is>
      </c>
      <c r="D273" t="inlineStr"/>
      <c r="E273" t="inlineStr">
        <is>
          <t>Appier</t>
        </is>
      </c>
      <c r="F273" t="inlineStr">
        <is>
          <t>手機產業</t>
        </is>
      </c>
      <c r="G273" t="inlineStr">
        <is>
          <t>2025-03-12</t>
        </is>
      </c>
      <c r="H273" t="n">
        <v>20000</v>
      </c>
      <c r="I273" t="inlineStr">
        <is>
          <t>ADID</t>
        </is>
      </c>
      <c r="J273" t="n">
        <v>20000</v>
      </c>
      <c r="K273" t="inlineStr">
        <is>
          <t>2025-03-12</t>
        </is>
      </c>
      <c r="L273" t="inlineStr">
        <is>
          <t>否</t>
        </is>
      </c>
      <c r="M273" t="inlineStr">
        <is>
          <t>來源：委刊單(Order) 第 275 列</t>
        </is>
      </c>
      <c r="N273" t="inlineStr">
        <is>
          <t>2026-05-18</t>
        </is>
      </c>
    </row>
    <row r="274">
      <c r="A274" t="inlineStr">
        <is>
          <t>ord_d2b3cb5aac91</t>
        </is>
      </c>
      <c r="B274" t="inlineStr"/>
      <c r="C274" t="inlineStr">
        <is>
          <t>廣告受眾包</t>
        </is>
      </c>
      <c r="D274" t="inlineStr"/>
      <c r="E274" t="inlineStr">
        <is>
          <t>Cacafly</t>
        </is>
      </c>
      <c r="F274" t="inlineStr">
        <is>
          <t>航空免稅店</t>
        </is>
      </c>
      <c r="G274" t="inlineStr">
        <is>
          <t>2025-03-14</t>
        </is>
      </c>
      <c r="H274" t="n">
        <v>80000</v>
      </c>
      <c r="I274" t="inlineStr">
        <is>
          <t>ADID</t>
        </is>
      </c>
      <c r="J274" t="n">
        <v>99721</v>
      </c>
      <c r="K274" t="inlineStr">
        <is>
          <t>2025-03-17</t>
        </is>
      </c>
      <c r="L274" t="inlineStr">
        <is>
          <t>否</t>
        </is>
      </c>
      <c r="M274" t="inlineStr">
        <is>
          <t>a. 3個月內購買網卡/esim/wifi機（25-60女性）
b. 3個月內購買過行李箱/行李秤/行李束帶/萬用插頭等商品（25-60女性）
c. 1年內有在機場消費且在百貨購買彩妝保養商品（25-60女性）
d. 1年內買過專櫃品牌彩妝保養商品，但非透過百貨通路購買（30-50 女性）
e. 1年內買過長榮航空聯名或相關商品（25-60女性）
來源：委刊單(Order) 第 276 列</t>
        </is>
      </c>
      <c r="N274" t="inlineStr">
        <is>
          <t>2026-05-18</t>
        </is>
      </c>
    </row>
    <row r="275">
      <c r="A275" t="inlineStr">
        <is>
          <t>ord_e6c1a33bfe2a</t>
        </is>
      </c>
      <c r="B275" t="inlineStr"/>
      <c r="C275" t="inlineStr">
        <is>
          <t>廣告受眾包</t>
        </is>
      </c>
      <c r="D275" t="inlineStr"/>
      <c r="E275" t="inlineStr">
        <is>
          <t>Appier</t>
        </is>
      </c>
      <c r="F275" t="inlineStr">
        <is>
          <t>旅遊產業</t>
        </is>
      </c>
      <c r="G275" t="inlineStr">
        <is>
          <t>2025-03-17</t>
        </is>
      </c>
      <c r="H275" t="n">
        <v>10000</v>
      </c>
      <c r="I275" t="inlineStr">
        <is>
          <t>ADID</t>
        </is>
      </c>
      <c r="J275" t="n">
        <v>10000</v>
      </c>
      <c r="K275" t="inlineStr">
        <is>
          <t>2025-03-17</t>
        </is>
      </c>
      <c r="L275" t="inlineStr">
        <is>
          <t>否</t>
        </is>
      </c>
      <c r="M275" t="inlineStr">
        <is>
          <t>來源：委刊單(Order) 第 277 列</t>
        </is>
      </c>
      <c r="N275" t="inlineStr">
        <is>
          <t>2026-05-18</t>
        </is>
      </c>
    </row>
    <row r="276">
      <c r="A276" t="inlineStr">
        <is>
          <t>ord_58e2843a4ad8</t>
        </is>
      </c>
      <c r="B276" t="inlineStr"/>
      <c r="C276" t="inlineStr">
        <is>
          <t>廣告受眾包</t>
        </is>
      </c>
      <c r="D276" t="inlineStr"/>
      <c r="E276" t="inlineStr">
        <is>
          <t>Appier</t>
        </is>
      </c>
      <c r="F276" t="inlineStr">
        <is>
          <t>FMCG</t>
        </is>
      </c>
      <c r="G276" t="inlineStr">
        <is>
          <t>2025-03-20</t>
        </is>
      </c>
      <c r="H276" t="n">
        <v>20000</v>
      </c>
      <c r="I276" t="inlineStr">
        <is>
          <t>ADID</t>
        </is>
      </c>
      <c r="J276" t="n">
        <v>20000</v>
      </c>
      <c r="K276" t="inlineStr">
        <is>
          <t>2025-03-20</t>
        </is>
      </c>
      <c r="L276" t="inlineStr">
        <is>
          <t>否</t>
        </is>
      </c>
      <c r="M276" t="inlineStr">
        <is>
          <t>來源：委刊單(Order) 第 278 列</t>
        </is>
      </c>
      <c r="N276" t="inlineStr">
        <is>
          <t>2026-05-18</t>
        </is>
      </c>
    </row>
    <row r="277">
      <c r="A277" t="inlineStr">
        <is>
          <t>ord_3c2a7016a887</t>
        </is>
      </c>
      <c r="B277" t="inlineStr"/>
      <c r="C277" t="inlineStr">
        <is>
          <t>廣告受眾包</t>
        </is>
      </c>
      <c r="D277" t="inlineStr"/>
      <c r="E277" t="inlineStr">
        <is>
          <t>電通</t>
        </is>
      </c>
      <c r="F277" t="inlineStr">
        <is>
          <t>incellderm</t>
        </is>
      </c>
      <c r="G277" t="inlineStr">
        <is>
          <t>2025-03-24</t>
        </is>
      </c>
      <c r="H277" t="n">
        <v>50000</v>
      </c>
      <c r="I277" t="inlineStr">
        <is>
          <t>ADID</t>
        </is>
      </c>
      <c r="J277" t="n">
        <v>1284204</v>
      </c>
      <c r="K277" t="inlineStr">
        <is>
          <t>2025-04-08</t>
        </is>
      </c>
      <c r="L277" t="inlineStr">
        <is>
          <t>否</t>
        </is>
      </c>
      <c r="M277" t="inlineStr">
        <is>
          <t>以下聯集
-            競品：愛茉莉太平洋集團內產品Sulwhasoo、 innisfree、LANEIGE、ETUDE、呂(Ryo)、魅尚萱(mise en scène)、Illiyoon
-            產品： 精華液、面膜、乳液、髮品、化妝水
-            生活圈消費：飯店、精品店、瑜珈、頂級Spa、Fine Dining、美術館、當代藝廊、咖啡廳、電影院、設計師家俱店
來源：委刊單(Order) 第 279 列</t>
        </is>
      </c>
      <c r="N277" t="inlineStr">
        <is>
          <t>2026-05-18</t>
        </is>
      </c>
    </row>
    <row r="278">
      <c r="A278" t="inlineStr">
        <is>
          <t>ord_574fbbec46f8</t>
        </is>
      </c>
      <c r="B278" t="inlineStr"/>
      <c r="C278" t="inlineStr">
        <is>
          <t>廣告受眾包</t>
        </is>
      </c>
      <c r="D278" t="inlineStr"/>
      <c r="E278" t="inlineStr">
        <is>
          <t>Gosky</t>
        </is>
      </c>
      <c r="F278" t="inlineStr">
        <is>
          <t>房地產</t>
        </is>
      </c>
      <c r="G278" t="inlineStr">
        <is>
          <t>2025-03-21</t>
        </is>
      </c>
      <c r="H278" t="n">
        <v>10000</v>
      </c>
      <c r="I278" t="inlineStr">
        <is>
          <t>ADID</t>
        </is>
      </c>
      <c r="J278" t="n">
        <v>10000</v>
      </c>
      <c r="K278" t="inlineStr">
        <is>
          <t>2025-03-22</t>
        </is>
      </c>
      <c r="L278" t="inlineStr">
        <is>
          <t>否</t>
        </is>
      </c>
      <c r="M278" t="inlineStr">
        <is>
          <t>來源：委刊單(Order) 第 280 列</t>
        </is>
      </c>
      <c r="N278" t="inlineStr">
        <is>
          <t>2026-05-18</t>
        </is>
      </c>
    </row>
    <row r="279">
      <c r="A279" t="inlineStr">
        <is>
          <t>ord_a926fdc94567</t>
        </is>
      </c>
      <c r="B279" t="inlineStr"/>
      <c r="C279" t="inlineStr">
        <is>
          <t>廣告受眾包</t>
        </is>
      </c>
      <c r="D279" t="inlineStr"/>
      <c r="E279" t="inlineStr">
        <is>
          <t>其他(品牌自操)</t>
        </is>
      </c>
      <c r="F279" t="inlineStr">
        <is>
          <t>中化健康生技</t>
        </is>
      </c>
      <c r="G279" t="inlineStr">
        <is>
          <t>2025-04-02</t>
        </is>
      </c>
      <c r="H279" t="n">
        <v>0</v>
      </c>
      <c r="I279" t="inlineStr">
        <is>
          <t>主題受眾包</t>
        </is>
      </c>
      <c r="J279" t="n">
        <v>0</v>
      </c>
      <c r="K279" t="inlineStr">
        <is>
          <t>2025-04-02</t>
        </is>
      </c>
      <c r="L279" t="inlineStr">
        <is>
          <t>是</t>
        </is>
      </c>
      <c r="M279" t="inlineStr">
        <is>
          <t>2. 高消費保健養身族
來源：委刊單(Order) 第 282 列</t>
        </is>
      </c>
      <c r="N279" t="inlineStr">
        <is>
          <t>2026-05-18</t>
        </is>
      </c>
    </row>
    <row r="280">
      <c r="A280" t="inlineStr">
        <is>
          <t>ord_77f988758fc4</t>
        </is>
      </c>
      <c r="B280" t="inlineStr"/>
      <c r="C280" t="inlineStr">
        <is>
          <t>廣告受眾包</t>
        </is>
      </c>
      <c r="D280" t="inlineStr"/>
      <c r="E280" t="inlineStr">
        <is>
          <t>Appier</t>
        </is>
      </c>
      <c r="F280" t="inlineStr">
        <is>
          <t>寶可夢</t>
        </is>
      </c>
      <c r="G280" t="inlineStr">
        <is>
          <t>2025-04-02</t>
        </is>
      </c>
      <c r="H280" t="n">
        <v>20000</v>
      </c>
      <c r="I280" t="inlineStr">
        <is>
          <t>ADID</t>
        </is>
      </c>
      <c r="J280" t="n">
        <v>20000</v>
      </c>
      <c r="K280" t="inlineStr">
        <is>
          <t>2025-04-02</t>
        </is>
      </c>
      <c r="L280" t="inlineStr">
        <is>
          <t>否</t>
        </is>
      </c>
      <c r="M280" t="inlineStr">
        <is>
          <t>來源：委刊單(Order) 第 283 列</t>
        </is>
      </c>
      <c r="N280" t="inlineStr">
        <is>
          <t>2026-05-18</t>
        </is>
      </c>
    </row>
    <row r="281">
      <c r="A281" t="inlineStr">
        <is>
          <t>ord_5330a260349d</t>
        </is>
      </c>
      <c r="B281" t="inlineStr"/>
      <c r="C281" t="inlineStr">
        <is>
          <t>廣告受眾包</t>
        </is>
      </c>
      <c r="D281" t="inlineStr"/>
      <c r="E281" t="inlineStr">
        <is>
          <t>Appier</t>
        </is>
      </c>
      <c r="F281" t="inlineStr">
        <is>
          <t>三麗鷗</t>
        </is>
      </c>
      <c r="G281" t="inlineStr">
        <is>
          <t>2025-04-07</t>
        </is>
      </c>
      <c r="H281" t="n">
        <v>10000</v>
      </c>
      <c r="I281" t="inlineStr">
        <is>
          <t>ADID</t>
        </is>
      </c>
      <c r="J281" t="n">
        <v>10000</v>
      </c>
      <c r="K281" t="inlineStr">
        <is>
          <t>2025-04-07</t>
        </is>
      </c>
      <c r="L281" t="inlineStr">
        <is>
          <t>否</t>
        </is>
      </c>
      <c r="M281" t="inlineStr">
        <is>
          <t>半年內有購買三麗鷗的用戶發票data
來源：委刊單(Order) 第 284 列</t>
        </is>
      </c>
      <c r="N281" t="inlineStr">
        <is>
          <t>2026-05-18</t>
        </is>
      </c>
    </row>
    <row r="282">
      <c r="A282" t="inlineStr">
        <is>
          <t>ord_ffa9890ef33b</t>
        </is>
      </c>
      <c r="B282" t="inlineStr"/>
      <c r="C282" t="inlineStr">
        <is>
          <t>廣告受眾包</t>
        </is>
      </c>
      <c r="D282" t="inlineStr"/>
      <c r="E282" t="inlineStr">
        <is>
          <t>Appier</t>
        </is>
      </c>
      <c r="F282" t="inlineStr">
        <is>
          <t>機車</t>
        </is>
      </c>
      <c r="G282" t="inlineStr">
        <is>
          <t>2025-04-08</t>
        </is>
      </c>
      <c r="H282" t="n">
        <v>20000</v>
      </c>
      <c r="I282" t="inlineStr">
        <is>
          <t>ADID</t>
        </is>
      </c>
      <c r="J282" t="n">
        <v>20000</v>
      </c>
      <c r="K282" t="inlineStr">
        <is>
          <t>2025-04-09</t>
        </is>
      </c>
      <c r="L282" t="inlineStr">
        <is>
          <t>否</t>
        </is>
      </c>
      <c r="M282" t="inlineStr">
        <is>
          <t>發票數據（10,000筆）
- 近半年有購買商品關鍵字: 滑板車, 機車安全帽, 輪胎, 機車相關配件
- 近半年有小額加油費用
發票數據: （10,000筆）
近半年購買商品類別 / 關鍵字: - 韓國彩妝保養品品牌、K-pop - 影音平台訂閱 - 夜店、居酒屋、酒吧 - 泡泡馬特、Labubu、哭娃 - 交友軟體App內購買
來源：委刊單(Order) 第 285 列</t>
        </is>
      </c>
      <c r="N282" t="inlineStr">
        <is>
          <t>2026-05-18</t>
        </is>
      </c>
    </row>
    <row r="283">
      <c r="A283" t="inlineStr">
        <is>
          <t>ord_0951b01ce96b</t>
        </is>
      </c>
      <c r="B283" t="inlineStr"/>
      <c r="C283" t="inlineStr">
        <is>
          <t>廣告受眾包</t>
        </is>
      </c>
      <c r="D283" t="inlineStr"/>
      <c r="E283" t="inlineStr">
        <is>
          <t>蒔間</t>
        </is>
      </c>
      <c r="F283" t="inlineStr">
        <is>
          <t>寶雅通路</t>
        </is>
      </c>
      <c r="G283" t="inlineStr">
        <is>
          <t>2025-04-09</t>
        </is>
      </c>
      <c r="H283" t="n">
        <v>20000</v>
      </c>
      <c r="I283" t="inlineStr">
        <is>
          <t>ADID</t>
        </is>
      </c>
      <c r="J283" t="n">
        <v>476108</v>
      </c>
      <c r="K283" t="inlineStr">
        <is>
          <t>2025-04-09</t>
        </is>
      </c>
      <c r="L283" t="inlineStr">
        <is>
          <t>否</t>
        </is>
      </c>
      <c r="M283" t="inlineStr">
        <is>
          <t>近三個月寶雅女性
來源：委刊單(Order) 第 286 列</t>
        </is>
      </c>
      <c r="N283" t="inlineStr">
        <is>
          <t>2026-05-18</t>
        </is>
      </c>
    </row>
    <row r="284">
      <c r="A284" t="inlineStr">
        <is>
          <t>ord_a5fdd7f33f2d</t>
        </is>
      </c>
      <c r="B284" t="inlineStr"/>
      <c r="C284" t="inlineStr">
        <is>
          <t>廣告受眾包</t>
        </is>
      </c>
      <c r="D284" t="inlineStr"/>
      <c r="E284" t="inlineStr">
        <is>
          <t>其他(品牌自操)</t>
        </is>
      </c>
      <c r="F284" t="inlineStr">
        <is>
          <t>翡麗嘉鉑</t>
        </is>
      </c>
      <c r="G284" t="inlineStr">
        <is>
          <t>2025-04-11</t>
        </is>
      </c>
      <c r="H284" t="n">
        <v>5000</v>
      </c>
      <c r="I284" t="inlineStr">
        <is>
          <t>ADID</t>
        </is>
      </c>
      <c r="J284" t="n">
        <v>10000</v>
      </c>
      <c r="K284" t="inlineStr">
        <is>
          <t>2025-04-11</t>
        </is>
      </c>
      <c r="L284" t="inlineStr">
        <is>
          <t>否</t>
        </is>
      </c>
      <c r="M284" t="inlineStr">
        <is>
          <t>珠寶
來源：委刊單(Order) 第 287 列</t>
        </is>
      </c>
      <c r="N284" t="inlineStr">
        <is>
          <t>2026-05-18</t>
        </is>
      </c>
    </row>
    <row r="285">
      <c r="A285" t="inlineStr">
        <is>
          <t>ord_fc26f5cb2c24</t>
        </is>
      </c>
      <c r="B285" t="inlineStr"/>
      <c r="C285" t="inlineStr">
        <is>
          <t>廣告受眾包</t>
        </is>
      </c>
      <c r="D285" t="inlineStr"/>
      <c r="E285" t="inlineStr">
        <is>
          <t>TenMax</t>
        </is>
      </c>
      <c r="F285" t="inlineStr">
        <is>
          <t>Tefal</t>
        </is>
      </c>
      <c r="G285" t="inlineStr">
        <is>
          <t>2025-04-11</t>
        </is>
      </c>
      <c r="H285" t="n">
        <v>3300</v>
      </c>
      <c r="I285" t="inlineStr">
        <is>
          <t>ADID</t>
        </is>
      </c>
      <c r="J285" t="n">
        <v>33000</v>
      </c>
      <c r="K285" t="inlineStr">
        <is>
          <t>2025-04-11</t>
        </is>
      </c>
      <c r="L285" t="inlineStr">
        <is>
          <t>否</t>
        </is>
      </c>
      <c r="M285" t="inlineStr">
        <is>
          <t>專案名稱：Tefal 代言人_TenMax RichMedia Ads_2504
訂單編號：PB2500198
來源：委刊單(Order) 第 288 列</t>
        </is>
      </c>
      <c r="N285" t="inlineStr">
        <is>
          <t>2026-05-18</t>
        </is>
      </c>
    </row>
    <row r="286">
      <c r="A286" t="inlineStr">
        <is>
          <t>ord_2220563219a0</t>
        </is>
      </c>
      <c r="B286" t="inlineStr"/>
      <c r="C286" t="inlineStr">
        <is>
          <t>廣告受眾包</t>
        </is>
      </c>
      <c r="D286" t="inlineStr"/>
      <c r="E286" t="inlineStr">
        <is>
          <t>電通</t>
        </is>
      </c>
      <c r="F286" t="inlineStr">
        <is>
          <t>母親節專案</t>
        </is>
      </c>
      <c r="G286" t="inlineStr">
        <is>
          <t>2025-04-16</t>
        </is>
      </c>
      <c r="H286" t="n">
        <v>50000</v>
      </c>
      <c r="I286" t="inlineStr">
        <is>
          <t>ADID</t>
        </is>
      </c>
      <c r="J286" t="n">
        <v>189218</v>
      </c>
      <c r="K286" t="inlineStr">
        <is>
          <t>2025-04-17</t>
        </is>
      </c>
      <c r="L286" t="inlineStr">
        <is>
          <t>否</t>
        </is>
      </c>
      <c r="M286" t="inlineStr">
        <is>
          <t>專案名稱：母親節高消費潛力(母親節期間有消費計畫的高價值客群)
來源：委刊單(Order) 第 289 列</t>
        </is>
      </c>
      <c r="N286" t="inlineStr">
        <is>
          <t>2026-05-18</t>
        </is>
      </c>
    </row>
    <row r="287">
      <c r="A287" t="inlineStr">
        <is>
          <t>ord_07e7a0cde489</t>
        </is>
      </c>
      <c r="B287" t="inlineStr"/>
      <c r="C287" t="inlineStr">
        <is>
          <t>廣告受眾包</t>
        </is>
      </c>
      <c r="D287" t="inlineStr"/>
      <c r="E287" t="inlineStr">
        <is>
          <t>Appier</t>
        </is>
      </c>
      <c r="F287" t="inlineStr">
        <is>
          <t>麥當勞</t>
        </is>
      </c>
      <c r="G287" t="inlineStr">
        <is>
          <t>2025-04-17</t>
        </is>
      </c>
      <c r="H287" t="n">
        <v>20000</v>
      </c>
      <c r="I287" t="inlineStr">
        <is>
          <t>ADID</t>
        </is>
      </c>
      <c r="J287" t="n">
        <v>20000</v>
      </c>
      <c r="K287" t="inlineStr">
        <is>
          <t>2025-04-18</t>
        </is>
      </c>
      <c r="L287" t="inlineStr">
        <is>
          <t>否</t>
        </is>
      </c>
      <c r="M287" t="inlineStr">
        <is>
          <t>發票數據（10,000筆）
- 近半年有購買商品關鍵字: 滑板車, 機車安全帽, 輪胎, 機車相關配件
- 近半年有小額加油費用
發票數據: （10,000筆）
近半年購買商品類別 / 關鍵字: - 韓國彩妝保養品品牌、K-pop - 影音平台訂閱 - 夜店、居酒屋、酒吧 - 泡泡馬特、Labubu、哭娃 - 交友軟體App內購買
來源：委刊單(Order) 第 290 列</t>
        </is>
      </c>
      <c r="N287" t="inlineStr">
        <is>
          <t>2026-05-18</t>
        </is>
      </c>
    </row>
    <row r="288">
      <c r="A288" t="inlineStr">
        <is>
          <t>ord_ed8558bf9f71</t>
        </is>
      </c>
      <c r="B288" t="inlineStr"/>
      <c r="C288" t="inlineStr">
        <is>
          <t>廣告受眾包</t>
        </is>
      </c>
      <c r="D288" t="inlineStr"/>
      <c r="E288" t="inlineStr">
        <is>
          <t>電通</t>
        </is>
      </c>
      <c r="F288" t="inlineStr">
        <is>
          <t>孕婦食用營養品</t>
        </is>
      </c>
      <c r="G288" t="inlineStr">
        <is>
          <t>2025-04-18</t>
        </is>
      </c>
      <c r="H288" t="n">
        <v>40000</v>
      </c>
      <c r="I288" t="inlineStr">
        <is>
          <t>ADID</t>
        </is>
      </c>
      <c r="J288" t="n">
        <v>44823</v>
      </c>
      <c r="K288" t="inlineStr">
        <is>
          <t>2025-04-18</t>
        </is>
      </c>
      <c r="L288" t="inlineStr">
        <is>
          <t>否</t>
        </is>
      </c>
      <c r="M288" t="inlineStr">
        <is>
          <t>專案名稱：孕婦食用營養品(購買指定品牌維他命、葉酸聯集)
來源：委刊單(Order) 第 291 列</t>
        </is>
      </c>
      <c r="N288" t="inlineStr">
        <is>
          <t>2026-05-18</t>
        </is>
      </c>
    </row>
    <row r="289">
      <c r="A289" t="inlineStr">
        <is>
          <t>ord_2c4734551f89</t>
        </is>
      </c>
      <c r="B289" t="inlineStr"/>
      <c r="C289" t="inlineStr">
        <is>
          <t>廣告受眾包</t>
        </is>
      </c>
      <c r="D289" t="inlineStr"/>
      <c r="E289" t="inlineStr">
        <is>
          <t>電通</t>
        </is>
      </c>
      <c r="F289" t="inlineStr">
        <is>
          <t>Suntory歐肯</t>
        </is>
      </c>
      <c r="G289" t="inlineStr">
        <is>
          <t>2025-04-21</t>
        </is>
      </c>
      <c r="H289" t="n">
        <v>30000</v>
      </c>
      <c r="I289" t="inlineStr">
        <is>
          <t>ADID</t>
        </is>
      </c>
      <c r="J289" t="n">
        <v>128071</v>
      </c>
      <c r="K289" t="inlineStr">
        <is>
          <t>2025-04-21</t>
        </is>
      </c>
      <c r="L289" t="inlineStr">
        <is>
          <t>否</t>
        </is>
      </c>
      <c r="M289" t="inlineStr">
        <is>
          <t>專案名稱：Suntory歐肯(過去一年購買烈酒或威士忌但排
除指定品牌的重覆受眾 )
來源：委刊單(Order) 第 292 列</t>
        </is>
      </c>
      <c r="N289" t="inlineStr">
        <is>
          <t>2026-05-18</t>
        </is>
      </c>
    </row>
    <row r="290">
      <c r="A290" t="inlineStr">
        <is>
          <t>ord_dc62d31d3615</t>
        </is>
      </c>
      <c r="B290" t="inlineStr"/>
      <c r="C290" t="inlineStr">
        <is>
          <t>廣告受眾包</t>
        </is>
      </c>
      <c r="D290" t="inlineStr"/>
      <c r="E290" t="inlineStr">
        <is>
          <t>OneAD</t>
        </is>
      </c>
      <c r="F290" t="inlineStr">
        <is>
          <t>所得稅(記帳)</t>
        </is>
      </c>
      <c r="G290" t="inlineStr">
        <is>
          <t>2025-04-22</t>
        </is>
      </c>
      <c r="H290" t="n">
        <v>1000</v>
      </c>
      <c r="I290" t="inlineStr">
        <is>
          <t>ADID</t>
        </is>
      </c>
      <c r="J290" t="n">
        <v>1000</v>
      </c>
      <c r="K290" t="inlineStr">
        <is>
          <t>2025-04-23</t>
        </is>
      </c>
      <c r="L290" t="inlineStr">
        <is>
          <t>否</t>
        </is>
      </c>
      <c r="M290" t="inlineStr">
        <is>
          <t>1000筆有紀錄所得稅的用戶
來源：委刊單(Order) 第 293 列</t>
        </is>
      </c>
      <c r="N290" t="inlineStr">
        <is>
          <t>2026-05-18</t>
        </is>
      </c>
    </row>
    <row r="291">
      <c r="A291" t="inlineStr">
        <is>
          <t>ord_59b0d9204724</t>
        </is>
      </c>
      <c r="B291" t="inlineStr"/>
      <c r="C291" t="inlineStr">
        <is>
          <t>廣告受眾包</t>
        </is>
      </c>
      <c r="D291" t="inlineStr"/>
      <c r="E291" t="inlineStr">
        <is>
          <t>TenMax</t>
        </is>
      </c>
      <c r="F291" t="inlineStr">
        <is>
          <t>NATUZZI</t>
        </is>
      </c>
      <c r="G291" t="inlineStr">
        <is>
          <t>2025-04-18</t>
        </is>
      </c>
      <c r="H291" t="n">
        <v>6600</v>
      </c>
      <c r="I291" t="inlineStr">
        <is>
          <t>ADID</t>
        </is>
      </c>
      <c r="J291" t="n">
        <v>129000</v>
      </c>
      <c r="K291" t="inlineStr">
        <is>
          <t>2025-04-18</t>
        </is>
      </c>
      <c r="L291" t="inlineStr">
        <is>
          <t>否</t>
        </is>
      </c>
      <c r="M291" t="inlineStr">
        <is>
          <t>專案名稱：NATUZZI_TenMax RichMedia Ads_2504
訂單編號：PB2500221
來源：委刊單(Order) 第 294 列</t>
        </is>
      </c>
      <c r="N291" t="inlineStr">
        <is>
          <t>2026-05-18</t>
        </is>
      </c>
    </row>
    <row r="292">
      <c r="A292" t="inlineStr">
        <is>
          <t>ord_4f7412ede4ae</t>
        </is>
      </c>
      <c r="B292" t="inlineStr"/>
      <c r="C292" t="inlineStr">
        <is>
          <t>單次報告</t>
        </is>
      </c>
      <c r="D292" t="inlineStr"/>
      <c r="E292" t="inlineStr">
        <is>
          <t>LiTV</t>
        </is>
      </c>
      <c r="F292" t="inlineStr">
        <is>
          <t>啟賦</t>
        </is>
      </c>
      <c r="G292" t="inlineStr">
        <is>
          <t>2025-04-21</t>
        </is>
      </c>
      <c r="H292" t="n">
        <v>30000</v>
      </c>
      <c r="I292" t="inlineStr"/>
      <c r="J292" t="n">
        <v>0</v>
      </c>
      <c r="K292" t="inlineStr"/>
      <c r="L292" t="inlineStr">
        <is>
          <t>否</t>
        </is>
      </c>
      <c r="M292" t="inlineStr">
        <is>
          <t>延後至7/11交付, 8月份開發票
來源：委刊單(Order) 第 295 列</t>
        </is>
      </c>
      <c r="N292" t="inlineStr">
        <is>
          <t>2026-05-18</t>
        </is>
      </c>
    </row>
    <row r="293">
      <c r="A293" t="inlineStr">
        <is>
          <t>ord_2c8c5741c30d</t>
        </is>
      </c>
      <c r="B293" t="inlineStr"/>
      <c r="C293" t="inlineStr">
        <is>
          <t>廣告受眾包</t>
        </is>
      </c>
      <c r="D293" t="inlineStr"/>
      <c r="E293" t="inlineStr">
        <is>
          <t>網讚策略</t>
        </is>
      </c>
      <c r="F293" t="inlineStr">
        <is>
          <t>母親節、端午送禮</t>
        </is>
      </c>
      <c r="G293" t="inlineStr">
        <is>
          <t>2025-04-23</t>
        </is>
      </c>
      <c r="H293" t="n">
        <v>50000</v>
      </c>
      <c r="I293" t="inlineStr">
        <is>
          <t>ADID</t>
        </is>
      </c>
      <c r="J293" t="n">
        <v>62476</v>
      </c>
      <c r="K293" t="inlineStr">
        <is>
          <t>2025-04-23</t>
        </is>
      </c>
      <c r="L293" t="inlineStr">
        <is>
          <t>否</t>
        </is>
      </c>
      <c r="M293" t="inlineStr">
        <is>
          <t>專案名稱:母親節、端午送禮
過去一年春節禮盒、端午禮盒、中秋禮盒、父親節禮盒、母親節禮盒的受眾
來源：委刊單(Order) 第 296 列</t>
        </is>
      </c>
      <c r="N293" t="inlineStr">
        <is>
          <t>2026-05-18</t>
        </is>
      </c>
    </row>
    <row r="294">
      <c r="A294" t="inlineStr">
        <is>
          <t>ord_e95005a518af</t>
        </is>
      </c>
      <c r="B294" t="inlineStr"/>
      <c r="C294" t="inlineStr">
        <is>
          <t>廣告受眾包</t>
        </is>
      </c>
      <c r="D294" t="inlineStr"/>
      <c r="E294" t="inlineStr">
        <is>
          <t>永恆</t>
        </is>
      </c>
      <c r="F294" t="inlineStr">
        <is>
          <t>電動車</t>
        </is>
      </c>
      <c r="G294" t="inlineStr">
        <is>
          <t>2025-04-23</t>
        </is>
      </c>
      <c r="H294" t="n">
        <v>5000</v>
      </c>
      <c r="I294" t="inlineStr">
        <is>
          <t>ADID</t>
        </is>
      </c>
      <c r="J294" t="n">
        <v>17756</v>
      </c>
      <c r="K294" t="inlineStr">
        <is>
          <t>2025-04-24</t>
        </is>
      </c>
      <c r="L294" t="inlineStr">
        <is>
          <t>否</t>
        </is>
      </c>
      <c r="M294" t="inlineStr">
        <is>
          <t>來源：委刊單(Order) 第 297 列</t>
        </is>
      </c>
      <c r="N294" t="inlineStr">
        <is>
          <t>2026-05-18</t>
        </is>
      </c>
    </row>
    <row r="295">
      <c r="A295" t="inlineStr">
        <is>
          <t>ord_117029b1c424</t>
        </is>
      </c>
      <c r="B295" t="inlineStr"/>
      <c r="C295" t="inlineStr">
        <is>
          <t>廣告受眾包</t>
        </is>
      </c>
      <c r="D295" t="inlineStr"/>
      <c r="E295" t="inlineStr">
        <is>
          <t>Appier</t>
        </is>
      </c>
      <c r="F295" t="inlineStr">
        <is>
          <t>金融產業</t>
        </is>
      </c>
      <c r="G295" t="inlineStr">
        <is>
          <t>2025-04-25</t>
        </is>
      </c>
      <c r="H295" t="n">
        <v>20000</v>
      </c>
      <c r="I295" t="inlineStr">
        <is>
          <t>ADID</t>
        </is>
      </c>
      <c r="J295" t="n">
        <v>20000</v>
      </c>
      <c r="K295" t="inlineStr">
        <is>
          <t>2025-04-25</t>
        </is>
      </c>
      <c r="L295" t="inlineStr">
        <is>
          <t>否</t>
        </is>
      </c>
      <c r="M295" t="inlineStr">
        <is>
          <t>單筆消費高於5萬元的人
整月消費曾高於20萬元的人
來源：委刊單(Order) 第 298 列</t>
        </is>
      </c>
      <c r="N295" t="inlineStr">
        <is>
          <t>2026-05-18</t>
        </is>
      </c>
    </row>
    <row r="296">
      <c r="A296" t="inlineStr">
        <is>
          <t>ord_4fde3a507745</t>
        </is>
      </c>
      <c r="B296" t="inlineStr"/>
      <c r="C296" t="inlineStr">
        <is>
          <t>廣告受眾包</t>
        </is>
      </c>
      <c r="D296" t="inlineStr"/>
      <c r="E296" t="inlineStr">
        <is>
          <t>Appier</t>
        </is>
      </c>
      <c r="F296" t="inlineStr">
        <is>
          <t>咖啡愛好者</t>
        </is>
      </c>
      <c r="G296" t="inlineStr">
        <is>
          <t>2025-04-25</t>
        </is>
      </c>
      <c r="H296" t="n">
        <v>20000</v>
      </c>
      <c r="I296" t="inlineStr">
        <is>
          <t>ADID</t>
        </is>
      </c>
      <c r="J296" t="n">
        <v>20000</v>
      </c>
      <c r="K296" t="inlineStr">
        <is>
          <t>2025-04-28</t>
        </is>
      </c>
      <c r="L296" t="inlineStr">
        <is>
          <t>否</t>
        </is>
      </c>
      <c r="M296" t="inlineStr">
        <is>
          <t>1.過去三個月到超商或連鎖/非連鎖咖啡廰購買過現煮咖啡的人
2,LBS –過去一個月有造訪麥當勞的人 交集 all雲端發票買咖啡的用戶
來源：委刊單(Order) 第 299 列</t>
        </is>
      </c>
      <c r="N296" t="inlineStr">
        <is>
          <t>2026-05-18</t>
        </is>
      </c>
    </row>
    <row r="297">
      <c r="A297" t="inlineStr">
        <is>
          <t>ord_0978cd552b13</t>
        </is>
      </c>
      <c r="B297" t="inlineStr"/>
      <c r="C297" t="inlineStr">
        <is>
          <t>廣告受眾包</t>
        </is>
      </c>
      <c r="D297" t="inlineStr"/>
      <c r="E297" t="inlineStr">
        <is>
          <t>Cacafly</t>
        </is>
      </c>
      <c r="F297" t="inlineStr">
        <is>
          <t>汽車用品</t>
        </is>
      </c>
      <c r="G297" t="inlineStr">
        <is>
          <t>2025-04-25</t>
        </is>
      </c>
      <c r="H297" t="n">
        <v>15000</v>
      </c>
      <c r="I297" t="inlineStr">
        <is>
          <t>ADID</t>
        </is>
      </c>
      <c r="J297" t="n">
        <v>50000</v>
      </c>
      <c r="K297" t="inlineStr">
        <is>
          <t>2025-06-20</t>
        </is>
      </c>
      <c r="L297" t="inlineStr">
        <is>
          <t>否</t>
        </is>
      </c>
      <c r="M297" t="inlineStr">
        <is>
          <t>6/20調整受眾包內容與回簽，預計七月開立發票
來源：委刊單(Order) 第 300 列</t>
        </is>
      </c>
      <c r="N297" t="inlineStr">
        <is>
          <t>2026-05-18</t>
        </is>
      </c>
    </row>
    <row r="298">
      <c r="A298" t="inlineStr">
        <is>
          <t>ord_66020e8459b5</t>
        </is>
      </c>
      <c r="B298" t="inlineStr"/>
      <c r="C298" t="inlineStr">
        <is>
          <t>廣告受眾包</t>
        </is>
      </c>
      <c r="D298" t="inlineStr"/>
      <c r="E298" t="inlineStr">
        <is>
          <t>Appier</t>
        </is>
      </c>
      <c r="F298" t="inlineStr">
        <is>
          <t>速食產業</t>
        </is>
      </c>
      <c r="G298" t="inlineStr">
        <is>
          <t>2025-05-01</t>
        </is>
      </c>
      <c r="H298" t="n">
        <v>20000</v>
      </c>
      <c r="I298" t="inlineStr">
        <is>
          <t>ADID</t>
        </is>
      </c>
      <c r="J298" t="n">
        <v>20000</v>
      </c>
      <c r="K298" t="inlineStr">
        <is>
          <t>2025-05-05</t>
        </is>
      </c>
      <c r="L298" t="inlineStr">
        <is>
          <t>否</t>
        </is>
      </c>
      <c r="M298" t="inlineStr">
        <is>
          <t>1.2025 4月於百貨公司購買金額在2-6萬內且排除同時間購買精品、珠寶的受眾
2一個月內購買兩次以上惜食地圖、 i 珍食、友善食光、惜食食堂、即期商品或超商組合折扣商品者
3.近一年購買即享券的受眾
來源：委刊單(Order) 第 302 列</t>
        </is>
      </c>
      <c r="N298" t="inlineStr">
        <is>
          <t>2026-05-18</t>
        </is>
      </c>
    </row>
    <row r="299">
      <c r="A299" t="inlineStr">
        <is>
          <t>ord_f5fcf796b7f3</t>
        </is>
      </c>
      <c r="B299" t="inlineStr"/>
      <c r="C299" t="inlineStr">
        <is>
          <t>廣告受眾包</t>
        </is>
      </c>
      <c r="D299" t="inlineStr"/>
      <c r="E299" t="inlineStr">
        <is>
          <t>永恆</t>
        </is>
      </c>
      <c r="F299" t="inlineStr">
        <is>
          <t>主題受眾包</t>
        </is>
      </c>
      <c r="G299" t="inlineStr">
        <is>
          <t>2025-05-01</t>
        </is>
      </c>
      <c r="H299" t="n">
        <v>5000</v>
      </c>
      <c r="I299" t="inlineStr">
        <is>
          <t>ADID</t>
        </is>
      </c>
      <c r="J299" t="n">
        <v>0</v>
      </c>
      <c r="K299" t="inlineStr">
        <is>
          <t>2025-05-01</t>
        </is>
      </c>
      <c r="L299" t="inlineStr">
        <is>
          <t>否</t>
        </is>
      </c>
      <c r="M299" t="inlineStr">
        <is>
          <t>旅遊享樂族
來源：委刊單(Order) 第 303 列</t>
        </is>
      </c>
      <c r="N299" t="inlineStr">
        <is>
          <t>2026-05-18</t>
        </is>
      </c>
    </row>
    <row r="300">
      <c r="A300" t="inlineStr">
        <is>
          <t>ord_f229ebe4973f</t>
        </is>
      </c>
      <c r="B300" t="inlineStr"/>
      <c r="C300" t="inlineStr">
        <is>
          <t>廣告受眾包</t>
        </is>
      </c>
      <c r="D300" t="inlineStr"/>
      <c r="E300" t="inlineStr">
        <is>
          <t>永恆</t>
        </is>
      </c>
      <c r="F300" t="inlineStr">
        <is>
          <t>主題受眾包</t>
        </is>
      </c>
      <c r="G300" t="inlineStr">
        <is>
          <t>2025-05-01</t>
        </is>
      </c>
      <c r="H300" t="n">
        <v>5000</v>
      </c>
      <c r="I300" t="inlineStr">
        <is>
          <t>ADID</t>
        </is>
      </c>
      <c r="J300" t="n">
        <v>0</v>
      </c>
      <c r="K300" t="inlineStr">
        <is>
          <t>2025-05-01</t>
        </is>
      </c>
      <c r="L300" t="inlineStr">
        <is>
          <t>否</t>
        </is>
      </c>
      <c r="M300" t="inlineStr">
        <is>
          <t>電商平台高消費族
來源：委刊單(Order) 第 304 列</t>
        </is>
      </c>
      <c r="N300" t="inlineStr">
        <is>
          <t>2026-05-18</t>
        </is>
      </c>
    </row>
    <row r="301">
      <c r="A301" t="inlineStr">
        <is>
          <t>ord_17b662a396b2</t>
        </is>
      </c>
      <c r="B301" t="inlineStr"/>
      <c r="C301" t="inlineStr">
        <is>
          <t>廣告受眾包</t>
        </is>
      </c>
      <c r="D301" t="inlineStr"/>
      <c r="E301" t="inlineStr">
        <is>
          <t>永恆</t>
        </is>
      </c>
      <c r="F301" t="inlineStr">
        <is>
          <t>主題受眾包</t>
        </is>
      </c>
      <c r="G301" t="inlineStr">
        <is>
          <t>2025-05-01</t>
        </is>
      </c>
      <c r="H301" t="n">
        <v>5000</v>
      </c>
      <c r="I301" t="inlineStr">
        <is>
          <t>ADID</t>
        </is>
      </c>
      <c r="J301" t="n">
        <v>0</v>
      </c>
      <c r="K301" t="inlineStr">
        <is>
          <t>2025-05-01</t>
        </is>
      </c>
      <c r="L301" t="inlineStr">
        <is>
          <t>否</t>
        </is>
      </c>
      <c r="M301" t="inlineStr">
        <is>
          <t>高壓三明治族
來源：委刊單(Order) 第 305 列</t>
        </is>
      </c>
      <c r="N301" t="inlineStr">
        <is>
          <t>2026-05-18</t>
        </is>
      </c>
    </row>
    <row r="302">
      <c r="A302" t="inlineStr">
        <is>
          <t>ord_b815de8db06e</t>
        </is>
      </c>
      <c r="B302" t="inlineStr"/>
      <c r="C302" t="inlineStr">
        <is>
          <t>廣告受眾包</t>
        </is>
      </c>
      <c r="D302" t="inlineStr"/>
      <c r="E302" t="inlineStr">
        <is>
          <t>星傳</t>
        </is>
      </c>
      <c r="F302" t="inlineStr">
        <is>
          <t>P&amp;G</t>
        </is>
      </c>
      <c r="G302" t="inlineStr">
        <is>
          <t>2025-05-01</t>
        </is>
      </c>
      <c r="H302" t="n">
        <v>50000</v>
      </c>
      <c r="I302" t="inlineStr">
        <is>
          <t>ADID</t>
        </is>
      </c>
      <c r="J302" t="n">
        <v>3000000</v>
      </c>
      <c r="K302" t="inlineStr"/>
      <c r="L302" t="inlineStr">
        <is>
          <t>否</t>
        </is>
      </c>
      <c r="M302" t="inlineStr">
        <is>
          <t>來源：委刊單(Order) 第 306 列</t>
        </is>
      </c>
      <c r="N302" t="inlineStr">
        <is>
          <t>2026-05-18</t>
        </is>
      </c>
    </row>
    <row r="303">
      <c r="A303" t="inlineStr">
        <is>
          <t>ord_5b5e62e493c4</t>
        </is>
      </c>
      <c r="B303" t="inlineStr"/>
      <c r="C303" t="inlineStr">
        <is>
          <t>廣告受眾包</t>
        </is>
      </c>
      <c r="D303" t="inlineStr"/>
      <c r="E303" t="inlineStr">
        <is>
          <t>TenMax</t>
        </is>
      </c>
      <c r="F303" t="inlineStr">
        <is>
          <t>台塑生醫</t>
        </is>
      </c>
      <c r="G303" t="inlineStr">
        <is>
          <t>2025-05-06</t>
        </is>
      </c>
      <c r="H303" t="n">
        <v>5100</v>
      </c>
      <c r="I303" t="inlineStr">
        <is>
          <t>ADID</t>
        </is>
      </c>
      <c r="J303" t="n">
        <v>37080</v>
      </c>
      <c r="K303" t="inlineStr">
        <is>
          <t>2025-05-06</t>
        </is>
      </c>
      <c r="L303" t="inlineStr">
        <is>
          <t>否</t>
        </is>
      </c>
      <c r="M303" t="inlineStr">
        <is>
          <t>專案名稱：台塑生醫
訂單編號：PB2500229
來源：委刊單(Order) 第 307 列</t>
        </is>
      </c>
      <c r="N303" t="inlineStr">
        <is>
          <t>2026-05-18</t>
        </is>
      </c>
    </row>
    <row r="304">
      <c r="A304" t="inlineStr">
        <is>
          <t>ord_a89284d76807</t>
        </is>
      </c>
      <c r="B304" t="inlineStr"/>
      <c r="C304" t="inlineStr">
        <is>
          <t>廣告受眾包</t>
        </is>
      </c>
      <c r="D304" t="inlineStr"/>
      <c r="E304" t="inlineStr">
        <is>
          <t>TenMax</t>
        </is>
      </c>
      <c r="F304" t="inlineStr">
        <is>
          <t>中華電信</t>
        </is>
      </c>
      <c r="G304" t="inlineStr">
        <is>
          <t>2025-05-06</t>
        </is>
      </c>
      <c r="H304" t="n">
        <v>3000</v>
      </c>
      <c r="I304" t="inlineStr">
        <is>
          <t>ADID</t>
        </is>
      </c>
      <c r="J304" t="n">
        <v>55500</v>
      </c>
      <c r="K304" t="inlineStr">
        <is>
          <t>2025-05-06</t>
        </is>
      </c>
      <c r="L304" t="inlineStr">
        <is>
          <t>否</t>
        </is>
      </c>
      <c r="M304" t="inlineStr">
        <is>
          <t>專案名稱：中華電信
訂單編號：PB2500225
來源：委刊單(Order) 第 308 列</t>
        </is>
      </c>
      <c r="N304" t="inlineStr">
        <is>
          <t>2026-05-18</t>
        </is>
      </c>
    </row>
    <row r="305">
      <c r="A305" t="inlineStr">
        <is>
          <t>ord_5906b8fd781e</t>
        </is>
      </c>
      <c r="B305" t="inlineStr"/>
      <c r="C305" t="inlineStr">
        <is>
          <t>廣告受眾包</t>
        </is>
      </c>
      <c r="D305" t="inlineStr"/>
      <c r="E305" t="inlineStr">
        <is>
          <t>TenMax</t>
        </is>
      </c>
      <c r="F305" t="inlineStr">
        <is>
          <t>元大證券</t>
        </is>
      </c>
      <c r="G305" t="inlineStr">
        <is>
          <t>2025-05-06</t>
        </is>
      </c>
      <c r="H305" t="n">
        <v>4784</v>
      </c>
      <c r="I305" t="inlineStr">
        <is>
          <t>ADID</t>
        </is>
      </c>
      <c r="J305" t="n">
        <v>95675</v>
      </c>
      <c r="K305" t="inlineStr">
        <is>
          <t>2025-05-06</t>
        </is>
      </c>
      <c r="L305" t="inlineStr">
        <is>
          <t>否</t>
        </is>
      </c>
      <c r="M305" t="inlineStr">
        <is>
          <t>專案名稱：元大證券_TenMax RichMedia
訂單編號：PB2500242
來源：委刊單(Order) 第 309 列</t>
        </is>
      </c>
      <c r="N305" t="inlineStr">
        <is>
          <t>2026-05-18</t>
        </is>
      </c>
    </row>
    <row r="306">
      <c r="A306" t="inlineStr">
        <is>
          <t>ord_a15c8fe625e1</t>
        </is>
      </c>
      <c r="B306" t="inlineStr"/>
      <c r="C306" t="inlineStr">
        <is>
          <t>廣告受眾包</t>
        </is>
      </c>
      <c r="D306" t="inlineStr"/>
      <c r="E306" t="inlineStr">
        <is>
          <t>TenMax</t>
        </is>
      </c>
      <c r="F306" t="inlineStr">
        <is>
          <t>味之素烹大師</t>
        </is>
      </c>
      <c r="G306" t="inlineStr">
        <is>
          <t>2025-05-06</t>
        </is>
      </c>
      <c r="H306" t="n">
        <v>1050</v>
      </c>
      <c r="I306" t="inlineStr">
        <is>
          <t>ADID</t>
        </is>
      </c>
      <c r="J306" t="n">
        <v>10500</v>
      </c>
      <c r="K306" t="inlineStr">
        <is>
          <t>2025-05-06</t>
        </is>
      </c>
      <c r="L306" t="inlineStr">
        <is>
          <t>否</t>
        </is>
      </c>
      <c r="M306" t="inlineStr">
        <is>
          <t>專案名稱：味之素烹大師 2505
訂單編號：PB2500251
來源：委刊單(Order) 第 310 列</t>
        </is>
      </c>
      <c r="N306" t="inlineStr">
        <is>
          <t>2026-05-18</t>
        </is>
      </c>
    </row>
    <row r="307">
      <c r="A307" t="inlineStr">
        <is>
          <t>ord_b4243ed935fe</t>
        </is>
      </c>
      <c r="B307" t="inlineStr"/>
      <c r="C307" t="inlineStr">
        <is>
          <t>廣告受眾包</t>
        </is>
      </c>
      <c r="D307" t="inlineStr"/>
      <c r="E307" t="inlineStr">
        <is>
          <t>TenMax</t>
        </is>
      </c>
      <c r="F307" t="inlineStr">
        <is>
          <t>味之素VONO</t>
        </is>
      </c>
      <c r="G307" t="inlineStr">
        <is>
          <t>2025-05-06</t>
        </is>
      </c>
      <c r="H307" t="n">
        <v>1050</v>
      </c>
      <c r="I307" t="inlineStr">
        <is>
          <t>ADID</t>
        </is>
      </c>
      <c r="J307" t="n">
        <v>21000</v>
      </c>
      <c r="K307" t="inlineStr">
        <is>
          <t>2025-05-06</t>
        </is>
      </c>
      <c r="L307" t="inlineStr">
        <is>
          <t>否</t>
        </is>
      </c>
      <c r="M307" t="inlineStr">
        <is>
          <t>專案名稱：味之素VONO 2505
訂單編號：PB2500250
來源：委刊單(Order) 第 311 列</t>
        </is>
      </c>
      <c r="N307" t="inlineStr">
        <is>
          <t>2026-05-18</t>
        </is>
      </c>
    </row>
    <row r="308">
      <c r="A308" t="inlineStr">
        <is>
          <t>ord_b13dd5cc3ae2</t>
        </is>
      </c>
      <c r="B308" t="inlineStr"/>
      <c r="C308" t="inlineStr">
        <is>
          <t>廣告受眾包</t>
        </is>
      </c>
      <c r="D308" t="inlineStr"/>
      <c r="E308" t="inlineStr">
        <is>
          <t>TenMax</t>
        </is>
      </c>
      <c r="F308" t="inlineStr">
        <is>
          <t>北流音樂復古展覽</t>
        </is>
      </c>
      <c r="G308" t="inlineStr">
        <is>
          <t>2025-05-07</t>
        </is>
      </c>
      <c r="H308" t="n">
        <v>2729</v>
      </c>
      <c r="I308" t="inlineStr">
        <is>
          <t>ADID</t>
        </is>
      </c>
      <c r="J308" t="n">
        <v>54571</v>
      </c>
      <c r="K308" t="inlineStr">
        <is>
          <t>2025-05-07</t>
        </is>
      </c>
      <c r="L308" t="inlineStr">
        <is>
          <t>否</t>
        </is>
      </c>
      <c r="M308" t="inlineStr">
        <is>
          <t>專案名稱：北流音樂復古展覽_TenMax RichMedia Ads_2505
訂單編號：PB2500253
來源：委刊單(Order) 第 312 列</t>
        </is>
      </c>
      <c r="N308" t="inlineStr">
        <is>
          <t>2026-05-18</t>
        </is>
      </c>
    </row>
    <row r="309">
      <c r="A309" t="inlineStr">
        <is>
          <t>ord_579993e09df8</t>
        </is>
      </c>
      <c r="B309" t="inlineStr"/>
      <c r="C309" t="inlineStr">
        <is>
          <t>廣告受眾包</t>
        </is>
      </c>
      <c r="D309" t="inlineStr"/>
      <c r="E309" t="inlineStr">
        <is>
          <t>其他(品牌自操)</t>
        </is>
      </c>
      <c r="F309" t="inlineStr">
        <is>
          <t>Wstyle</t>
        </is>
      </c>
      <c r="G309" t="inlineStr">
        <is>
          <t>2025-05-09</t>
        </is>
      </c>
      <c r="H309" t="n">
        <v>34285</v>
      </c>
      <c r="I309" t="inlineStr">
        <is>
          <t>主題受眾包</t>
        </is>
      </c>
      <c r="J309" t="n">
        <v>0</v>
      </c>
      <c r="K309" t="inlineStr"/>
      <c r="L309" t="inlineStr">
        <is>
          <t>否</t>
        </is>
      </c>
      <c r="M309" t="inlineStr">
        <is>
          <t>3.抗老保養輕熟女
18.快時尚忠誠粉絲
37.質感生活粉領族
來源：委刊單(Order) 第 313 列</t>
        </is>
      </c>
      <c r="N309" t="inlineStr">
        <is>
          <t>2026-05-18</t>
        </is>
      </c>
    </row>
    <row r="310">
      <c r="A310" t="inlineStr">
        <is>
          <t>ord_6e52c0a58e1d</t>
        </is>
      </c>
      <c r="B310" t="inlineStr"/>
      <c r="C310" t="inlineStr">
        <is>
          <t>廣告受眾包</t>
        </is>
      </c>
      <c r="D310" t="inlineStr"/>
      <c r="E310" t="inlineStr">
        <is>
          <t>Appier</t>
        </is>
      </c>
      <c r="F310" t="inlineStr">
        <is>
          <t>保健產業受眾包0515</t>
        </is>
      </c>
      <c r="G310" t="inlineStr">
        <is>
          <t>2025-05-16</t>
        </is>
      </c>
      <c r="H310" t="n">
        <v>20000</v>
      </c>
      <c r="I310" t="inlineStr">
        <is>
          <t>ADID</t>
        </is>
      </c>
      <c r="J310" t="n">
        <v>20000</v>
      </c>
      <c r="K310" t="inlineStr">
        <is>
          <t>2025-05-23</t>
        </is>
      </c>
      <c r="L310" t="inlineStr">
        <is>
          <t>否</t>
        </is>
      </c>
      <c r="M310" t="inlineStr">
        <is>
          <t>[品項] 感冒藥/過敏性鼻炎藥物/大正百保能/斯斯感冒膠囊/欣樂樂愛思糖衣錠/友露安/國安感冒藥水/小兒利撒爾 /司多安三層錠...等
[通路] 屈臣氏/康是美/大樹藥局/丁丁藥局/啄木鳥藥局/杏一/佑權保健/健康人生藥局/躍獅連鎖藥局…等
來源：委刊單(Order) 第 314 列</t>
        </is>
      </c>
      <c r="N310" t="inlineStr">
        <is>
          <t>2026-05-18</t>
        </is>
      </c>
    </row>
    <row r="311">
      <c r="A311" t="inlineStr">
        <is>
          <t>ord_52985836f112</t>
        </is>
      </c>
      <c r="B311" t="inlineStr"/>
      <c r="C311" t="inlineStr">
        <is>
          <t>廣告受眾包</t>
        </is>
      </c>
      <c r="D311" t="inlineStr"/>
      <c r="E311" t="inlineStr">
        <is>
          <t>Appier</t>
        </is>
      </c>
      <c r="F311" t="inlineStr">
        <is>
          <t>保健產業受眾包0515-1</t>
        </is>
      </c>
      <c r="G311" t="inlineStr">
        <is>
          <t>2025-05-16</t>
        </is>
      </c>
      <c r="H311" t="n">
        <v>20000</v>
      </c>
      <c r="I311" t="inlineStr">
        <is>
          <t>ADID</t>
        </is>
      </c>
      <c r="J311" t="n">
        <v>20000</v>
      </c>
      <c r="K311" t="inlineStr">
        <is>
          <t>2025-05-23</t>
        </is>
      </c>
      <c r="L311" t="inlineStr">
        <is>
          <t>否</t>
        </is>
      </c>
      <c r="M311" t="inlineStr">
        <is>
          <t>[品項] 益生菌
[全通路]
來源：委刊單(Order) 第 315 列</t>
        </is>
      </c>
      <c r="N311" t="inlineStr">
        <is>
          <t>2026-05-18</t>
        </is>
      </c>
    </row>
    <row r="312">
      <c r="A312" t="inlineStr">
        <is>
          <t>ord_bf0379c36d3e</t>
        </is>
      </c>
      <c r="B312" t="inlineStr"/>
      <c r="C312" t="inlineStr">
        <is>
          <t>廣告受眾包</t>
        </is>
      </c>
      <c r="D312" t="inlineStr"/>
      <c r="E312" t="inlineStr">
        <is>
          <t>Appier</t>
        </is>
      </c>
      <c r="F312" t="inlineStr">
        <is>
          <t>醫療產業受眾包0516</t>
        </is>
      </c>
      <c r="G312" t="inlineStr">
        <is>
          <t>2025-05-19</t>
        </is>
      </c>
      <c r="H312" t="n">
        <v>10000</v>
      </c>
      <c r="I312" t="inlineStr">
        <is>
          <t>ADID</t>
        </is>
      </c>
      <c r="J312" t="n">
        <v>10000</v>
      </c>
      <c r="K312" t="inlineStr">
        <is>
          <t>2025-05-19</t>
        </is>
      </c>
      <c r="L312" t="inlineStr">
        <is>
          <t>否</t>
        </is>
      </c>
      <c r="M312" t="inlineStr">
        <is>
          <t>一年消費發票：
老花、老花眼鏡、老花隱形眼鏡、近視蛙鏡、近視眼鏡、隱形眼鏡、隱形眼鏡藥水
來源：委刊單(Order) 第 316 列</t>
        </is>
      </c>
      <c r="N312" t="inlineStr">
        <is>
          <t>2026-05-18</t>
        </is>
      </c>
    </row>
    <row r="313">
      <c r="A313" t="inlineStr">
        <is>
          <t>ord_de64d45fc8cf</t>
        </is>
      </c>
      <c r="B313" t="inlineStr"/>
      <c r="C313" t="inlineStr">
        <is>
          <t>廣告受眾包</t>
        </is>
      </c>
      <c r="D313" t="inlineStr"/>
      <c r="E313" t="inlineStr">
        <is>
          <t>電通</t>
        </is>
      </c>
      <c r="F313" t="inlineStr">
        <is>
          <t>電影</t>
        </is>
      </c>
      <c r="G313" t="inlineStr">
        <is>
          <t>2025-05-21</t>
        </is>
      </c>
      <c r="H313" t="n">
        <v>30000</v>
      </c>
      <c r="I313" t="inlineStr">
        <is>
          <t>ADID</t>
        </is>
      </c>
      <c r="J313" t="n">
        <v>307651</v>
      </c>
      <c r="K313" t="inlineStr">
        <is>
          <t>2025-05-21</t>
        </is>
      </c>
      <c r="L313" t="inlineStr">
        <is>
          <t>否</t>
        </is>
      </c>
      <c r="M313" t="inlineStr">
        <is>
          <t>近一年在全台電影院消費的受眾
來源：委刊單(Order) 第 317 列</t>
        </is>
      </c>
      <c r="N313" t="inlineStr">
        <is>
          <t>2026-05-18</t>
        </is>
      </c>
    </row>
    <row r="314">
      <c r="A314" t="inlineStr">
        <is>
          <t>ord_0d6bbdf32b83</t>
        </is>
      </c>
      <c r="B314" t="inlineStr"/>
      <c r="C314" t="inlineStr">
        <is>
          <t>廣告受眾包</t>
        </is>
      </c>
      <c r="D314" t="inlineStr"/>
      <c r="E314" t="inlineStr">
        <is>
          <t>電通</t>
        </is>
      </c>
      <c r="F314" t="inlineStr">
        <is>
          <t>臉部清潔抗痘煥膚</t>
        </is>
      </c>
      <c r="G314" t="inlineStr">
        <is>
          <t>2025-05-23</t>
        </is>
      </c>
      <c r="H314" t="n">
        <v>50000</v>
      </c>
      <c r="I314" t="inlineStr">
        <is>
          <t>ADID</t>
        </is>
      </c>
      <c r="J314" t="n">
        <v>221475</v>
      </c>
      <c r="K314" t="inlineStr">
        <is>
          <t>2025-05-23</t>
        </is>
      </c>
      <c r="L314" t="inlineStr">
        <is>
          <t>否</t>
        </is>
      </c>
      <c r="M314" t="inlineStr">
        <is>
          <t>1.過去一年購買臉部清潔產品(品牌:Neutrogena、森田藥粧、珂潤、Bioderma)
2.過去一年購買抗痘/煥膚產品(品牌:Dr.Wu、Paula’s Choice、曼秀雷敦)
聯集合購
來源：委刊單(Order) 第 318 列</t>
        </is>
      </c>
      <c r="N314" t="inlineStr">
        <is>
          <t>2026-05-18</t>
        </is>
      </c>
    </row>
    <row r="315">
      <c r="A315" t="inlineStr">
        <is>
          <t>ord_f3b856a4165a</t>
        </is>
      </c>
      <c r="B315" t="inlineStr"/>
      <c r="C315" t="inlineStr">
        <is>
          <t>廣告受眾包</t>
        </is>
      </c>
      <c r="D315" t="inlineStr"/>
      <c r="E315" t="inlineStr">
        <is>
          <t>其他(品牌自操)</t>
        </is>
      </c>
      <c r="F315" t="inlineStr">
        <is>
          <t>好事威行銷工作室</t>
        </is>
      </c>
      <c r="G315" t="inlineStr">
        <is>
          <t>2025-05-29</t>
        </is>
      </c>
      <c r="H315" t="n">
        <v>105000</v>
      </c>
      <c r="I315" t="inlineStr">
        <is>
          <t>ADID</t>
        </is>
      </c>
      <c r="J315" t="n">
        <v>134695</v>
      </c>
      <c r="K315" t="inlineStr">
        <is>
          <t>2025-06-02</t>
        </is>
      </c>
      <c r="L315" t="inlineStr">
        <is>
          <t>否</t>
        </is>
      </c>
      <c r="M315" t="inlineStr">
        <is>
          <t>專案：房地產、建案受眾
來源：委刊單(Order) 第 319 列</t>
        </is>
      </c>
      <c r="N315" t="inlineStr">
        <is>
          <t>2026-05-18</t>
        </is>
      </c>
    </row>
    <row r="316">
      <c r="A316" t="inlineStr">
        <is>
          <t>ord_e0b5dedb3db5</t>
        </is>
      </c>
      <c r="B316" t="inlineStr"/>
      <c r="C316" t="inlineStr">
        <is>
          <t>廣告受眾包</t>
        </is>
      </c>
      <c r="D316" t="inlineStr"/>
      <c r="E316" t="inlineStr">
        <is>
          <t>金獅</t>
        </is>
      </c>
      <c r="F316" t="inlineStr">
        <is>
          <t>CooperVision</t>
        </is>
      </c>
      <c r="G316" t="inlineStr">
        <is>
          <t>2025-06-03</t>
        </is>
      </c>
      <c r="H316" t="n">
        <v>40000</v>
      </c>
      <c r="I316" t="inlineStr">
        <is>
          <t>ADID</t>
        </is>
      </c>
      <c r="J316" t="n">
        <v>0</v>
      </c>
      <c r="K316" t="inlineStr">
        <is>
          <t>2025-06-04</t>
        </is>
      </c>
      <c r="L316" t="inlineStr">
        <is>
          <t>否</t>
        </is>
      </c>
      <c r="M316" t="inlineStr">
        <is>
          <t>來源：委刊單(Order) 第 321 列</t>
        </is>
      </c>
      <c r="N316" t="inlineStr">
        <is>
          <t>2026-05-18</t>
        </is>
      </c>
    </row>
    <row r="317">
      <c r="A317" t="inlineStr">
        <is>
          <t>ord_231b64cf3fe8</t>
        </is>
      </c>
      <c r="B317" t="inlineStr"/>
      <c r="C317" t="inlineStr">
        <is>
          <t>廣告受眾包</t>
        </is>
      </c>
      <c r="D317" t="inlineStr"/>
      <c r="E317" t="inlineStr">
        <is>
          <t>其他(品牌自操)</t>
        </is>
      </c>
      <c r="F317" t="inlineStr">
        <is>
          <t>黑蓮生技</t>
        </is>
      </c>
      <c r="G317" t="inlineStr">
        <is>
          <t>2025-06-03</t>
        </is>
      </c>
      <c r="H317" t="n">
        <v>0</v>
      </c>
      <c r="I317" t="inlineStr">
        <is>
          <t>主題受眾包</t>
        </is>
      </c>
      <c r="J317" t="n">
        <v>0</v>
      </c>
      <c r="K317" t="inlineStr"/>
      <c r="L317" t="inlineStr">
        <is>
          <t>否</t>
        </is>
      </c>
      <c r="M317" t="inlineStr">
        <is>
          <t>47. 618高消費潛力客
49. 百貨週年慶VIP
50. 雙11電商採購族
來源：委刊單(Order) 第 322 列</t>
        </is>
      </c>
      <c r="N317" t="inlineStr">
        <is>
          <t>2026-05-18</t>
        </is>
      </c>
    </row>
    <row r="318">
      <c r="A318" t="inlineStr">
        <is>
          <t>ord_0b0eb9f9fa3b</t>
        </is>
      </c>
      <c r="B318" t="inlineStr"/>
      <c r="C318" t="inlineStr">
        <is>
          <t>廣告受眾包</t>
        </is>
      </c>
      <c r="D318" t="inlineStr"/>
      <c r="E318" t="inlineStr">
        <is>
          <t>實力媒體</t>
        </is>
      </c>
      <c r="F318" t="inlineStr">
        <is>
          <t>Nestle Nesprosso</t>
        </is>
      </c>
      <c r="G318" t="inlineStr">
        <is>
          <t>2025-06-10</t>
        </is>
      </c>
      <c r="H318" t="n">
        <v>50000</v>
      </c>
      <c r="I318" t="inlineStr">
        <is>
          <t>ADID</t>
        </is>
      </c>
      <c r="J318" t="n">
        <v>1379110</v>
      </c>
      <c r="K318" t="inlineStr">
        <is>
          <t>2025-06-13</t>
        </is>
      </c>
      <c r="L318" t="inlineStr">
        <is>
          <t>否</t>
        </is>
      </c>
      <c r="M318" t="inlineStr">
        <is>
          <t>1.Nestle_Nespresso_05 + Nestle_Nespresso_02 +
Nestle_Nespresso_01
Poolsize:1,335,740(UUID)
2.Nestle_Nespresso_Exc
Pool size:43,370
來源：委刊單(Order) 第 323 列</t>
        </is>
      </c>
      <c r="N318" t="inlineStr">
        <is>
          <t>2026-05-18</t>
        </is>
      </c>
    </row>
    <row r="319">
      <c r="A319" t="inlineStr">
        <is>
          <t>ord_69bd4bb6edc9</t>
        </is>
      </c>
      <c r="B319" t="inlineStr"/>
      <c r="C319" t="inlineStr">
        <is>
          <t>廣告受眾包</t>
        </is>
      </c>
      <c r="D319" t="inlineStr"/>
      <c r="E319" t="inlineStr">
        <is>
          <t>星傳</t>
        </is>
      </c>
      <c r="F319" t="inlineStr">
        <is>
          <t>P&amp;G Lenor</t>
        </is>
      </c>
      <c r="G319" t="inlineStr">
        <is>
          <t>2025-06-16</t>
        </is>
      </c>
      <c r="H319" t="n">
        <v>45000</v>
      </c>
      <c r="I319" t="inlineStr">
        <is>
          <t>ADID</t>
        </is>
      </c>
      <c r="J319" t="n">
        <v>862947</v>
      </c>
      <c r="K319" t="inlineStr"/>
      <c r="L319" t="inlineStr">
        <is>
          <t>否</t>
        </is>
      </c>
      <c r="M319" t="inlineStr">
        <is>
          <t>過去一年在全通路買過任何洗衣物清潔劑，例: 洗衣精、洗衣球、洗衣粉等相關，但沒有買過衣物芳香豆
來源：委刊單(Order) 第 324 列</t>
        </is>
      </c>
      <c r="N319" t="inlineStr">
        <is>
          <t>2026-05-18</t>
        </is>
      </c>
    </row>
    <row r="320">
      <c r="A320" t="inlineStr">
        <is>
          <t>ord_33a98668993a</t>
        </is>
      </c>
      <c r="B320" t="inlineStr"/>
      <c r="C320" t="inlineStr">
        <is>
          <t>廣告受眾包</t>
        </is>
      </c>
      <c r="D320" t="inlineStr"/>
      <c r="E320" t="inlineStr">
        <is>
          <t>Appier</t>
        </is>
      </c>
      <c r="F320" t="inlineStr">
        <is>
          <t>保健產業受眾包0515</t>
        </is>
      </c>
      <c r="G320" t="inlineStr">
        <is>
          <t>2025-06-16</t>
        </is>
      </c>
      <c r="H320" t="n">
        <v>20000</v>
      </c>
      <c r="I320" t="inlineStr">
        <is>
          <t>ADID</t>
        </is>
      </c>
      <c r="J320" t="n">
        <v>20000</v>
      </c>
      <c r="K320" t="inlineStr">
        <is>
          <t>2025-06-20</t>
        </is>
      </c>
      <c r="L320" t="inlineStr">
        <is>
          <t>否</t>
        </is>
      </c>
      <c r="M320" t="inlineStr">
        <is>
          <t>來源：委刊單(Order) 第 325 列</t>
        </is>
      </c>
      <c r="N320" t="inlineStr">
        <is>
          <t>2026-05-18</t>
        </is>
      </c>
    </row>
    <row r="321">
      <c r="A321" t="inlineStr">
        <is>
          <t>ord_7e0ad0744bbf</t>
        </is>
      </c>
      <c r="B321" t="inlineStr"/>
      <c r="C321" t="inlineStr">
        <is>
          <t>廣告受眾包</t>
        </is>
      </c>
      <c r="D321" t="inlineStr"/>
      <c r="E321" t="inlineStr">
        <is>
          <t>Appier</t>
        </is>
      </c>
      <c r="F321" t="inlineStr">
        <is>
          <t>遊戲產業受眾包0515</t>
        </is>
      </c>
      <c r="G321" t="inlineStr">
        <is>
          <t>2025-06-16</t>
        </is>
      </c>
      <c r="H321" t="n">
        <v>20000</v>
      </c>
      <c r="I321" t="inlineStr">
        <is>
          <t>ADID</t>
        </is>
      </c>
      <c r="J321" t="n">
        <v>20000</v>
      </c>
      <c r="K321" t="inlineStr">
        <is>
          <t>2025-06-20</t>
        </is>
      </c>
      <c r="L321" t="inlineStr">
        <is>
          <t>否</t>
        </is>
      </c>
      <c r="M321" t="inlineStr">
        <is>
          <t>來源：委刊單(Order) 第 326 列</t>
        </is>
      </c>
      <c r="N321" t="inlineStr">
        <is>
          <t>2026-05-18</t>
        </is>
      </c>
    </row>
    <row r="322">
      <c r="A322" t="inlineStr">
        <is>
          <t>ord_e7aa3af19f32</t>
        </is>
      </c>
      <c r="B322" t="inlineStr"/>
      <c r="C322" t="inlineStr">
        <is>
          <t>單次報告</t>
        </is>
      </c>
      <c r="D322" t="inlineStr"/>
      <c r="E322" t="inlineStr">
        <is>
          <t>12CM</t>
        </is>
      </c>
      <c r="F322" t="inlineStr">
        <is>
          <t>所長茶葉蛋</t>
        </is>
      </c>
      <c r="G322" t="inlineStr">
        <is>
          <t>2025-06-16</t>
        </is>
      </c>
      <c r="H322" t="n">
        <v>250000</v>
      </c>
      <c r="I322" t="inlineStr">
        <is>
          <t>專案報告</t>
        </is>
      </c>
      <c r="J322" t="n">
        <v>0</v>
      </c>
      <c r="K322" t="inlineStr"/>
      <c r="L322" t="inlineStr">
        <is>
          <t>否</t>
        </is>
      </c>
      <c r="M322" t="inlineStr">
        <is>
          <t>即時蛋市場分析/ 12cm分潤20%
來源：委刊單(Order) 第 327 列</t>
        </is>
      </c>
      <c r="N322" t="inlineStr">
        <is>
          <t>2026-05-18</t>
        </is>
      </c>
    </row>
    <row r="323">
      <c r="A323" t="inlineStr">
        <is>
          <t>ord_f1e38295353f</t>
        </is>
      </c>
      <c r="B323" t="inlineStr"/>
      <c r="C323" t="inlineStr">
        <is>
          <t>廣告受眾包</t>
        </is>
      </c>
      <c r="D323" t="inlineStr"/>
      <c r="E323" t="inlineStr">
        <is>
          <t>貝立徳</t>
        </is>
      </c>
      <c r="F323" t="inlineStr">
        <is>
          <t>聯博投信</t>
        </is>
      </c>
      <c r="G323" t="inlineStr">
        <is>
          <t>2025-06-19</t>
        </is>
      </c>
      <c r="H323" t="n">
        <v>40000</v>
      </c>
      <c r="I323" t="inlineStr">
        <is>
          <t>ADID</t>
        </is>
      </c>
      <c r="J323" t="n">
        <v>157013</v>
      </c>
      <c r="K323" t="inlineStr">
        <is>
          <t>2025-06-20</t>
        </is>
      </c>
      <c r="L323" t="inlineStr">
        <is>
          <t>否</t>
        </is>
      </c>
      <c r="M323" t="inlineStr">
        <is>
          <t>來源：委刊單(Order) 第 328 列</t>
        </is>
      </c>
      <c r="N323" t="inlineStr">
        <is>
          <t>2026-05-18</t>
        </is>
      </c>
    </row>
    <row r="324">
      <c r="A324" t="inlineStr">
        <is>
          <t>ord_5ed0ba1dfada</t>
        </is>
      </c>
      <c r="B324" t="inlineStr"/>
      <c r="C324" t="inlineStr">
        <is>
          <t>廣告受眾包</t>
        </is>
      </c>
      <c r="D324" t="inlineStr"/>
      <c r="E324" t="inlineStr">
        <is>
          <t>星傳</t>
        </is>
      </c>
      <c r="F324" t="inlineStr">
        <is>
          <t>P&amp;G Pampers</t>
        </is>
      </c>
      <c r="G324" t="inlineStr">
        <is>
          <t>2025-06-16</t>
        </is>
      </c>
      <c r="H324" t="n">
        <v>45000</v>
      </c>
      <c r="I324" t="inlineStr">
        <is>
          <t>ADID</t>
        </is>
      </c>
      <c r="J324" t="n">
        <v>288641</v>
      </c>
      <c r="K324" t="inlineStr">
        <is>
          <t>2025-06-20</t>
        </is>
      </c>
      <c r="L324" t="inlineStr">
        <is>
          <t>否</t>
        </is>
      </c>
      <c r="M324" t="inlineStr">
        <is>
          <t>來源：委刊單(Order) 第 329 列</t>
        </is>
      </c>
      <c r="N324" t="inlineStr">
        <is>
          <t>2026-05-18</t>
        </is>
      </c>
    </row>
    <row r="325">
      <c r="A325" t="inlineStr">
        <is>
          <t>ord_250a8a90a9bb</t>
        </is>
      </c>
      <c r="B325" t="inlineStr"/>
      <c r="C325" t="inlineStr">
        <is>
          <t>廣告受眾包</t>
        </is>
      </c>
      <c r="D325" t="inlineStr"/>
      <c r="E325" t="inlineStr">
        <is>
          <t>星傳</t>
        </is>
      </c>
      <c r="F325" t="inlineStr">
        <is>
          <t>P&amp;G Crest</t>
        </is>
      </c>
      <c r="G325" t="inlineStr">
        <is>
          <t>2025-06-23</t>
        </is>
      </c>
      <c r="H325" t="n">
        <v>45000</v>
      </c>
      <c r="I325" t="inlineStr">
        <is>
          <t>ADID</t>
        </is>
      </c>
      <c r="J325" t="n">
        <v>0</v>
      </c>
      <c r="K325" t="inlineStr">
        <is>
          <t>2025-06-23</t>
        </is>
      </c>
      <c r="L325" t="inlineStr">
        <is>
          <t>否</t>
        </is>
      </c>
      <c r="M325" t="inlineStr">
        <is>
          <t>來源：委刊單(Order) 第 330 列</t>
        </is>
      </c>
      <c r="N325" t="inlineStr">
        <is>
          <t>2026-05-18</t>
        </is>
      </c>
    </row>
    <row r="326">
      <c r="A326" t="inlineStr">
        <is>
          <t>ord_9948e468548f</t>
        </is>
      </c>
      <c r="B326" t="inlineStr"/>
      <c r="C326" t="inlineStr">
        <is>
          <t>廣告受眾包</t>
        </is>
      </c>
      <c r="D326" t="inlineStr"/>
      <c r="E326" t="inlineStr">
        <is>
          <t>TenMax</t>
        </is>
      </c>
      <c r="F326" t="inlineStr">
        <is>
          <t>EASY SHOP</t>
        </is>
      </c>
      <c r="G326" t="inlineStr">
        <is>
          <t>2025-06-25</t>
        </is>
      </c>
      <c r="H326" t="n">
        <v>6435</v>
      </c>
      <c r="I326" t="inlineStr">
        <is>
          <t>ADID</t>
        </is>
      </c>
      <c r="J326" t="n">
        <v>32175</v>
      </c>
      <c r="K326" t="inlineStr">
        <is>
          <t>2025-06-25</t>
        </is>
      </c>
      <c r="L326" t="inlineStr">
        <is>
          <t>否</t>
        </is>
      </c>
      <c r="M326" t="inlineStr">
        <is>
          <t>訂單編號：
PB2500335
來源：委刊單(Order) 第 331 列</t>
        </is>
      </c>
      <c r="N326" t="inlineStr">
        <is>
          <t>2026-05-18</t>
        </is>
      </c>
    </row>
    <row r="327">
      <c r="A327" t="inlineStr">
        <is>
          <t>ord_a3d29bffbc01</t>
        </is>
      </c>
      <c r="B327" t="inlineStr"/>
      <c r="C327" t="inlineStr">
        <is>
          <t>廣告受眾包</t>
        </is>
      </c>
      <c r="D327" t="inlineStr"/>
      <c r="E327" t="inlineStr">
        <is>
          <t>TenMax</t>
        </is>
      </c>
      <c r="F327" t="inlineStr">
        <is>
          <t>味之素烹大師</t>
        </is>
      </c>
      <c r="G327" t="inlineStr">
        <is>
          <t>2025-06-25</t>
        </is>
      </c>
      <c r="H327" t="n">
        <v>1050</v>
      </c>
      <c r="I327" t="inlineStr">
        <is>
          <t>ADID</t>
        </is>
      </c>
      <c r="J327" t="n">
        <v>10500</v>
      </c>
      <c r="K327" t="inlineStr">
        <is>
          <t>2025-06-25</t>
        </is>
      </c>
      <c r="L327" t="inlineStr">
        <is>
          <t>否</t>
        </is>
      </c>
      <c r="M327" t="inlineStr">
        <is>
          <t>訂單編號：
PB2500325
來源：委刊單(Order) 第 332 列</t>
        </is>
      </c>
      <c r="N327" t="inlineStr">
        <is>
          <t>2026-05-18</t>
        </is>
      </c>
    </row>
    <row r="328">
      <c r="A328" t="inlineStr">
        <is>
          <t>ord_c7ac6d2e2dc1</t>
        </is>
      </c>
      <c r="B328" t="inlineStr"/>
      <c r="C328" t="inlineStr">
        <is>
          <t>廣告受眾包</t>
        </is>
      </c>
      <c r="D328" t="inlineStr"/>
      <c r="E328" t="inlineStr">
        <is>
          <t>TenMax</t>
        </is>
      </c>
      <c r="F328" t="inlineStr">
        <is>
          <t>味之素VONO</t>
        </is>
      </c>
      <c r="G328" t="inlineStr">
        <is>
          <t>2025-06-25</t>
        </is>
      </c>
      <c r="H328" t="n">
        <v>600</v>
      </c>
      <c r="I328" t="inlineStr">
        <is>
          <t>ADID</t>
        </is>
      </c>
      <c r="J328" t="n">
        <v>9000</v>
      </c>
      <c r="K328" t="inlineStr">
        <is>
          <t>2025-06-25</t>
        </is>
      </c>
      <c r="L328" t="inlineStr">
        <is>
          <t>否</t>
        </is>
      </c>
      <c r="M328" t="inlineStr">
        <is>
          <t>訂單編號：
PB2500326
來源：委刊單(Order) 第 333 列</t>
        </is>
      </c>
      <c r="N328" t="inlineStr">
        <is>
          <t>2026-05-18</t>
        </is>
      </c>
    </row>
    <row r="329">
      <c r="A329" t="inlineStr">
        <is>
          <t>ord_1cfb56f2626f</t>
        </is>
      </c>
      <c r="B329" t="inlineStr"/>
      <c r="C329" t="inlineStr">
        <is>
          <t>廣告受眾包</t>
        </is>
      </c>
      <c r="D329" t="inlineStr"/>
      <c r="E329" t="inlineStr">
        <is>
          <t>電通</t>
        </is>
      </c>
      <c r="F329" t="inlineStr">
        <is>
          <t>抗痘系列</t>
        </is>
      </c>
      <c r="G329" t="inlineStr">
        <is>
          <t>2025-06-25</t>
        </is>
      </c>
      <c r="H329" t="n">
        <v>45000</v>
      </c>
      <c r="I329" t="inlineStr">
        <is>
          <t>ADID、MAIL</t>
        </is>
      </c>
      <c r="J329" t="n">
        <v>455113</v>
      </c>
      <c r="K329" t="inlineStr">
        <is>
          <t>2025-06-25</t>
        </is>
      </c>
      <c r="L329" t="inlineStr">
        <is>
          <t>否</t>
        </is>
      </c>
      <c r="M329" t="inlineStr">
        <is>
          <t>過去兩年包含下列條件聯集合購 
1.指定競品 
2.指定成分 
3.包含功效：抗痘、煥膚、酸類、
控油、粉刺、縮毛孔、去角質 
4.包含產品類別：精華、洗面乳、
乳液乳霜、化妝水、凝膠
來源：委刊單(Order) 第 334 列</t>
        </is>
      </c>
      <c r="N329" t="inlineStr">
        <is>
          <t>2026-05-18</t>
        </is>
      </c>
    </row>
    <row r="330">
      <c r="A330" t="inlineStr">
        <is>
          <t>ord_a1e575b98768</t>
        </is>
      </c>
      <c r="B330" t="inlineStr"/>
      <c r="C330" t="inlineStr">
        <is>
          <t>廣告受眾包</t>
        </is>
      </c>
      <c r="D330" t="inlineStr"/>
      <c r="E330" t="inlineStr">
        <is>
          <t>星傳</t>
        </is>
      </c>
      <c r="F330" t="inlineStr">
        <is>
          <t>P&amp;G Whisper</t>
        </is>
      </c>
      <c r="G330" t="inlineStr">
        <is>
          <t>2025-07-02</t>
        </is>
      </c>
      <c r="H330" t="n">
        <v>45000</v>
      </c>
      <c r="I330" t="inlineStr">
        <is>
          <t>ADID</t>
        </is>
      </c>
      <c r="J330" t="n">
        <v>1204518</v>
      </c>
      <c r="K330" t="inlineStr"/>
      <c r="L330" t="inlineStr">
        <is>
          <t>否</t>
        </is>
      </c>
      <c r="M330" t="inlineStr">
        <is>
          <t>過去一年全通路買過競品衛生棉的人(排除好自在產品)
來源：委刊單(Order) 第 335 列</t>
        </is>
      </c>
      <c r="N330" t="inlineStr">
        <is>
          <t>2026-05-18</t>
        </is>
      </c>
    </row>
    <row r="331">
      <c r="A331" t="inlineStr">
        <is>
          <t>ord_b49374bb300b</t>
        </is>
      </c>
      <c r="B331" t="inlineStr"/>
      <c r="C331" t="inlineStr">
        <is>
          <t>廣告受眾包</t>
        </is>
      </c>
      <c r="D331" t="inlineStr"/>
      <c r="E331" t="inlineStr">
        <is>
          <t>星傳</t>
        </is>
      </c>
      <c r="F331" t="inlineStr">
        <is>
          <t>P&amp;G Oral-B</t>
        </is>
      </c>
      <c r="G331" t="inlineStr">
        <is>
          <t>2025-07-02</t>
        </is>
      </c>
      <c r="H331" t="n">
        <v>45000</v>
      </c>
      <c r="I331" t="inlineStr">
        <is>
          <t>ADID</t>
        </is>
      </c>
      <c r="J331" t="n">
        <v>712989</v>
      </c>
      <c r="K331" t="inlineStr"/>
      <c r="L331" t="inlineStr">
        <is>
          <t>否</t>
        </is>
      </c>
      <c r="M331" t="inlineStr">
        <is>
          <t>CMoney發票數據受眾包_Oral-B_過去1年在全通路買過Oral issue
來源：委刊單(Order) 第 336 列</t>
        </is>
      </c>
      <c r="N331" t="inlineStr">
        <is>
          <t>2026-05-18</t>
        </is>
      </c>
    </row>
    <row r="332">
      <c r="A332" t="inlineStr">
        <is>
          <t>ord_4c065e08eec9</t>
        </is>
      </c>
      <c r="B332" t="inlineStr"/>
      <c r="C332" t="inlineStr">
        <is>
          <t>單次報告</t>
        </is>
      </c>
      <c r="D332" t="inlineStr">
        <is>
          <t>快消品</t>
        </is>
      </c>
      <c r="E332" t="inlineStr">
        <is>
          <t>LiTV</t>
        </is>
      </c>
      <c r="F332" t="inlineStr">
        <is>
          <t>桂格_得意的一天橄欖油</t>
        </is>
      </c>
      <c r="G332" t="inlineStr">
        <is>
          <t>2025-07-01</t>
        </is>
      </c>
      <c r="H332" t="n">
        <v>30000</v>
      </c>
      <c r="I332" t="inlineStr">
        <is>
          <t>EXCEL</t>
        </is>
      </c>
      <c r="J332" t="n">
        <v>0</v>
      </c>
      <c r="K332" t="inlineStr">
        <is>
          <t>已回簽報價單</t>
        </is>
      </c>
      <c r="L332" t="inlineStr">
        <is>
          <t>否</t>
        </is>
      </c>
      <c r="M332" t="inlineStr">
        <is>
          <t>投後分析(比照啟賦規格)預計7/11交付，八月開發票
來源：委刊單(Order) 第 339 列</t>
        </is>
      </c>
      <c r="N332" t="inlineStr">
        <is>
          <t>2026-05-18</t>
        </is>
      </c>
    </row>
    <row r="333">
      <c r="A333" t="inlineStr">
        <is>
          <t>ord_9964c0263902</t>
        </is>
      </c>
      <c r="B333" t="inlineStr"/>
      <c r="C333" t="inlineStr">
        <is>
          <t>單次報告</t>
        </is>
      </c>
      <c r="D333" t="inlineStr">
        <is>
          <t>零售產業</t>
        </is>
      </c>
      <c r="E333" t="inlineStr">
        <is>
          <t>Lndata</t>
        </is>
      </c>
      <c r="F333" t="inlineStr">
        <is>
          <t>85度C</t>
        </is>
      </c>
      <c r="G333" t="inlineStr"/>
      <c r="H333" t="n">
        <v>15000</v>
      </c>
      <c r="I333" t="inlineStr"/>
      <c r="J333" t="n">
        <v>0</v>
      </c>
      <c r="K333" t="inlineStr">
        <is>
          <t>2025-07-07</t>
        </is>
      </c>
      <c r="L333" t="inlineStr">
        <is>
          <t>否</t>
        </is>
      </c>
      <c r="M333" t="inlineStr">
        <is>
          <t>過去1年85度C發票數據
來源：委刊單(Order) 第 340 列</t>
        </is>
      </c>
      <c r="N333" t="inlineStr">
        <is>
          <t>2026-05-18</t>
        </is>
      </c>
    </row>
    <row r="334">
      <c r="A334" t="inlineStr">
        <is>
          <t>ord_404d9057670f</t>
        </is>
      </c>
      <c r="B334" t="inlineStr"/>
      <c r="C334" t="inlineStr">
        <is>
          <t>廣告受眾包</t>
        </is>
      </c>
      <c r="D334" t="inlineStr">
        <is>
          <t>快消品</t>
        </is>
      </c>
      <c r="E334" t="inlineStr">
        <is>
          <t>星傳</t>
        </is>
      </c>
      <c r="F334" t="inlineStr">
        <is>
          <t>P&amp;G Febreze</t>
        </is>
      </c>
      <c r="G334" t="inlineStr">
        <is>
          <t>2025-06-24</t>
        </is>
      </c>
      <c r="H334" t="n">
        <v>45000</v>
      </c>
      <c r="I334" t="inlineStr">
        <is>
          <t>ADID</t>
        </is>
      </c>
      <c r="J334" t="n">
        <v>608472</v>
      </c>
      <c r="K334" t="inlineStr">
        <is>
          <t>2025-06-25</t>
        </is>
      </c>
      <c r="L334" t="inlineStr">
        <is>
          <t>否</t>
        </is>
      </c>
      <c r="M334" t="inlineStr">
        <is>
          <t>過去1年曾在好市多消費過，且過去1年在全通路買過 [浴廁除臭芳香用品] 或 [浴廁清潔劑產品] 或 [除霉防霉用品] 或 過去3年在全通路買過 [風倍清任一產品]
來源：委刊單(Order) 第 341 列</t>
        </is>
      </c>
      <c r="N334" t="inlineStr">
        <is>
          <t>2026-05-18</t>
        </is>
      </c>
    </row>
    <row r="335">
      <c r="A335" t="inlineStr">
        <is>
          <t>ord_76bb5d8376b2</t>
        </is>
      </c>
      <c r="B335" t="inlineStr"/>
      <c r="C335" t="inlineStr">
        <is>
          <t>廣告受眾包</t>
        </is>
      </c>
      <c r="D335" t="inlineStr">
        <is>
          <t>快消品</t>
        </is>
      </c>
      <c r="E335" t="inlineStr">
        <is>
          <t>星傳</t>
        </is>
      </c>
      <c r="F335" t="inlineStr">
        <is>
          <t>P&amp;G Ariel</t>
        </is>
      </c>
      <c r="G335" t="inlineStr">
        <is>
          <t>2025-06-27</t>
        </is>
      </c>
      <c r="H335" t="n">
        <v>45000</v>
      </c>
      <c r="I335" t="inlineStr">
        <is>
          <t>ADID</t>
        </is>
      </c>
      <c r="J335" t="n">
        <v>2081900</v>
      </c>
      <c r="K335" t="inlineStr">
        <is>
          <t>2025-06-27</t>
        </is>
      </c>
      <c r="L335" t="inlineStr">
        <is>
          <t>否</t>
        </is>
      </c>
      <c r="M335" t="inlineStr">
        <is>
          <t>來源：委刊單(Order) 第 342 列</t>
        </is>
      </c>
      <c r="N335" t="inlineStr">
        <is>
          <t>2026-05-18</t>
        </is>
      </c>
    </row>
    <row r="336">
      <c r="A336" t="inlineStr">
        <is>
          <t>ord_6e5926235e13</t>
        </is>
      </c>
      <c r="B336" t="inlineStr"/>
      <c r="C336" t="inlineStr">
        <is>
          <t>廣告受眾包</t>
        </is>
      </c>
      <c r="D336" t="inlineStr">
        <is>
          <t>菸酒產業</t>
        </is>
      </c>
      <c r="E336" t="inlineStr">
        <is>
          <t>電通</t>
        </is>
      </c>
      <c r="F336" t="inlineStr">
        <is>
          <t>Suntory歐肯</t>
        </is>
      </c>
      <c r="G336" t="inlineStr">
        <is>
          <t>2025-07-04</t>
        </is>
      </c>
      <c r="H336" t="n">
        <v>14000</v>
      </c>
      <c r="I336" t="inlineStr">
        <is>
          <t>ADID</t>
        </is>
      </c>
      <c r="J336" t="n">
        <v>185000</v>
      </c>
      <c r="K336" t="inlineStr">
        <is>
          <t>2025-07-04</t>
        </is>
      </c>
      <c r="L336" t="inlineStr">
        <is>
          <t>否</t>
        </is>
      </c>
      <c r="M336" t="inlineStr">
        <is>
          <t>過去一年曾經消費_洋酒通路、威士忌、烈酒產品，但排除下列品牌的重覆受眾
Auchentoshan (歐肯) Singleton(蘇格登) Glenlivet(格蘭利威) Balvenie(百富) Glenfiddich(格蘭菲迪) Aberlour(亞伯樂) Deanston(汀士頓) Mortlach(慕赫) Macallan(麥卡倫) OMAR Jura(吉拉) Dalmore(大摩) Wildmoor遠慕
來源：委刊單(Order) 第 343 列</t>
        </is>
      </c>
      <c r="N336" t="inlineStr">
        <is>
          <t>2026-05-18</t>
        </is>
      </c>
    </row>
    <row r="337">
      <c r="A337" t="inlineStr">
        <is>
          <t>ord_d6d88ff0c083</t>
        </is>
      </c>
      <c r="B337" t="inlineStr"/>
      <c r="C337" t="inlineStr">
        <is>
          <t>廣告受眾包</t>
        </is>
      </c>
      <c r="D337" t="inlineStr">
        <is>
          <t>醫療保健</t>
        </is>
      </c>
      <c r="E337" t="inlineStr">
        <is>
          <t>星傳</t>
        </is>
      </c>
      <c r="F337" t="inlineStr">
        <is>
          <t>Haleon</t>
        </is>
      </c>
      <c r="G337" t="inlineStr">
        <is>
          <t>2025-07-04</t>
        </is>
      </c>
      <c r="H337" t="n">
        <v>35000</v>
      </c>
      <c r="I337" t="inlineStr">
        <is>
          <t>ADID</t>
        </is>
      </c>
      <c r="J337" t="n">
        <v>0</v>
      </c>
      <c r="K337" t="inlineStr"/>
      <c r="L337" t="inlineStr">
        <is>
          <t>否</t>
        </is>
      </c>
      <c r="M337" t="inlineStr">
        <is>
          <t>平台抓取
來源：委刊單(Order) 第 344 列</t>
        </is>
      </c>
      <c r="N337" t="inlineStr">
        <is>
          <t>2026-05-18</t>
        </is>
      </c>
    </row>
    <row r="338">
      <c r="A338" t="inlineStr">
        <is>
          <t>ord_17bce313ec60</t>
        </is>
      </c>
      <c r="B338" t="inlineStr"/>
      <c r="C338" t="inlineStr">
        <is>
          <t>廣告受眾包</t>
        </is>
      </c>
      <c r="D338" t="inlineStr">
        <is>
          <t>醫療保健</t>
        </is>
      </c>
      <c r="E338" t="inlineStr">
        <is>
          <t>其他(品牌自操)</t>
        </is>
      </c>
      <c r="F338" t="inlineStr">
        <is>
          <t>麥麥生技</t>
        </is>
      </c>
      <c r="G338" t="inlineStr">
        <is>
          <t>2025-06-30</t>
        </is>
      </c>
      <c r="H338" t="n">
        <v>0</v>
      </c>
      <c r="I338" t="inlineStr">
        <is>
          <t>主題受眾包</t>
        </is>
      </c>
      <c r="J338" t="n">
        <v>0</v>
      </c>
      <c r="K338" t="inlineStr"/>
      <c r="L338" t="inlineStr">
        <is>
          <t>否</t>
        </is>
      </c>
      <c r="M338" t="inlineStr">
        <is>
          <t>16. 睡眠障礙族群
33. 電商平台高消費族
37. 質感生活粉領族
來源：委刊單(Order) 第 345 列</t>
        </is>
      </c>
      <c r="N338" t="inlineStr">
        <is>
          <t>2026-05-18</t>
        </is>
      </c>
    </row>
    <row r="339">
      <c r="A339" t="inlineStr">
        <is>
          <t>ord_3d394533859e</t>
        </is>
      </c>
      <c r="B339" t="inlineStr"/>
      <c r="C339" t="inlineStr">
        <is>
          <t>廣告受眾包</t>
        </is>
      </c>
      <c r="D339" t="inlineStr">
        <is>
          <t>休閒娛樂</t>
        </is>
      </c>
      <c r="E339" t="inlineStr">
        <is>
          <t>TenMax</t>
        </is>
      </c>
      <c r="F339" t="inlineStr">
        <is>
          <t>台中采寓</t>
        </is>
      </c>
      <c r="G339" t="inlineStr">
        <is>
          <t>2025-07-09</t>
        </is>
      </c>
      <c r="H339" t="n">
        <v>1800</v>
      </c>
      <c r="I339" t="inlineStr">
        <is>
          <t>ADID</t>
        </is>
      </c>
      <c r="J339" t="n">
        <v>36000</v>
      </c>
      <c r="K339" t="inlineStr">
        <is>
          <t>2025-07-10</t>
        </is>
      </c>
      <c r="L339" t="inlineStr">
        <is>
          <t>否</t>
        </is>
      </c>
      <c r="M339" t="inlineStr">
        <is>
          <t>專案名稱：台中采寓
訂單編號：PB2500415
來源：委刊單(Order) 第 346 列</t>
        </is>
      </c>
      <c r="N339" t="inlineStr">
        <is>
          <t>2026-05-18</t>
        </is>
      </c>
    </row>
    <row r="340">
      <c r="A340" t="inlineStr">
        <is>
          <t>ord_b19173decfb8</t>
        </is>
      </c>
      <c r="B340" t="inlineStr"/>
      <c r="C340" t="inlineStr">
        <is>
          <t>廣告受眾包</t>
        </is>
      </c>
      <c r="D340" t="inlineStr">
        <is>
          <t>快消品</t>
        </is>
      </c>
      <c r="E340" t="inlineStr">
        <is>
          <t>TenMax</t>
        </is>
      </c>
      <c r="F340" t="inlineStr">
        <is>
          <t>味之素-烹大師_7月</t>
        </is>
      </c>
      <c r="G340" t="inlineStr">
        <is>
          <t>2025-07-09</t>
        </is>
      </c>
      <c r="H340" t="n">
        <v>1350</v>
      </c>
      <c r="I340" t="inlineStr">
        <is>
          <t>ADID</t>
        </is>
      </c>
      <c r="J340" t="n">
        <v>13500</v>
      </c>
      <c r="K340" t="inlineStr">
        <is>
          <t>2025-07-10</t>
        </is>
      </c>
      <c r="L340" t="inlineStr">
        <is>
          <t>否</t>
        </is>
      </c>
      <c r="M340" t="inlineStr">
        <is>
          <t>專案名稱：味之素_烹大師
訂單編號：PB2500400
來源：委刊單(Order) 第 347 列</t>
        </is>
      </c>
      <c r="N340" t="inlineStr">
        <is>
          <t>2026-05-18</t>
        </is>
      </c>
    </row>
    <row r="341">
      <c r="A341" t="inlineStr">
        <is>
          <t>ord_aeda3033c762</t>
        </is>
      </c>
      <c r="B341" t="inlineStr"/>
      <c r="C341" t="inlineStr">
        <is>
          <t>廣告受眾包</t>
        </is>
      </c>
      <c r="D341" t="inlineStr">
        <is>
          <t>快消品</t>
        </is>
      </c>
      <c r="E341" t="inlineStr">
        <is>
          <t>TenMax</t>
        </is>
      </c>
      <c r="F341" t="inlineStr">
        <is>
          <t>味之素VONO_7月</t>
        </is>
      </c>
      <c r="G341" t="inlineStr">
        <is>
          <t>2025-07-09</t>
        </is>
      </c>
      <c r="H341" t="n">
        <v>1050</v>
      </c>
      <c r="I341" t="inlineStr">
        <is>
          <t>ADID</t>
        </is>
      </c>
      <c r="J341" t="n">
        <v>21000</v>
      </c>
      <c r="K341" t="inlineStr">
        <is>
          <t>2025-07-10</t>
        </is>
      </c>
      <c r="L341" t="inlineStr">
        <is>
          <t>否</t>
        </is>
      </c>
      <c r="M341" t="inlineStr">
        <is>
          <t>專案名稱：味之素_VONO
訂單編號：PB2500401
來源：委刊單(Order) 第 348 列</t>
        </is>
      </c>
      <c r="N341" t="inlineStr">
        <is>
          <t>2026-05-18</t>
        </is>
      </c>
    </row>
    <row r="342">
      <c r="A342" t="inlineStr">
        <is>
          <t>ord_c6790c6f3bf7</t>
        </is>
      </c>
      <c r="B342" t="inlineStr"/>
      <c r="C342" t="inlineStr">
        <is>
          <t>簡訊/推播</t>
        </is>
      </c>
      <c r="D342" t="inlineStr">
        <is>
          <t>電子商務</t>
        </is>
      </c>
      <c r="E342" t="inlineStr">
        <is>
          <t>iXresearch(創市際)</t>
        </is>
      </c>
      <c r="F342" t="inlineStr">
        <is>
          <t>問券調查</t>
        </is>
      </c>
      <c r="G342" t="inlineStr">
        <is>
          <t>2025-07-10</t>
        </is>
      </c>
      <c r="H342" t="n">
        <v>3100</v>
      </c>
      <c r="I342" t="inlineStr">
        <is>
          <t>專案</t>
        </is>
      </c>
      <c r="J342" t="n">
        <v>0</v>
      </c>
      <c r="K342" t="inlineStr">
        <is>
          <t>2025-07-10</t>
        </is>
      </c>
      <c r="L342" t="inlineStr">
        <is>
          <t>否</t>
        </is>
      </c>
      <c r="M342" t="inlineStr">
        <is>
          <t>來源：委刊單(Order) 第 349 列</t>
        </is>
      </c>
      <c r="N342" t="inlineStr">
        <is>
          <t>2026-05-18</t>
        </is>
      </c>
    </row>
    <row r="343">
      <c r="A343" t="inlineStr">
        <is>
          <t>ord_bec2f1cf2076</t>
        </is>
      </c>
      <c r="B343" t="inlineStr"/>
      <c r="C343" t="inlineStr">
        <is>
          <t>廣告受眾包</t>
        </is>
      </c>
      <c r="D343" t="inlineStr">
        <is>
          <t>電子商務</t>
        </is>
      </c>
      <c r="E343" t="inlineStr">
        <is>
          <t>其他(品牌自操)</t>
        </is>
      </c>
      <c r="F343" t="inlineStr">
        <is>
          <t>Wstyle</t>
        </is>
      </c>
      <c r="G343" t="inlineStr">
        <is>
          <t>2025-07-22</t>
        </is>
      </c>
      <c r="H343" t="n">
        <v>34285</v>
      </c>
      <c r="I343" t="inlineStr">
        <is>
          <t>主題受眾包</t>
        </is>
      </c>
      <c r="J343" t="n">
        <v>0</v>
      </c>
      <c r="K343" t="inlineStr">
        <is>
          <t>2025-08-14</t>
        </is>
      </c>
      <c r="L343" t="inlineStr">
        <is>
          <t>否</t>
        </is>
      </c>
      <c r="M343" t="inlineStr">
        <is>
          <t>3.抗老保養輕熟女
18.快時尚忠誠粉絲
37.質感生活粉領族
來源：委刊單(Order) 第 350 列</t>
        </is>
      </c>
      <c r="N343" t="inlineStr">
        <is>
          <t>2026-05-18</t>
        </is>
      </c>
    </row>
    <row r="344">
      <c r="A344" t="inlineStr">
        <is>
          <t>ord_54d6251a2567</t>
        </is>
      </c>
      <c r="B344" t="inlineStr"/>
      <c r="C344" t="inlineStr">
        <is>
          <t>廣告受眾包</t>
        </is>
      </c>
      <c r="D344" t="inlineStr">
        <is>
          <t>快消品</t>
        </is>
      </c>
      <c r="E344" t="inlineStr">
        <is>
          <t>星傳</t>
        </is>
      </c>
      <c r="F344" t="inlineStr">
        <is>
          <t>P&amp;G_Pampers Costco</t>
        </is>
      </c>
      <c r="G344" t="inlineStr">
        <is>
          <t>2025-07-22</t>
        </is>
      </c>
      <c r="H344" t="n">
        <v>40000</v>
      </c>
      <c r="I344" t="inlineStr">
        <is>
          <t>ADID</t>
        </is>
      </c>
      <c r="J344" t="n">
        <v>0</v>
      </c>
      <c r="K344" t="inlineStr"/>
      <c r="L344" t="inlineStr">
        <is>
          <t>否</t>
        </is>
      </c>
      <c r="M344" t="inlineStr">
        <is>
          <t>平台抓取
來源：委刊單(Order) 第 351 列</t>
        </is>
      </c>
      <c r="N344" t="inlineStr">
        <is>
          <t>2026-05-18</t>
        </is>
      </c>
    </row>
    <row r="345">
      <c r="A345" t="inlineStr">
        <is>
          <t>ord_e36b8ff8d3f7</t>
        </is>
      </c>
      <c r="B345" t="inlineStr"/>
      <c r="C345" t="inlineStr">
        <is>
          <t>廣告受眾包</t>
        </is>
      </c>
      <c r="D345" t="inlineStr">
        <is>
          <t>零售產業</t>
        </is>
      </c>
      <c r="E345" t="inlineStr">
        <is>
          <t>星傳</t>
        </is>
      </c>
      <c r="F345" t="inlineStr">
        <is>
          <t>Costco</t>
        </is>
      </c>
      <c r="G345" t="inlineStr">
        <is>
          <t>2025-07-22</t>
        </is>
      </c>
      <c r="H345" t="n">
        <v>40000</v>
      </c>
      <c r="I345" t="inlineStr">
        <is>
          <t>ADID</t>
        </is>
      </c>
      <c r="J345" t="n">
        <v>0</v>
      </c>
      <c r="K345" t="inlineStr"/>
      <c r="L345" t="inlineStr">
        <is>
          <t>否</t>
        </is>
      </c>
      <c r="M345" t="inlineStr">
        <is>
          <t>平台抓取
來源：委刊單(Order) 第 352 列</t>
        </is>
      </c>
      <c r="N345" t="inlineStr">
        <is>
          <t>2026-05-18</t>
        </is>
      </c>
    </row>
    <row r="346">
      <c r="A346" t="inlineStr">
        <is>
          <t>ord_2decbfdc6c27</t>
        </is>
      </c>
      <c r="B346" t="inlineStr"/>
      <c r="C346" t="inlineStr">
        <is>
          <t>廣告受眾包</t>
        </is>
      </c>
      <c r="D346" t="inlineStr">
        <is>
          <t>教育產業</t>
        </is>
      </c>
      <c r="E346" t="inlineStr">
        <is>
          <t>其他(品牌自操)</t>
        </is>
      </c>
      <c r="F346" t="inlineStr">
        <is>
          <t>臺灣各種吧股份有限公司</t>
        </is>
      </c>
      <c r="G346" t="inlineStr">
        <is>
          <t>2025-07-23</t>
        </is>
      </c>
      <c r="H346" t="n">
        <v>0</v>
      </c>
      <c r="I346" t="inlineStr">
        <is>
          <t>主題受眾包</t>
        </is>
      </c>
      <c r="J346" t="n">
        <v>0</v>
      </c>
      <c r="K346" t="inlineStr"/>
      <c r="L346" t="inlineStr">
        <is>
          <t>否</t>
        </is>
      </c>
      <c r="M346" t="inlineStr">
        <is>
          <t>12. 青春期育兒族
來源：委刊單(Order) 第 353 列</t>
        </is>
      </c>
      <c r="N346" t="inlineStr">
        <is>
          <t>2026-05-18</t>
        </is>
      </c>
    </row>
    <row r="347">
      <c r="A347" t="inlineStr">
        <is>
          <t>ord_da389b074bba</t>
        </is>
      </c>
      <c r="B347" t="inlineStr"/>
      <c r="C347" t="inlineStr">
        <is>
          <t>廣告受眾包</t>
        </is>
      </c>
      <c r="D347" t="inlineStr">
        <is>
          <t>快消品</t>
        </is>
      </c>
      <c r="E347" t="inlineStr">
        <is>
          <t>Appier</t>
        </is>
      </c>
      <c r="F347" t="inlineStr">
        <is>
          <t>保健產業受眾包0724</t>
        </is>
      </c>
      <c r="G347" t="inlineStr">
        <is>
          <t>2025-07-25</t>
        </is>
      </c>
      <c r="H347" t="n">
        <v>20000</v>
      </c>
      <c r="I347" t="inlineStr">
        <is>
          <t>ADID</t>
        </is>
      </c>
      <c r="J347" t="n">
        <v>20000</v>
      </c>
      <c r="K347" t="inlineStr">
        <is>
          <t>2025-07-25</t>
        </is>
      </c>
      <c r="L347" t="inlineStr">
        <is>
          <t>否</t>
        </is>
      </c>
      <c r="M347" t="inlineStr">
        <is>
          <t>近90天發票數據 
 [商品] 嬰幼兒產品 ex: 嬰兒奶粉、嬰兒床、奶瓶、奶嘴、哺乳器、推車、汽座、包屁衣、屁屁膏、尿布.. 
[通路] 各大線上+線下通路 ex: MOMO、PChome、露天市集、Momo、蝦皮、淘寶、Coupang...等
來源：委刊單(Order) 第 354 列</t>
        </is>
      </c>
      <c r="N347" t="inlineStr">
        <is>
          <t>2026-05-18</t>
        </is>
      </c>
    </row>
    <row r="348">
      <c r="A348" t="inlineStr">
        <is>
          <t>ord_1f86d267b519</t>
        </is>
      </c>
      <c r="B348" t="inlineStr"/>
      <c r="C348" t="inlineStr">
        <is>
          <t>廣告受眾包</t>
        </is>
      </c>
      <c r="D348" t="inlineStr">
        <is>
          <t>醫療保健</t>
        </is>
      </c>
      <c r="E348" t="inlineStr">
        <is>
          <t>Appier</t>
        </is>
      </c>
      <c r="F348" t="inlineStr">
        <is>
          <t>保健產業受眾包0728</t>
        </is>
      </c>
      <c r="G348" t="inlineStr">
        <is>
          <t>2025-07-25</t>
        </is>
      </c>
      <c r="H348" t="n">
        <v>20000</v>
      </c>
      <c r="I348" t="inlineStr">
        <is>
          <t>ADID</t>
        </is>
      </c>
      <c r="J348" t="n">
        <v>20000</v>
      </c>
      <c r="K348" t="inlineStr">
        <is>
          <t>2025-07-28</t>
        </is>
      </c>
      <c r="L348" t="inlineStr">
        <is>
          <t>否</t>
        </is>
      </c>
      <c r="M348" t="inlineStr">
        <is>
          <t>TA1 : 醫生、護理人員  ID：5,000筆
 TA2 : 高經濟能力  ID：5,000筆
TA3 : 高風險族群    ID：10,000筆
來源：委刊單(Order) 第 355 列</t>
        </is>
      </c>
      <c r="N348" t="inlineStr">
        <is>
          <t>2026-05-18</t>
        </is>
      </c>
    </row>
    <row r="349">
      <c r="A349" t="inlineStr">
        <is>
          <t>ord_fa73884a3a26</t>
        </is>
      </c>
      <c r="B349" t="inlineStr"/>
      <c r="C349" t="inlineStr">
        <is>
          <t>廣告受眾包</t>
        </is>
      </c>
      <c r="D349" t="inlineStr">
        <is>
          <t>醫療保健</t>
        </is>
      </c>
      <c r="E349" t="inlineStr">
        <is>
          <t>Appier</t>
        </is>
      </c>
      <c r="F349" t="inlineStr">
        <is>
          <t>保健產業受眾包0815</t>
        </is>
      </c>
      <c r="G349" t="inlineStr">
        <is>
          <t>2025-07-25</t>
        </is>
      </c>
      <c r="H349" t="n">
        <v>10000</v>
      </c>
      <c r="I349" t="inlineStr">
        <is>
          <t>ADID</t>
        </is>
      </c>
      <c r="J349" t="n">
        <v>10000</v>
      </c>
      <c r="K349" t="inlineStr"/>
      <c r="L349" t="inlineStr">
        <is>
          <t>否</t>
        </is>
      </c>
      <c r="M349" t="inlineStr">
        <is>
          <t>一年內
【品項】優美纖、康孅伴、脂樂克、m2美度超能窈窕錠、超能馬甲錠、CHOYER曲易、船井極纖錠、葡萄王易得纖、打卡錠、新普利夜校素、大研生醫苦瓜胜肽、DV麗彤雙樂纖、羅氏鮮、紐斯麗、纖之韻、康寶萊、沙拉、白腎豆、非洲芒果籽、兒茶素、油切、酵素、澱粉阻斷…等
【通路】全省藥局、MOMO、蝦皮、PChome、屈臣氏、康是美、家樂福、大潤發、全聯、Costco...等
來源：委刊單(Order) 第 356 列</t>
        </is>
      </c>
      <c r="N349" t="inlineStr">
        <is>
          <t>2026-05-18</t>
        </is>
      </c>
    </row>
    <row r="350">
      <c r="A350" t="inlineStr">
        <is>
          <t>ord_fb1f8f6543d9</t>
        </is>
      </c>
      <c r="B350" t="inlineStr"/>
      <c r="C350" t="inlineStr">
        <is>
          <t>廣告受眾包</t>
        </is>
      </c>
      <c r="D350" t="inlineStr">
        <is>
          <t>APP、遊戲</t>
        </is>
      </c>
      <c r="E350" t="inlineStr">
        <is>
          <t>永恆</t>
        </is>
      </c>
      <c r="F350" t="inlineStr">
        <is>
          <t>主題受眾包</t>
        </is>
      </c>
      <c r="G350" t="inlineStr">
        <is>
          <t>2025-07-25</t>
        </is>
      </c>
      <c r="H350" t="n">
        <v>100000</v>
      </c>
      <c r="I350" t="inlineStr">
        <is>
          <t>主題受眾包</t>
        </is>
      </c>
      <c r="J350" t="n">
        <v>0</v>
      </c>
      <c r="K350" t="inlineStr">
        <is>
          <t>依序交付</t>
        </is>
      </c>
      <c r="L350" t="inlineStr">
        <is>
          <t>否</t>
        </is>
      </c>
      <c r="M350" t="inlineStr">
        <is>
          <t>20包主題受眾包已給9包(皆擴圈至30萬左右)
7/25交付  44.夜貓手滑族
8/4 交付1.電競客金玩家、22.投資理財達人、36.成功白領菁英、49.百貨周年慶VIP
8/5交付 28.連鎖超市採購族、37.質感生活粉領族
8/7交付 2.高消費保健養身族群、29.超商飲料愛好者
8/12交付 47. 618高消費潛力客、30. 連鎖藥局高消費者、18. 快時尚忠誠粉絲、26. 北部專櫃精品貴婦
來源：委刊單(Order) 第 357 列</t>
        </is>
      </c>
      <c r="N350" t="inlineStr">
        <is>
          <t>2026-05-18</t>
        </is>
      </c>
    </row>
    <row r="351">
      <c r="A351" t="inlineStr">
        <is>
          <t>ord_09c74a8c689a</t>
        </is>
      </c>
      <c r="B351" t="inlineStr"/>
      <c r="C351" t="inlineStr">
        <is>
          <t>廣告受眾包</t>
        </is>
      </c>
      <c r="D351" t="inlineStr">
        <is>
          <t>零售產業</t>
        </is>
      </c>
      <c r="E351" t="inlineStr">
        <is>
          <t>Appier</t>
        </is>
      </c>
      <c r="F351" t="inlineStr">
        <is>
          <t>保健產業受眾包0806</t>
        </is>
      </c>
      <c r="G351" t="inlineStr">
        <is>
          <t>2025-07-29</t>
        </is>
      </c>
      <c r="H351" t="n">
        <v>20000</v>
      </c>
      <c r="I351" t="inlineStr">
        <is>
          <t>ADID</t>
        </is>
      </c>
      <c r="J351" t="n">
        <v>10000</v>
      </c>
      <c r="K351" t="inlineStr">
        <is>
          <t>2025-07-30</t>
        </is>
      </c>
      <c r="L351" t="inlineStr">
        <is>
          <t>否</t>
        </is>
      </c>
      <c r="M351" t="inlineStr">
        <is>
          <t>TA1 : 麵包控    ID： 10,000筆
近30天內不限通路，買過菠蘿、可頌、丹麥麵包，且每周頻率&gt;3次以上者
TA2： 超商族   ID： 10,000筆
近30天內，每周出沒超商&gt;4次以上者
來源：委刊單(Order) 第 358 列</t>
        </is>
      </c>
      <c r="N351" t="inlineStr">
        <is>
          <t>2026-05-18</t>
        </is>
      </c>
    </row>
    <row r="352">
      <c r="A352" t="inlineStr">
        <is>
          <t>ord_742038a45722</t>
        </is>
      </c>
      <c r="B352" t="inlineStr"/>
      <c r="C352" t="inlineStr">
        <is>
          <t>單次發票數據</t>
        </is>
      </c>
      <c r="D352" t="inlineStr">
        <is>
          <t>零售產業</t>
        </is>
      </c>
      <c r="E352" t="inlineStr">
        <is>
          <t>Migo</t>
        </is>
      </c>
      <c r="F352" t="inlineStr">
        <is>
          <t>傢俱產業專案_發票數據暨廣告受眾包合作專案</t>
        </is>
      </c>
      <c r="G352" t="inlineStr">
        <is>
          <t>2025-07-30</t>
        </is>
      </c>
      <c r="H352" t="n">
        <v>45000</v>
      </c>
      <c r="I352" t="inlineStr">
        <is>
          <t>專案</t>
        </is>
      </c>
      <c r="J352" t="n">
        <v>0</v>
      </c>
      <c r="K352" t="inlineStr"/>
      <c r="L352" t="inlineStr">
        <is>
          <t>否</t>
        </is>
      </c>
      <c r="M352" t="inlineStr">
        <is>
          <t>依提供之會員名單比對並交付比對到的名單之發票明細資料
(Email + 手機 綜合比對去重後：共可比對成功 10,692 筆，比對率約 20%)
來源：委刊單(Order) 第 359 列</t>
        </is>
      </c>
      <c r="N352" t="inlineStr">
        <is>
          <t>2026-05-18</t>
        </is>
      </c>
    </row>
    <row r="353">
      <c r="A353" t="inlineStr">
        <is>
          <t>ord_0100eef4073a</t>
        </is>
      </c>
      <c r="B353" t="inlineStr"/>
      <c r="C353" t="inlineStr">
        <is>
          <t>廣告受眾包</t>
        </is>
      </c>
      <c r="D353" t="inlineStr">
        <is>
          <t>醫療保健</t>
        </is>
      </c>
      <c r="E353" t="inlineStr">
        <is>
          <t>其他(品牌自操)</t>
        </is>
      </c>
      <c r="F353" t="inlineStr">
        <is>
          <t>TVBS_享食尚</t>
        </is>
      </c>
      <c r="G353" t="inlineStr">
        <is>
          <t>2025-07-30</t>
        </is>
      </c>
      <c r="H353" t="n">
        <v>60000</v>
      </c>
      <c r="I353" t="inlineStr">
        <is>
          <t>ADID
Hash Email</t>
        </is>
      </c>
      <c r="J353" t="n">
        <v>253734</v>
      </c>
      <c r="K353" t="inlineStr">
        <is>
          <t>2025-08-01</t>
        </is>
      </c>
      <c r="L353" t="inlineStr">
        <is>
          <t>否</t>
        </is>
      </c>
      <c r="M353" t="inlineStr">
        <is>
          <t>舒壓需求_無鎖定
品名關鍵字：
香氛、舒壓、放鬆、芳療、舒緩茶、瑜伽、安眠、助眠、好眠、芳療 、舒眠、按摩 、安神、入睡
消費區間：2025-01-26~2025-07-21 
年齡：30歲+
其餘條件不限
來源：委刊單(Order) 第 360 列</t>
        </is>
      </c>
      <c r="N353" t="inlineStr">
        <is>
          <t>2026-05-18</t>
        </is>
      </c>
    </row>
    <row r="354">
      <c r="A354" t="inlineStr">
        <is>
          <t>ord_f82252b9a56f</t>
        </is>
      </c>
      <c r="B354" t="inlineStr"/>
      <c r="C354" t="inlineStr">
        <is>
          <t>簡訊/推播</t>
        </is>
      </c>
      <c r="D354" t="inlineStr">
        <is>
          <t>快消品</t>
        </is>
      </c>
      <c r="E354" t="inlineStr">
        <is>
          <t>東方線上</t>
        </is>
      </c>
      <c r="F354" t="inlineStr">
        <is>
          <t>問券調查</t>
        </is>
      </c>
      <c r="G354" t="inlineStr">
        <is>
          <t>2025-07-14</t>
        </is>
      </c>
      <c r="H354" t="n">
        <v>5000</v>
      </c>
      <c r="I354" t="inlineStr">
        <is>
          <t>專案</t>
        </is>
      </c>
      <c r="J354" t="n">
        <v>0</v>
      </c>
      <c r="K354" t="inlineStr">
        <is>
          <t>2025-08-05</t>
        </is>
      </c>
      <c r="L354" t="inlineStr">
        <is>
          <t>否</t>
        </is>
      </c>
      <c r="M354" t="inlineStr">
        <is>
          <t>洗衣精調查推播
來源：委刊單(Order) 第 363 列</t>
        </is>
      </c>
      <c r="N354" t="inlineStr">
        <is>
          <t>2026-05-18</t>
        </is>
      </c>
    </row>
    <row r="355">
      <c r="A355" t="inlineStr">
        <is>
          <t>ord_0b80ca43452d</t>
        </is>
      </c>
      <c r="B355" t="inlineStr"/>
      <c r="C355" t="inlineStr">
        <is>
          <t>簡訊/推播</t>
        </is>
      </c>
      <c r="D355" t="inlineStr">
        <is>
          <t>快消品</t>
        </is>
      </c>
      <c r="E355" t="inlineStr">
        <is>
          <t>東方線上</t>
        </is>
      </c>
      <c r="F355" t="inlineStr">
        <is>
          <t>問券調查</t>
        </is>
      </c>
      <c r="G355" t="inlineStr">
        <is>
          <t>2025-07-14</t>
        </is>
      </c>
      <c r="H355" t="n">
        <v>5000</v>
      </c>
      <c r="I355" t="inlineStr">
        <is>
          <t>專案</t>
        </is>
      </c>
      <c r="J355" t="n">
        <v>0</v>
      </c>
      <c r="K355" t="inlineStr">
        <is>
          <t>2025-08-16</t>
        </is>
      </c>
      <c r="L355" t="inlineStr">
        <is>
          <t>否</t>
        </is>
      </c>
      <c r="M355" t="inlineStr">
        <is>
          <t>飲料調查推播
來源：委刊單(Order) 第 364 列</t>
        </is>
      </c>
      <c r="N355" t="inlineStr">
        <is>
          <t>2026-05-18</t>
        </is>
      </c>
    </row>
    <row r="356">
      <c r="A356" t="inlineStr">
        <is>
          <t>ord_6b724a5a1024</t>
        </is>
      </c>
      <c r="B356" t="inlineStr"/>
      <c r="C356" t="inlineStr">
        <is>
          <t>廣告受眾包</t>
        </is>
      </c>
      <c r="D356" t="inlineStr">
        <is>
          <t>快消品</t>
        </is>
      </c>
      <c r="E356" t="inlineStr">
        <is>
          <t>星傳</t>
        </is>
      </c>
      <c r="F356" t="inlineStr">
        <is>
          <t>Olay</t>
        </is>
      </c>
      <c r="G356" t="inlineStr">
        <is>
          <t>2025-08-07</t>
        </is>
      </c>
      <c r="H356" t="n">
        <v>55000</v>
      </c>
      <c r="I356" t="inlineStr">
        <is>
          <t>ADID</t>
        </is>
      </c>
      <c r="J356" t="n">
        <v>0</v>
      </c>
      <c r="K356" t="inlineStr"/>
      <c r="L356" t="inlineStr">
        <is>
          <t>否</t>
        </is>
      </c>
      <c r="M356" t="inlineStr">
        <is>
          <t>平台抓取
來源：委刊單(Order) 第 365 列</t>
        </is>
      </c>
      <c r="N356" t="inlineStr">
        <is>
          <t>2026-05-18</t>
        </is>
      </c>
    </row>
    <row r="357">
      <c r="A357" t="inlineStr">
        <is>
          <t>ord_31a25427bac3</t>
        </is>
      </c>
      <c r="B357" t="inlineStr"/>
      <c r="C357" t="inlineStr">
        <is>
          <t>廣告受眾包</t>
        </is>
      </c>
      <c r="D357" t="inlineStr">
        <is>
          <t>快消品</t>
        </is>
      </c>
      <c r="E357" t="inlineStr">
        <is>
          <t>星傳</t>
        </is>
      </c>
      <c r="F357" t="inlineStr">
        <is>
          <t>Olay</t>
        </is>
      </c>
      <c r="G357" t="inlineStr">
        <is>
          <t>2025-08-07</t>
        </is>
      </c>
      <c r="H357" t="n">
        <v>16500</v>
      </c>
      <c r="I357" t="inlineStr">
        <is>
          <t>Meta 離線API</t>
        </is>
      </c>
      <c r="J357" t="n">
        <v>0</v>
      </c>
      <c r="K357" t="inlineStr"/>
      <c r="L357" t="inlineStr">
        <is>
          <t>否</t>
        </is>
      </c>
      <c r="M357" t="inlineStr">
        <is>
          <t>Meta離線串接
來源：委刊單(Order) 第 366 列</t>
        </is>
      </c>
      <c r="N357" t="inlineStr">
        <is>
          <t>2026-05-18</t>
        </is>
      </c>
    </row>
    <row r="358">
      <c r="A358" t="inlineStr">
        <is>
          <t>ord_0f90a6be25d7</t>
        </is>
      </c>
      <c r="B358" t="inlineStr"/>
      <c r="C358" t="inlineStr">
        <is>
          <t>廣告受眾包</t>
        </is>
      </c>
      <c r="D358" t="inlineStr">
        <is>
          <t>醫療保健</t>
        </is>
      </c>
      <c r="E358" t="inlineStr">
        <is>
          <t>DAC</t>
        </is>
      </c>
      <c r="F358" t="inlineStr">
        <is>
          <t>三得利</t>
        </is>
      </c>
      <c r="G358" t="inlineStr">
        <is>
          <t>2025-08-01</t>
        </is>
      </c>
      <c r="H358" t="n">
        <v>42000</v>
      </c>
      <c r="I358" t="inlineStr">
        <is>
          <t>ADID
Hash Email</t>
        </is>
      </c>
      <c r="J358" t="n">
        <v>0</v>
      </c>
      <c r="K358" t="inlineStr">
        <is>
          <t>2025-08-06</t>
        </is>
      </c>
      <c r="L358" t="inlineStr">
        <is>
          <t>否</t>
        </is>
      </c>
      <c r="M358" t="inlineStr">
        <is>
          <t>近1年購買EX相關競品（2023/7-2025/7_簡化版2.0）
ID：53,655筆
來源：委刊單(Order) 第 367 列</t>
        </is>
      </c>
      <c r="N358" t="inlineStr">
        <is>
          <t>2026-05-18</t>
        </is>
      </c>
    </row>
    <row r="359">
      <c r="A359" t="inlineStr">
        <is>
          <t>ord_162b0b66bfae</t>
        </is>
      </c>
      <c r="B359" t="inlineStr"/>
      <c r="C359" t="inlineStr">
        <is>
          <t>廣告受眾包</t>
        </is>
      </c>
      <c r="D359" t="inlineStr">
        <is>
          <t>快消品</t>
        </is>
      </c>
      <c r="E359" t="inlineStr">
        <is>
          <t>TenMax</t>
        </is>
      </c>
      <c r="F359" t="inlineStr">
        <is>
          <t>味之素-烹大師_8月</t>
        </is>
      </c>
      <c r="G359" t="inlineStr">
        <is>
          <t>2025-08-08</t>
        </is>
      </c>
      <c r="H359" t="n">
        <v>1350</v>
      </c>
      <c r="I359" t="inlineStr">
        <is>
          <t>ADID</t>
        </is>
      </c>
      <c r="J359" t="n">
        <v>13500</v>
      </c>
      <c r="K359" t="inlineStr">
        <is>
          <t>2025-08-08</t>
        </is>
      </c>
      <c r="L359" t="inlineStr">
        <is>
          <t>否</t>
        </is>
      </c>
      <c r="M359" t="inlineStr">
        <is>
          <t>專案名稱：味之素_烹大師
訂單編號：PB2500473
來源：委刊單(Order) 第 368 列</t>
        </is>
      </c>
      <c r="N359" t="inlineStr">
        <is>
          <t>2026-05-18</t>
        </is>
      </c>
    </row>
    <row r="360">
      <c r="A360" t="inlineStr">
        <is>
          <t>ord_290be919d92a</t>
        </is>
      </c>
      <c r="B360" t="inlineStr"/>
      <c r="C360" t="inlineStr">
        <is>
          <t>廣告受眾包</t>
        </is>
      </c>
      <c r="D360" t="inlineStr">
        <is>
          <t>快消品</t>
        </is>
      </c>
      <c r="E360" t="inlineStr">
        <is>
          <t>TenMax</t>
        </is>
      </c>
      <c r="F360" t="inlineStr">
        <is>
          <t>味之素VONO_8月</t>
        </is>
      </c>
      <c r="G360" t="inlineStr">
        <is>
          <t>2025-08-08</t>
        </is>
      </c>
      <c r="H360" t="n">
        <v>1050</v>
      </c>
      <c r="I360" t="inlineStr">
        <is>
          <t>ADID</t>
        </is>
      </c>
      <c r="J360" t="n">
        <v>21000</v>
      </c>
      <c r="K360" t="inlineStr">
        <is>
          <t>2025-08-08</t>
        </is>
      </c>
      <c r="L360" t="inlineStr">
        <is>
          <t>否</t>
        </is>
      </c>
      <c r="M360" t="inlineStr">
        <is>
          <t>專案名稱：味之素_VONO
訂單編號：PB2500472
來源：委刊單(Order) 第 369 列</t>
        </is>
      </c>
      <c r="N360" t="inlineStr">
        <is>
          <t>2026-05-18</t>
        </is>
      </c>
    </row>
    <row r="361">
      <c r="A361" t="inlineStr">
        <is>
          <t>ord_367f47b3274b</t>
        </is>
      </c>
      <c r="B361" t="inlineStr"/>
      <c r="C361" t="inlineStr">
        <is>
          <t>廣告受眾包</t>
        </is>
      </c>
      <c r="D361" t="inlineStr">
        <is>
          <t>快消品</t>
        </is>
      </c>
      <c r="E361" t="inlineStr">
        <is>
          <t>TenMax</t>
        </is>
      </c>
      <c r="F361" t="inlineStr">
        <is>
          <t>味之素_AGF_8月</t>
        </is>
      </c>
      <c r="G361" t="inlineStr">
        <is>
          <t>2025-08-08</t>
        </is>
      </c>
      <c r="H361" t="n">
        <v>540</v>
      </c>
      <c r="I361" t="inlineStr">
        <is>
          <t>ADID</t>
        </is>
      </c>
      <c r="J361" t="n">
        <v>5400</v>
      </c>
      <c r="K361" t="inlineStr">
        <is>
          <t>2025-08-08</t>
        </is>
      </c>
      <c r="L361" t="inlineStr">
        <is>
          <t>否</t>
        </is>
      </c>
      <c r="M361" t="inlineStr">
        <is>
          <t>專案名稱：味之素_AGF
訂單編號：PB2500471
來源：委刊單(Order) 第 370 列</t>
        </is>
      </c>
      <c r="N361" t="inlineStr">
        <is>
          <t>2026-05-18</t>
        </is>
      </c>
    </row>
    <row r="362">
      <c r="A362" t="inlineStr">
        <is>
          <t>ord_7edf49642c19</t>
        </is>
      </c>
      <c r="B362" t="inlineStr"/>
      <c r="C362" t="inlineStr">
        <is>
          <t>廣告受眾包</t>
        </is>
      </c>
      <c r="D362" t="inlineStr">
        <is>
          <t>公部門</t>
        </is>
      </c>
      <c r="E362" t="inlineStr">
        <is>
          <t>TenMax</t>
        </is>
      </c>
      <c r="F362" t="inlineStr">
        <is>
          <t>衛福部_長照專區</t>
        </is>
      </c>
      <c r="G362" t="inlineStr">
        <is>
          <t>2025-08-05</t>
        </is>
      </c>
      <c r="H362" t="n">
        <v>4800</v>
      </c>
      <c r="I362" t="inlineStr">
        <is>
          <t>ADID</t>
        </is>
      </c>
      <c r="J362" t="n">
        <v>96000</v>
      </c>
      <c r="K362" t="inlineStr">
        <is>
          <t>2025-08-08</t>
        </is>
      </c>
      <c r="L362" t="inlineStr">
        <is>
          <t>否</t>
        </is>
      </c>
      <c r="M362" t="inlineStr">
        <is>
          <t>專案名稱：衛福部_長照專區_TenMax Video_2508
訂單編號：PB2500455
來源：委刊單(Order) 第 371 列</t>
        </is>
      </c>
      <c r="N362" t="inlineStr">
        <is>
          <t>2026-05-18</t>
        </is>
      </c>
    </row>
    <row r="363">
      <c r="A363" t="inlineStr">
        <is>
          <t>ord_3bc4ea577c95</t>
        </is>
      </c>
      <c r="B363" t="inlineStr"/>
      <c r="C363" t="inlineStr">
        <is>
          <t>廣告受眾包</t>
        </is>
      </c>
      <c r="D363" t="inlineStr">
        <is>
          <t>公部門</t>
        </is>
      </c>
      <c r="E363" t="inlineStr">
        <is>
          <t>TenMax</t>
        </is>
      </c>
      <c r="F363" t="inlineStr">
        <is>
          <t>台灣癌症基金會</t>
        </is>
      </c>
      <c r="G363" t="inlineStr">
        <is>
          <t>2025-08-08</t>
        </is>
      </c>
      <c r="H363" t="n">
        <v>2160</v>
      </c>
      <c r="I363" t="inlineStr">
        <is>
          <t>ADID</t>
        </is>
      </c>
      <c r="J363" t="n">
        <v>43200</v>
      </c>
      <c r="K363" t="inlineStr">
        <is>
          <t>2025-08-08</t>
        </is>
      </c>
      <c r="L363" t="inlineStr">
        <is>
          <t>否</t>
        </is>
      </c>
      <c r="M363" t="inlineStr">
        <is>
          <t>專案名稱：台灣癌症基金會
訂單編號：PB2500491
來源：委刊單(Order) 第 372 列</t>
        </is>
      </c>
      <c r="N363" t="inlineStr">
        <is>
          <t>2026-05-18</t>
        </is>
      </c>
    </row>
    <row r="364">
      <c r="A364" t="inlineStr">
        <is>
          <t>ord_9ea0761b0b22</t>
        </is>
      </c>
      <c r="B364" t="inlineStr"/>
      <c r="C364" t="inlineStr">
        <is>
          <t>廣告受眾包</t>
        </is>
      </c>
      <c r="D364" t="inlineStr">
        <is>
          <t>零售產業</t>
        </is>
      </c>
      <c r="E364" t="inlineStr">
        <is>
          <t>Cacafly</t>
        </is>
      </c>
      <c r="F364" t="inlineStr">
        <is>
          <t>吉品養生</t>
        </is>
      </c>
      <c r="G364" t="inlineStr">
        <is>
          <t>2025-08-08</t>
        </is>
      </c>
      <c r="H364" t="n">
        <v>51000</v>
      </c>
      <c r="I364" t="inlineStr">
        <is>
          <t>ADID</t>
        </is>
      </c>
      <c r="J364" t="n">
        <v>65001</v>
      </c>
      <c r="K364" t="inlineStr"/>
      <c r="L364" t="inlineStr">
        <is>
          <t>否</t>
        </is>
      </c>
      <c r="M364" t="inlineStr">
        <is>
          <t>客製受眾中式糕點+主題包
來源：委刊單(Order) 第 373 列</t>
        </is>
      </c>
      <c r="N364" t="inlineStr">
        <is>
          <t>2026-05-18</t>
        </is>
      </c>
    </row>
    <row r="365">
      <c r="A365" t="inlineStr">
        <is>
          <t>ord_e6339ce7c6f6</t>
        </is>
      </c>
      <c r="B365" t="inlineStr"/>
      <c r="C365" t="inlineStr">
        <is>
          <t>廣告受眾包</t>
        </is>
      </c>
      <c r="D365" t="inlineStr">
        <is>
          <t>電信通訊</t>
        </is>
      </c>
      <c r="E365" t="inlineStr">
        <is>
          <t>星傳</t>
        </is>
      </c>
      <c r="F365" t="inlineStr">
        <is>
          <t>Samsung</t>
        </is>
      </c>
      <c r="G365" t="inlineStr">
        <is>
          <t>2025-08-08</t>
        </is>
      </c>
      <c r="H365" t="n">
        <v>40000</v>
      </c>
      <c r="I365" t="inlineStr">
        <is>
          <t>ADID</t>
        </is>
      </c>
      <c r="J365" t="n">
        <v>0</v>
      </c>
      <c r="K365" t="inlineStr"/>
      <c r="L365" t="inlineStr">
        <is>
          <t>否</t>
        </is>
      </c>
      <c r="M365" t="inlineStr">
        <is>
          <t>平台抓取
來源：委刊單(Order) 第 374 列</t>
        </is>
      </c>
      <c r="N365" t="inlineStr">
        <is>
          <t>2026-05-18</t>
        </is>
      </c>
    </row>
    <row r="366">
      <c r="A366" t="inlineStr">
        <is>
          <t>ord_c442f81a60ec</t>
        </is>
      </c>
      <c r="B366" t="inlineStr"/>
      <c r="C366" t="inlineStr">
        <is>
          <t>廣告受眾包</t>
        </is>
      </c>
      <c r="D366" t="inlineStr">
        <is>
          <t>休閒娛樂</t>
        </is>
      </c>
      <c r="E366" t="inlineStr">
        <is>
          <t>其他(品牌自操)</t>
        </is>
      </c>
      <c r="F366" t="inlineStr">
        <is>
          <t>樂遊玩家</t>
        </is>
      </c>
      <c r="G366" t="inlineStr">
        <is>
          <t>2025-08-07</t>
        </is>
      </c>
      <c r="H366" t="n">
        <v>18000</v>
      </c>
      <c r="I366" t="inlineStr">
        <is>
          <t>主題受眾包</t>
        </is>
      </c>
      <c r="J366" t="n">
        <v>0</v>
      </c>
      <c r="K366" t="inlineStr"/>
      <c r="L366" t="inlineStr">
        <is>
          <t>否</t>
        </is>
      </c>
      <c r="M366" t="inlineStr">
        <is>
          <t>旅遊享樂族
Meta共享受眾
來源：委刊單(Order) 第 375 列</t>
        </is>
      </c>
      <c r="N366" t="inlineStr">
        <is>
          <t>2026-05-18</t>
        </is>
      </c>
    </row>
    <row r="367">
      <c r="A367" t="inlineStr">
        <is>
          <t>ord_4012a491b2be</t>
        </is>
      </c>
      <c r="B367" t="inlineStr"/>
      <c r="C367" t="inlineStr">
        <is>
          <t>單次發票數據</t>
        </is>
      </c>
      <c r="D367" t="inlineStr">
        <is>
          <t>零售產業</t>
        </is>
      </c>
      <c r="E367" t="inlineStr">
        <is>
          <t>Lndata</t>
        </is>
      </c>
      <c r="F367" t="inlineStr">
        <is>
          <t>樂田麵包</t>
        </is>
      </c>
      <c r="G367" t="inlineStr">
        <is>
          <t>2025-08-12</t>
        </is>
      </c>
      <c r="H367" t="n">
        <v>5000</v>
      </c>
      <c r="I367" t="inlineStr"/>
      <c r="J367" t="n">
        <v>0</v>
      </c>
      <c r="K367" t="inlineStr">
        <is>
          <t>2025-08-14</t>
        </is>
      </c>
      <c r="L367" t="inlineStr">
        <is>
          <t>否</t>
        </is>
      </c>
      <c r="M367" t="inlineStr">
        <is>
          <t>過去1年樂田麵包發票數據
統編：28427006
公司名稱：薩摩亞商客來喜餐飲股份有限公司台灣分公司
時間是2024/07~2025/06 ~
來源：委刊單(Order) 第 376 列</t>
        </is>
      </c>
      <c r="N367" t="inlineStr">
        <is>
          <t>2026-05-18</t>
        </is>
      </c>
    </row>
    <row r="368">
      <c r="A368" t="inlineStr">
        <is>
          <t>ord_77c40ed25500</t>
        </is>
      </c>
      <c r="B368" t="inlineStr"/>
      <c r="C368" t="inlineStr">
        <is>
          <t>廣告受眾包</t>
        </is>
      </c>
      <c r="D368" t="inlineStr">
        <is>
          <t>快消品</t>
        </is>
      </c>
      <c r="E368" t="inlineStr">
        <is>
          <t>電通</t>
        </is>
      </c>
      <c r="F368" t="inlineStr">
        <is>
          <t>嬰兒羊奶粉</t>
        </is>
      </c>
      <c r="G368" t="inlineStr">
        <is>
          <t>2025-08-12</t>
        </is>
      </c>
      <c r="H368" t="n">
        <v>63000</v>
      </c>
      <c r="I368" t="inlineStr">
        <is>
          <t>ADID</t>
        </is>
      </c>
      <c r="J368" t="n">
        <v>87619</v>
      </c>
      <c r="K368" t="inlineStr">
        <is>
          <t>2025-08-13</t>
        </is>
      </c>
      <c r="L368" t="inlineStr">
        <is>
          <t>否</t>
        </is>
      </c>
      <c r="M368" t="inlineStr">
        <is>
          <t>過去三個月包含下列條件聯集合購
1.購買過羊奶粉、牛奶粉指定品牌
2.購買過嬰兒相關商品
來源：委刊單(Order) 第 377 列</t>
        </is>
      </c>
      <c r="N368" t="inlineStr">
        <is>
          <t>2026-05-18</t>
        </is>
      </c>
    </row>
    <row r="369">
      <c r="A369" t="inlineStr">
        <is>
          <t>ord_ce1a96b3b18a</t>
        </is>
      </c>
      <c r="B369" t="inlineStr"/>
      <c r="C369" t="inlineStr">
        <is>
          <t>廣告受眾包</t>
        </is>
      </c>
      <c r="D369" t="inlineStr">
        <is>
          <t>零售產業</t>
        </is>
      </c>
      <c r="E369" t="inlineStr">
        <is>
          <t>電通</t>
        </is>
      </c>
      <c r="F369" t="inlineStr">
        <is>
          <t>休閒食品</t>
        </is>
      </c>
      <c r="G369" t="inlineStr">
        <is>
          <t>2025-08-15</t>
        </is>
      </c>
      <c r="H369" t="n">
        <v>48000</v>
      </c>
      <c r="I369" t="inlineStr">
        <is>
          <t>ADID</t>
        </is>
      </c>
      <c r="J369" t="n">
        <v>129498</v>
      </c>
      <c r="K369" t="inlineStr">
        <is>
          <t>2025-08-15</t>
        </is>
      </c>
      <c r="L369" t="inlineStr">
        <is>
          <t>否</t>
        </is>
      </c>
      <c r="M369" t="inlineStr">
        <is>
          <t>祭祀用食品、用品
來源：委刊單(Order) 第 378 列</t>
        </is>
      </c>
      <c r="N369" t="inlineStr">
        <is>
          <t>2026-05-18</t>
        </is>
      </c>
    </row>
    <row r="370">
      <c r="A370" t="inlineStr">
        <is>
          <t>ord_8004710be0a9</t>
        </is>
      </c>
      <c r="B370" t="inlineStr"/>
      <c r="C370" t="inlineStr">
        <is>
          <t>廣告受眾包</t>
        </is>
      </c>
      <c r="D370" t="inlineStr">
        <is>
          <t>快消品</t>
        </is>
      </c>
      <c r="E370" t="inlineStr">
        <is>
          <t>星傳</t>
        </is>
      </c>
      <c r="F370" t="inlineStr">
        <is>
          <t>POME</t>
        </is>
      </c>
      <c r="G370" t="inlineStr">
        <is>
          <t>2025-08-20</t>
        </is>
      </c>
      <c r="H370" t="n">
        <v>5000</v>
      </c>
      <c r="I370" t="inlineStr"/>
      <c r="J370" t="n">
        <v>0</v>
      </c>
      <c r="K370" t="inlineStr"/>
      <c r="L370" t="inlineStr">
        <is>
          <t>否</t>
        </is>
      </c>
      <c r="M370" t="inlineStr">
        <is>
          <t>平台抓取
來源：委刊單(Order) 第 379 列</t>
        </is>
      </c>
      <c r="N370" t="inlineStr">
        <is>
          <t>2026-05-18</t>
        </is>
      </c>
    </row>
    <row r="371">
      <c r="A371" t="inlineStr">
        <is>
          <t>ord_5617ffcb0cd7</t>
        </is>
      </c>
      <c r="B371" t="inlineStr"/>
      <c r="C371" t="inlineStr">
        <is>
          <t>簡訊/推播</t>
        </is>
      </c>
      <c r="D371" t="inlineStr">
        <is>
          <t>快消品</t>
        </is>
      </c>
      <c r="E371" t="inlineStr">
        <is>
          <t>東方線上</t>
        </is>
      </c>
      <c r="F371" t="inlineStr">
        <is>
          <t>問券調查</t>
        </is>
      </c>
      <c r="G371" t="inlineStr">
        <is>
          <t>2025-07-14</t>
        </is>
      </c>
      <c r="H371" t="n">
        <v>3000</v>
      </c>
      <c r="I371" t="inlineStr">
        <is>
          <t>專案</t>
        </is>
      </c>
      <c r="J371" t="n">
        <v>0</v>
      </c>
      <c r="K371" t="inlineStr"/>
      <c r="L371" t="inlineStr">
        <is>
          <t>否</t>
        </is>
      </c>
      <c r="M371" t="inlineStr">
        <is>
          <t>洗衣精調查推播
來源：委刊單(Order) 第 380 列</t>
        </is>
      </c>
      <c r="N371" t="inlineStr">
        <is>
          <t>2026-05-18</t>
        </is>
      </c>
    </row>
    <row r="372">
      <c r="A372" t="inlineStr">
        <is>
          <t>ord_052f2475f952</t>
        </is>
      </c>
      <c r="B372" t="inlineStr"/>
      <c r="C372" t="inlineStr">
        <is>
          <t>廣告受眾包</t>
        </is>
      </c>
      <c r="D372" t="inlineStr">
        <is>
          <t>其他</t>
        </is>
      </c>
      <c r="E372" t="inlineStr">
        <is>
          <t>Appier</t>
        </is>
      </c>
      <c r="F372" t="inlineStr">
        <is>
          <t>保健產業受眾包0820</t>
        </is>
      </c>
      <c r="G372" t="inlineStr">
        <is>
          <t>2025-07-29</t>
        </is>
      </c>
      <c r="H372" t="n">
        <v>20000</v>
      </c>
      <c r="I372" t="inlineStr">
        <is>
          <t>ADID</t>
        </is>
      </c>
      <c r="J372" t="n">
        <v>20000</v>
      </c>
      <c r="K372" t="inlineStr">
        <is>
          <t>2025-08-20</t>
        </is>
      </c>
      <c r="L372" t="inlineStr">
        <is>
          <t>否</t>
        </is>
      </c>
      <c r="M372" t="inlineStr">
        <is>
          <t>[商品] 90天內購買過：情趣用品、按摩棒、跳蛋、肛塞、清洗棒、肛門清洗液、潤滑液、陽具、前列腺高潮棒、震動器....等
[品牌] 90內購買過-男同志情趣用品電商產品: 壞男、哈利男孩、酷兒通販、 Bad Boy 壞男愛世界情趣用品
來源：委刊單(Order) 第 381 列</t>
        </is>
      </c>
      <c r="N372" t="inlineStr">
        <is>
          <t>2026-05-18</t>
        </is>
      </c>
    </row>
    <row r="373">
      <c r="A373" t="inlineStr">
        <is>
          <t>ord_1ecabe1513c2</t>
        </is>
      </c>
      <c r="B373" t="inlineStr"/>
      <c r="C373" t="inlineStr">
        <is>
          <t>廣告受眾包</t>
        </is>
      </c>
      <c r="D373" t="inlineStr">
        <is>
          <t>電子商務</t>
        </is>
      </c>
      <c r="E373" t="inlineStr">
        <is>
          <t>其他(品牌自操)</t>
        </is>
      </c>
      <c r="F373" t="inlineStr">
        <is>
          <t>亞瑟國際</t>
        </is>
      </c>
      <c r="G373" t="inlineStr">
        <is>
          <t>2025-08-21</t>
        </is>
      </c>
      <c r="H373" t="n">
        <v>36000</v>
      </c>
      <c r="I373" t="inlineStr">
        <is>
          <t>主題受眾包</t>
        </is>
      </c>
      <c r="J373" t="n">
        <v>0</v>
      </c>
      <c r="K373" t="inlineStr">
        <is>
          <t>8/29交付20_資深果粉</t>
        </is>
      </c>
      <c r="L373" t="inlineStr">
        <is>
          <t>否</t>
        </is>
      </c>
      <c r="M373" t="inlineStr">
        <is>
          <t>三包主題受眾
每個月10號付款
來源：委刊單(Order) 第 382 列</t>
        </is>
      </c>
      <c r="N373" t="inlineStr">
        <is>
          <t>2026-05-18</t>
        </is>
      </c>
    </row>
    <row r="374">
      <c r="A374" t="inlineStr">
        <is>
          <t>ord_3f8cd427539d</t>
        </is>
      </c>
      <c r="B374" t="inlineStr"/>
      <c r="C374" t="inlineStr">
        <is>
          <t>廣告受眾包</t>
        </is>
      </c>
      <c r="D374" t="inlineStr">
        <is>
          <t>財務金融</t>
        </is>
      </c>
      <c r="E374" t="inlineStr">
        <is>
          <t>Appier</t>
        </is>
      </c>
      <c r="F374" t="inlineStr">
        <is>
          <t>金融產業受眾包0821</t>
        </is>
      </c>
      <c r="G374" t="inlineStr">
        <is>
          <t>2025-08-22</t>
        </is>
      </c>
      <c r="H374" t="n">
        <v>20000</v>
      </c>
      <c r="I374" t="inlineStr">
        <is>
          <t>ADID</t>
        </is>
      </c>
      <c r="J374" t="n">
        <v>20000</v>
      </c>
      <c r="K374" t="inlineStr">
        <is>
          <t>2025-08-22</t>
        </is>
      </c>
      <c r="L374" t="inlineStr">
        <is>
          <t>否</t>
        </is>
      </c>
      <c r="M374" t="inlineStr">
        <is>
          <t>過去90天單筆消費高於5萬元
過去90天整月消費高於20萬元
來源：委刊單(Order) 第 383 列</t>
        </is>
      </c>
      <c r="N374" t="inlineStr">
        <is>
          <t>2026-05-18</t>
        </is>
      </c>
    </row>
    <row r="375">
      <c r="A375" t="inlineStr">
        <is>
          <t>ord_f2dfd9dc0343</t>
        </is>
      </c>
      <c r="B375" t="inlineStr"/>
      <c r="C375" t="inlineStr">
        <is>
          <t>廣告受眾包</t>
        </is>
      </c>
      <c r="D375" t="inlineStr">
        <is>
          <t>美妝產業</t>
        </is>
      </c>
      <c r="E375" t="inlineStr">
        <is>
          <t>電通</t>
        </is>
      </c>
      <c r="F375" t="inlineStr">
        <is>
          <t>LRP保養抗老</t>
        </is>
      </c>
      <c r="G375" t="inlineStr">
        <is>
          <t>2025-08-22</t>
        </is>
      </c>
      <c r="H375" t="n">
        <v>105000</v>
      </c>
      <c r="I375" t="inlineStr">
        <is>
          <t>ADID</t>
        </is>
      </c>
      <c r="J375" t="n">
        <v>1508555</v>
      </c>
      <c r="K375" t="inlineStr">
        <is>
          <t>2025-08-25</t>
        </is>
      </c>
      <c r="L375" t="inlineStr">
        <is>
          <t>否</t>
        </is>
      </c>
      <c r="M375" t="inlineStr">
        <is>
          <t>來源：委刊單(Order) 第 384 列</t>
        </is>
      </c>
      <c r="N375" t="inlineStr">
        <is>
          <t>2026-05-18</t>
        </is>
      </c>
    </row>
    <row r="376">
      <c r="A376" t="inlineStr">
        <is>
          <t>ord_d2d3eae2d89e</t>
        </is>
      </c>
      <c r="B376" t="inlineStr"/>
      <c r="C376" t="inlineStr">
        <is>
          <t>廣告受眾包</t>
        </is>
      </c>
      <c r="D376" t="inlineStr">
        <is>
          <t>醫療保健</t>
        </is>
      </c>
      <c r="E376" t="inlineStr">
        <is>
          <t>Appier</t>
        </is>
      </c>
      <c r="F376" t="inlineStr">
        <is>
          <t>抗藍光&amp;散光隱眼0915</t>
        </is>
      </c>
      <c r="G376" t="inlineStr">
        <is>
          <t>2025-08-26</t>
        </is>
      </c>
      <c r="H376" t="n">
        <v>20000</v>
      </c>
      <c r="I376" t="inlineStr">
        <is>
          <t>ADID</t>
        </is>
      </c>
      <c r="J376" t="n">
        <v>20000</v>
      </c>
      <c r="K376" t="inlineStr">
        <is>
          <t>2025-08-26</t>
        </is>
      </c>
      <c r="L376" t="inlineStr">
        <is>
          <t>否</t>
        </is>
      </c>
      <c r="M376" t="inlineStr">
        <is>
          <t>近一年消費發票數據 :
【品牌】博士倫、嬌生、安視優、海昌、愛爾康、酷柏、美若康、星歐、晶碩、帝康，外加YouTube串流服務、Netflix串流
【通路】全省藥妝&amp;眼鏡行 ex: 屈臣氏、康是美、寶雅、寶島眼鏡、仁愛眼鏡、唐吉軻德、日藥本舖、三友藥妝Tomod's ..等
來源：委刊單(Order) 第 385 列</t>
        </is>
      </c>
      <c r="N376" t="inlineStr">
        <is>
          <t>2026-05-18</t>
        </is>
      </c>
    </row>
    <row r="377">
      <c r="A377" t="inlineStr">
        <is>
          <t>ord_d94b48577f5b</t>
        </is>
      </c>
      <c r="B377" t="inlineStr"/>
      <c r="C377" t="inlineStr">
        <is>
          <t>廣告受眾包</t>
        </is>
      </c>
      <c r="D377" t="inlineStr">
        <is>
          <t>醫療保健</t>
        </is>
      </c>
      <c r="E377" t="inlineStr">
        <is>
          <t>Appier</t>
        </is>
      </c>
      <c r="F377" t="inlineStr">
        <is>
          <t>保健產業受眾包0818</t>
        </is>
      </c>
      <c r="G377" t="inlineStr">
        <is>
          <t>2025-08-18</t>
        </is>
      </c>
      <c r="H377" t="n">
        <v>15000</v>
      </c>
      <c r="I377" t="inlineStr">
        <is>
          <t>ADID</t>
        </is>
      </c>
      <c r="J377" t="n">
        <v>15000</v>
      </c>
      <c r="K377" t="inlineStr">
        <is>
          <t>2025-08-18</t>
        </is>
      </c>
      <c r="L377" t="inlineStr">
        <is>
          <t>否</t>
        </is>
      </c>
      <c r="M377" t="inlineStr">
        <is>
          <t>近一年消費發票數據 :
【品牌】博士倫、嬌生、安視優、海昌、愛爾康、酷柏、美若康、星歐、帝康
【通路】全省藥妝&amp;眼鏡行 ex: 屈臣氏、康是美、寶雅、寶島眼鏡、仁愛眼鏡、唐吉軻德、日藥本舖、三友藥妝Tomod's ..等
來源：委刊單(Order) 第 386 列</t>
        </is>
      </c>
      <c r="N377" t="inlineStr">
        <is>
          <t>2026-05-18</t>
        </is>
      </c>
    </row>
    <row r="378">
      <c r="A378" t="inlineStr">
        <is>
          <t>ord_533ab5b4b744</t>
        </is>
      </c>
      <c r="B378" t="inlineStr"/>
      <c r="C378" t="inlineStr">
        <is>
          <t>廣告受眾包</t>
        </is>
      </c>
      <c r="D378" t="inlineStr">
        <is>
          <t>醫療保健</t>
        </is>
      </c>
      <c r="E378" t="inlineStr">
        <is>
          <t>Appier</t>
        </is>
      </c>
      <c r="F378" t="inlineStr">
        <is>
          <t>娛樂產業受眾包0827</t>
        </is>
      </c>
      <c r="G378" t="inlineStr">
        <is>
          <t>2025-08-27</t>
        </is>
      </c>
      <c r="H378" t="n">
        <v>10000</v>
      </c>
      <c r="I378" t="inlineStr">
        <is>
          <t>ADID</t>
        </is>
      </c>
      <c r="J378" t="n">
        <v>10000</v>
      </c>
      <c r="K378" t="inlineStr">
        <is>
          <t>2025-08-27</t>
        </is>
      </c>
      <c r="L378" t="inlineStr">
        <is>
          <t>否</t>
        </is>
      </c>
      <c r="M378" t="inlineStr">
        <is>
          <t>近半年消費發票數據 :
【音速小子IP迷】
音速小子SEGA全明星賽車、音速小子、音速小子1、音速小子2SSD、音速小子2BD、音速小子2SHD、音速小子2搶先版SHD、音速小子賽車、NS音速小子賽車中文版、、PS4音速小子賽車中文版…..
【賽車遊戲愛好者】
瑪莉歐賽車、瑪莉歐競速賽車、HOT WHEELS UNLEASHED 2 、EA SPORTS WRC、EA Sports F1 24、 Need for Speed Unbound、Gran Turismo 7…..
【主機遊戲玩家】
Playstation、XBOX、SWITCH…..
來源：委刊單(Order) 第 387 列</t>
        </is>
      </c>
      <c r="N378" t="inlineStr">
        <is>
          <t>2026-05-18</t>
        </is>
      </c>
    </row>
    <row r="379">
      <c r="A379" t="inlineStr">
        <is>
          <t>ord_315b2c5c5f6f</t>
        </is>
      </c>
      <c r="B379" t="inlineStr"/>
      <c r="C379" t="inlineStr">
        <is>
          <t>廣告受眾包</t>
        </is>
      </c>
      <c r="D379" t="inlineStr">
        <is>
          <t>教育產業</t>
        </is>
      </c>
      <c r="E379" t="inlineStr">
        <is>
          <t>其他(品牌自操)</t>
        </is>
      </c>
      <c r="F379" t="inlineStr">
        <is>
          <t>臺灣吧</t>
        </is>
      </c>
      <c r="G379" t="inlineStr">
        <is>
          <t>2025-08-27</t>
        </is>
      </c>
      <c r="H379" t="n">
        <v>40000</v>
      </c>
      <c r="I379" t="inlineStr">
        <is>
          <t>Meta共享</t>
        </is>
      </c>
      <c r="J379" t="n">
        <v>0</v>
      </c>
      <c r="K379" t="inlineStr">
        <is>
          <t>2025-09-01</t>
        </is>
      </c>
      <c r="L379" t="inlineStr">
        <is>
          <t>否</t>
        </is>
      </c>
      <c r="M379" t="inlineStr">
        <is>
          <t>主題受眾包*3組
9/1 19 親子幼教職場婦女
來源：委刊單(Order) 第 388 列</t>
        </is>
      </c>
      <c r="N379" t="inlineStr">
        <is>
          <t>2026-05-18</t>
        </is>
      </c>
    </row>
    <row r="380">
      <c r="A380" t="inlineStr">
        <is>
          <t>ord_88e3d308fc0f</t>
        </is>
      </c>
      <c r="B380" t="inlineStr"/>
      <c r="C380" t="inlineStr">
        <is>
          <t>廣告受眾包</t>
        </is>
      </c>
      <c r="D380" t="inlineStr">
        <is>
          <t>零售產業</t>
        </is>
      </c>
      <c r="E380" t="inlineStr">
        <is>
          <t>電通</t>
        </is>
      </c>
      <c r="F380" t="inlineStr">
        <is>
          <t>中元節+IPHONE</t>
        </is>
      </c>
      <c r="G380" t="inlineStr">
        <is>
          <t>2025-08-28</t>
        </is>
      </c>
      <c r="H380" t="n">
        <v>50000</v>
      </c>
      <c r="I380" t="inlineStr">
        <is>
          <t>ADID</t>
        </is>
      </c>
      <c r="J380" t="n">
        <v>438400</v>
      </c>
      <c r="K380" t="inlineStr">
        <is>
          <t>2025-08-29</t>
        </is>
      </c>
      <c r="L380" t="inlineStr">
        <is>
          <t>否</t>
        </is>
      </c>
      <c r="M380" t="inlineStr">
        <is>
          <t>來源：委刊單(Order) 第 389 列</t>
        </is>
      </c>
      <c r="N380" t="inlineStr">
        <is>
          <t>2026-05-18</t>
        </is>
      </c>
    </row>
    <row r="381">
      <c r="A381" t="inlineStr">
        <is>
          <t>ord_1dccf06e6080</t>
        </is>
      </c>
      <c r="B381" t="inlineStr"/>
      <c r="C381" t="inlineStr">
        <is>
          <t>專案</t>
        </is>
      </c>
      <c r="D381" t="inlineStr">
        <is>
          <t>零售產業</t>
        </is>
      </c>
      <c r="E381" t="inlineStr">
        <is>
          <t>未來流通研究所</t>
        </is>
      </c>
      <c r="F381" t="inlineStr">
        <is>
          <t>專案-
Q2通路消費品類金額佔比</t>
        </is>
      </c>
      <c r="G381" t="inlineStr">
        <is>
          <t>2025-09-01</t>
        </is>
      </c>
      <c r="H381" t="n">
        <v>95238</v>
      </c>
      <c r="I381" t="inlineStr">
        <is>
          <t>專案</t>
        </is>
      </c>
      <c r="J381" t="n">
        <v>0</v>
      </c>
      <c r="K381" t="inlineStr">
        <is>
          <t>2025-10-02</t>
        </is>
      </c>
      <c r="L381" t="inlineStr">
        <is>
          <t>否</t>
        </is>
      </c>
      <c r="M381" t="inlineStr">
        <is>
          <t>指定通路：Q2全聯、7-11、大潤發、寶雅、燦坤，共計5個實體通路消費品類金額、佔比訂金
來源：委刊單(Order) 第 392 列</t>
        </is>
      </c>
      <c r="N381" t="inlineStr">
        <is>
          <t>2026-05-18</t>
        </is>
      </c>
    </row>
    <row r="382">
      <c r="A382" t="inlineStr">
        <is>
          <t>ord_589d1f7522e5</t>
        </is>
      </c>
      <c r="B382" t="inlineStr"/>
      <c r="C382" t="inlineStr">
        <is>
          <t>專案</t>
        </is>
      </c>
      <c r="D382" t="inlineStr">
        <is>
          <t>零售產業</t>
        </is>
      </c>
      <c r="E382" t="inlineStr">
        <is>
          <t>未來流通研究所</t>
        </is>
      </c>
      <c r="F382" t="inlineStr">
        <is>
          <t>專案-
Q3通路消費品類金額佔比</t>
        </is>
      </c>
      <c r="G382" t="inlineStr">
        <is>
          <t>2025-09-01</t>
        </is>
      </c>
      <c r="H382" t="n">
        <v>95238</v>
      </c>
      <c r="I382" t="inlineStr">
        <is>
          <t>專案</t>
        </is>
      </c>
      <c r="J382" t="n">
        <v>0</v>
      </c>
      <c r="K382" t="inlineStr">
        <is>
          <t>2025-10-02</t>
        </is>
      </c>
      <c r="L382" t="inlineStr">
        <is>
          <t>否</t>
        </is>
      </c>
      <c r="M382" t="inlineStr">
        <is>
          <t>指定通路：Q3全聯、7-11、大潤發、寶雅、燦坤，共計5個實體通路消費品類金額、佔比訂金
來源：委刊單(Order) 第 393 列</t>
        </is>
      </c>
      <c r="N382" t="inlineStr">
        <is>
          <t>2026-05-18</t>
        </is>
      </c>
    </row>
    <row r="383">
      <c r="A383" t="inlineStr">
        <is>
          <t>ord_2b5dd067bb13</t>
        </is>
      </c>
      <c r="B383" t="inlineStr"/>
      <c r="C383" t="inlineStr">
        <is>
          <t>廣告受眾包</t>
        </is>
      </c>
      <c r="D383" t="inlineStr">
        <is>
          <t>APP、遊戲</t>
        </is>
      </c>
      <c r="E383" t="inlineStr">
        <is>
          <t>Appier</t>
        </is>
      </c>
      <c r="F383" t="inlineStr">
        <is>
          <t>遊戲產業受眾包0901</t>
        </is>
      </c>
      <c r="G383" t="inlineStr">
        <is>
          <t>2025-09-01</t>
        </is>
      </c>
      <c r="H383" t="n">
        <v>20000</v>
      </c>
      <c r="I383" t="inlineStr">
        <is>
          <t>ADID</t>
        </is>
      </c>
      <c r="J383" t="n">
        <v>20000</v>
      </c>
      <c r="K383" t="inlineStr">
        <is>
          <t>2025-09-01</t>
        </is>
      </c>
      <c r="L383" t="inlineStr">
        <is>
          <t>否</t>
        </is>
      </c>
      <c r="M383" t="inlineStr">
        <is>
          <t>-過去一年內
-曾在 貝殼幣, my card, GASH, 8591, planet9, easypoint, OMG點卡, 米哈游, 橘子支付, GAME PAY, Mepay魔儲 消費過的受眾
來源：委刊單(Order) 第 394 列</t>
        </is>
      </c>
      <c r="N383" t="inlineStr">
        <is>
          <t>2026-05-18</t>
        </is>
      </c>
    </row>
    <row r="384">
      <c r="A384" t="inlineStr">
        <is>
          <t>ord_4114f9b8096e</t>
        </is>
      </c>
      <c r="B384" t="inlineStr"/>
      <c r="C384" t="inlineStr">
        <is>
          <t>廣告受眾包</t>
        </is>
      </c>
      <c r="D384" t="inlineStr">
        <is>
          <t>APP、遊戲</t>
        </is>
      </c>
      <c r="E384" t="inlineStr">
        <is>
          <t>Appier</t>
        </is>
      </c>
      <c r="F384" t="inlineStr">
        <is>
          <t>特定遊戲產業受眾包0903</t>
        </is>
      </c>
      <c r="G384" t="inlineStr">
        <is>
          <t>2025-09-02</t>
        </is>
      </c>
      <c r="H384" t="n">
        <v>20000</v>
      </c>
      <c r="I384" t="inlineStr">
        <is>
          <t>ADID</t>
        </is>
      </c>
      <c r="J384" t="n">
        <v>20000</v>
      </c>
      <c r="K384" t="inlineStr">
        <is>
          <t>2025-09-02</t>
        </is>
      </c>
      <c r="L384" t="inlineStr">
        <is>
          <t>否</t>
        </is>
      </c>
      <c r="M384" t="inlineStr">
        <is>
          <t>近一年購買商品關鍵字包含"傳說對決"、"Arena of Valor" ，以及消費通路在_App Store、Google Play、Garena儲值中心、MyCard
來源：委刊單(Order) 第 395 列</t>
        </is>
      </c>
      <c r="N384" t="inlineStr">
        <is>
          <t>2026-05-18</t>
        </is>
      </c>
    </row>
    <row r="385">
      <c r="A385" t="inlineStr">
        <is>
          <t>ord_4e35cd3768a6</t>
        </is>
      </c>
      <c r="B385" t="inlineStr"/>
      <c r="C385" t="inlineStr">
        <is>
          <t>廣告受眾包</t>
        </is>
      </c>
      <c r="D385" t="inlineStr">
        <is>
          <t>快消品</t>
        </is>
      </c>
      <c r="E385" t="inlineStr">
        <is>
          <t>星傳</t>
        </is>
      </c>
      <c r="F385" t="inlineStr">
        <is>
          <t>P&amp;G Ariel</t>
        </is>
      </c>
      <c r="G385" t="inlineStr">
        <is>
          <t>2025-09-02</t>
        </is>
      </c>
      <c r="H385" t="n">
        <v>5000</v>
      </c>
      <c r="I385" t="inlineStr">
        <is>
          <t>ADID</t>
        </is>
      </c>
      <c r="J385" t="n">
        <v>545891</v>
      </c>
      <c r="K385" t="inlineStr">
        <is>
          <t>2025-09-03</t>
        </is>
      </c>
      <c r="L385" t="inlineStr">
        <is>
          <t>否</t>
        </is>
      </c>
      <c r="M385" t="inlineStr">
        <is>
          <t>過去1年曾在Costco(好市多)消費過 且 過去1年曾在全通路 購買過 [洗衣/護衣相關] 或 [洗衣機器相關] 或 [衣服/床單被套相關]的任一產品
來源：委刊單(Order) 第 396 列</t>
        </is>
      </c>
      <c r="N385" t="inlineStr">
        <is>
          <t>2026-05-18</t>
        </is>
      </c>
    </row>
    <row r="386">
      <c r="A386" t="inlineStr">
        <is>
          <t>ord_9057fd0aa5c9</t>
        </is>
      </c>
      <c r="B386" t="inlineStr"/>
      <c r="C386" t="inlineStr">
        <is>
          <t>廣告受眾包</t>
        </is>
      </c>
      <c r="D386" t="inlineStr">
        <is>
          <t>醫療保健</t>
        </is>
      </c>
      <c r="E386" t="inlineStr">
        <is>
          <t>其他(品牌自操)</t>
        </is>
      </c>
      <c r="F386" t="inlineStr">
        <is>
          <t>米蘭時尚診所</t>
        </is>
      </c>
      <c r="G386" t="inlineStr">
        <is>
          <t>2025-09-03</t>
        </is>
      </c>
      <c r="H386" t="n">
        <v>50000</v>
      </c>
      <c r="I386" t="inlineStr">
        <is>
          <t>ADID
Hash Email</t>
        </is>
      </c>
      <c r="J386" t="n">
        <v>200000</v>
      </c>
      <c r="K386" t="inlineStr">
        <is>
          <t>付款後交付</t>
        </is>
      </c>
      <c r="L386" t="inlineStr">
        <is>
          <t>否</t>
        </is>
      </c>
      <c r="M386" t="inlineStr">
        <is>
          <t>近一年消費：
精品/專櫃保養品/抗老相關/SPA，單張發票一萬以上，排除男性
來源：委刊單(Order) 第 397 列</t>
        </is>
      </c>
      <c r="N386" t="inlineStr">
        <is>
          <t>2026-05-18</t>
        </is>
      </c>
    </row>
    <row r="387">
      <c r="A387" t="inlineStr">
        <is>
          <t>ord_af07ebbe869a</t>
        </is>
      </c>
      <c r="B387" t="inlineStr"/>
      <c r="C387" t="inlineStr">
        <is>
          <t>廣告受眾包</t>
        </is>
      </c>
      <c r="D387" t="inlineStr">
        <is>
          <t>醫療保健</t>
        </is>
      </c>
      <c r="E387" t="inlineStr">
        <is>
          <t>其他(品牌自操)</t>
        </is>
      </c>
      <c r="F387" t="inlineStr">
        <is>
          <t>黑蓮生技</t>
        </is>
      </c>
      <c r="G387" t="inlineStr">
        <is>
          <t>2025-09-05</t>
        </is>
      </c>
      <c r="H387" t="n">
        <v>90000</v>
      </c>
      <c r="I387" t="inlineStr">
        <is>
          <t>ADID
受眾共享</t>
        </is>
      </c>
      <c r="J387" t="n">
        <v>100000</v>
      </c>
      <c r="K387" t="inlineStr">
        <is>
          <t>付款後交付</t>
        </is>
      </c>
      <c r="L387" t="inlineStr">
        <is>
          <t>否</t>
        </is>
      </c>
      <c r="M387" t="inlineStr">
        <is>
          <t>【買斷】
編號47：618高消費潛力客
編號49：百貨週年慶VIP
【共享】
主題1：精品
主題2：專櫃抗老醫美保養品
來源：委刊單(Order) 第 398 列</t>
        </is>
      </c>
      <c r="N387" t="inlineStr">
        <is>
          <t>2026-05-18</t>
        </is>
      </c>
    </row>
    <row r="388">
      <c r="A388" t="inlineStr">
        <is>
          <t>ord_e232de7dcc66</t>
        </is>
      </c>
      <c r="B388" t="inlineStr"/>
      <c r="C388" t="inlineStr">
        <is>
          <t>廣告受眾包</t>
        </is>
      </c>
      <c r="D388" t="inlineStr">
        <is>
          <t>電子商務</t>
        </is>
      </c>
      <c r="E388" t="inlineStr">
        <is>
          <t>其他(品牌自操)</t>
        </is>
      </c>
      <c r="F388" t="inlineStr">
        <is>
          <t>1zpresso</t>
        </is>
      </c>
      <c r="G388" t="inlineStr">
        <is>
          <t>2025-09-08</t>
        </is>
      </c>
      <c r="H388" t="n">
        <v>55000</v>
      </c>
      <c r="I388" t="inlineStr">
        <is>
          <t>ADID
Hash Email</t>
        </is>
      </c>
      <c r="J388" t="n">
        <v>100000</v>
      </c>
      <c r="K388" t="inlineStr">
        <is>
          <t>2025-09-09</t>
        </is>
      </c>
      <c r="L388" t="inlineStr">
        <is>
          <t>否</t>
        </is>
      </c>
      <c r="M388" t="inlineStr">
        <is>
          <t>手沖咖啡器具、咖啡豆相關受眾包
來源：委刊單(Order) 第 399 列</t>
        </is>
      </c>
      <c r="N388" t="inlineStr">
        <is>
          <t>2026-05-18</t>
        </is>
      </c>
    </row>
    <row r="389">
      <c r="A389" t="inlineStr">
        <is>
          <t>ord_ce50be0ce1bf</t>
        </is>
      </c>
      <c r="B389" t="inlineStr"/>
      <c r="C389" t="inlineStr">
        <is>
          <t>簡訊/推播</t>
        </is>
      </c>
      <c r="D389" t="inlineStr">
        <is>
          <t>快消品</t>
        </is>
      </c>
      <c r="E389" t="inlineStr">
        <is>
          <t>東方線上</t>
        </is>
      </c>
      <c r="F389" t="inlineStr">
        <is>
          <t>問券調查</t>
        </is>
      </c>
      <c r="G389" t="inlineStr">
        <is>
          <t>2025-09-09</t>
        </is>
      </c>
      <c r="H389" t="n">
        <v>5000</v>
      </c>
      <c r="I389" t="inlineStr">
        <is>
          <t>專案</t>
        </is>
      </c>
      <c r="J389" t="n">
        <v>0</v>
      </c>
      <c r="K389" t="inlineStr"/>
      <c r="L389" t="inlineStr">
        <is>
          <t>否</t>
        </is>
      </c>
      <c r="M389" t="inlineStr">
        <is>
          <t>果凍調查推播
來源：委刊單(Order) 第 400 列</t>
        </is>
      </c>
      <c r="N389" t="inlineStr">
        <is>
          <t>2026-05-18</t>
        </is>
      </c>
    </row>
    <row r="390">
      <c r="A390" t="inlineStr">
        <is>
          <t>ord_da6c2e88c4a7</t>
        </is>
      </c>
      <c r="B390" t="inlineStr"/>
      <c r="C390" t="inlineStr">
        <is>
          <t>廣告受眾包</t>
        </is>
      </c>
      <c r="D390" t="inlineStr">
        <is>
          <t>電信通訊</t>
        </is>
      </c>
      <c r="E390" t="inlineStr">
        <is>
          <t>星傳</t>
        </is>
      </c>
      <c r="F390" t="inlineStr">
        <is>
          <t>Samsung</t>
        </is>
      </c>
      <c r="G390" t="inlineStr">
        <is>
          <t>2025-08-28</t>
        </is>
      </c>
      <c r="H390" t="n">
        <v>40000</v>
      </c>
      <c r="I390" t="inlineStr">
        <is>
          <t>ADID
Hash Email</t>
        </is>
      </c>
      <c r="J390" t="n">
        <v>0</v>
      </c>
      <c r="K390" t="inlineStr"/>
      <c r="L390" t="inlineStr">
        <is>
          <t>否</t>
        </is>
      </c>
      <c r="M390" t="inlineStr">
        <is>
          <t>未知條件，客戶自己跑
來源：委刊單(Order) 第 401 列</t>
        </is>
      </c>
      <c r="N390" t="inlineStr">
        <is>
          <t>2026-05-18</t>
        </is>
      </c>
    </row>
    <row r="391">
      <c r="A391" t="inlineStr">
        <is>
          <t>ord_06d1cef0f827</t>
        </is>
      </c>
      <c r="B391" t="inlineStr"/>
      <c r="C391" t="inlineStr">
        <is>
          <t>廣告受眾包</t>
        </is>
      </c>
      <c r="D391" t="inlineStr">
        <is>
          <t>美妝產業</t>
        </is>
      </c>
      <c r="E391" t="inlineStr">
        <is>
          <t>其他(品牌自操)</t>
        </is>
      </c>
      <c r="F391" t="inlineStr">
        <is>
          <t>Juvaly姿芙莉</t>
        </is>
      </c>
      <c r="G391" t="inlineStr">
        <is>
          <t>2025-09-11</t>
        </is>
      </c>
      <c r="H391" t="n">
        <v>10000</v>
      </c>
      <c r="I391" t="inlineStr">
        <is>
          <t>受眾共享</t>
        </is>
      </c>
      <c r="J391" t="n">
        <v>0</v>
      </c>
      <c r="K391" t="inlineStr">
        <is>
          <t>2025-09-15</t>
        </is>
      </c>
      <c r="L391" t="inlineStr">
        <is>
          <t>否</t>
        </is>
      </c>
      <c r="M391" t="inlineStr">
        <is>
          <t>美容抗老族
來源：委刊單(Order) 第 402 列</t>
        </is>
      </c>
      <c r="N391" t="inlineStr">
        <is>
          <t>2026-05-18</t>
        </is>
      </c>
    </row>
    <row r="392">
      <c r="A392" t="inlineStr">
        <is>
          <t>ord_dd86d6f47d14</t>
        </is>
      </c>
      <c r="B392" t="inlineStr"/>
      <c r="C392" t="inlineStr">
        <is>
          <t>簡訊/推播</t>
        </is>
      </c>
      <c r="D392" t="inlineStr">
        <is>
          <t>醫療保健</t>
        </is>
      </c>
      <c r="E392" t="inlineStr">
        <is>
          <t>呈洺整合行銷</t>
        </is>
      </c>
      <c r="F392" t="inlineStr">
        <is>
          <t>琢耀牙醫簡訊宣傳</t>
        </is>
      </c>
      <c r="G392" t="inlineStr">
        <is>
          <t>2025-09-11</t>
        </is>
      </c>
      <c r="H392" t="n">
        <v>8000</v>
      </c>
      <c r="I392" t="inlineStr">
        <is>
          <t>專案</t>
        </is>
      </c>
      <c r="J392" t="n">
        <v>732</v>
      </c>
      <c r="K392" t="inlineStr">
        <is>
          <t>2025-09-12</t>
        </is>
      </c>
      <c r="L392" t="inlineStr">
        <is>
          <t>否</t>
        </is>
      </c>
      <c r="M392" t="inlineStr">
        <is>
          <t>美容抗老族
來源：委刊單(Order) 第 403 列</t>
        </is>
      </c>
      <c r="N392" t="inlineStr">
        <is>
          <t>2026-05-18</t>
        </is>
      </c>
    </row>
    <row r="393">
      <c r="A393" t="inlineStr">
        <is>
          <t>ord_b7964d115af6</t>
        </is>
      </c>
      <c r="B393" t="inlineStr"/>
      <c r="C393" t="inlineStr">
        <is>
          <t>廣告受眾包</t>
        </is>
      </c>
      <c r="D393" t="inlineStr">
        <is>
          <t>快消品</t>
        </is>
      </c>
      <c r="E393" t="inlineStr">
        <is>
          <t>電通</t>
        </is>
      </c>
      <c r="F393" t="inlineStr">
        <is>
          <t>身體乳液</t>
        </is>
      </c>
      <c r="G393" t="inlineStr">
        <is>
          <t>2025-09-17</t>
        </is>
      </c>
      <c r="H393" t="n">
        <v>36000</v>
      </c>
      <c r="I393" t="inlineStr">
        <is>
          <t>ADID
Hash Email</t>
        </is>
      </c>
      <c r="J393" t="n">
        <v>266657</v>
      </c>
      <c r="K393" t="inlineStr">
        <is>
          <t>2025-09-17</t>
        </is>
      </c>
      <c r="L393" t="inlineStr">
        <is>
          <t>否</t>
        </is>
      </c>
      <c r="M393" t="inlineStr">
        <is>
          <t>身體乳液&amp;排除CeraVe
來源：委刊單(Order) 第 404 列</t>
        </is>
      </c>
      <c r="N393" t="inlineStr">
        <is>
          <t>2026-05-18</t>
        </is>
      </c>
    </row>
    <row r="394">
      <c r="A394" t="inlineStr">
        <is>
          <t>ord_144b10db6e70</t>
        </is>
      </c>
      <c r="B394" t="inlineStr"/>
      <c r="C394" t="inlineStr">
        <is>
          <t>廣告受眾包</t>
        </is>
      </c>
      <c r="D394" t="inlineStr">
        <is>
          <t>家電產業</t>
        </is>
      </c>
      <c r="E394" t="inlineStr">
        <is>
          <t>Migo</t>
        </is>
      </c>
      <c r="F394" t="inlineStr">
        <is>
          <t>櫻花 AI Kitchen系列廚具</t>
        </is>
      </c>
      <c r="G394" t="inlineStr">
        <is>
          <t>2025-09-19</t>
        </is>
      </c>
      <c r="H394" t="n">
        <v>52000</v>
      </c>
      <c r="I394" t="inlineStr">
        <is>
          <t>ADID
Hash Email</t>
        </is>
      </c>
      <c r="J394" t="n">
        <v>0</v>
      </c>
      <c r="K394" t="inlineStr">
        <is>
          <t>2025-10-01</t>
        </is>
      </c>
      <c r="L394" t="inlineStr">
        <is>
          <t>否</t>
        </is>
      </c>
      <c r="M394" t="inlineStr">
        <is>
          <t>AI智能家電/小家電、母嬰相關、電動車受眾
來源：委刊單(Order) 第 405 列</t>
        </is>
      </c>
      <c r="N394" t="inlineStr">
        <is>
          <t>2026-05-18</t>
        </is>
      </c>
    </row>
    <row r="395">
      <c r="A395" t="inlineStr">
        <is>
          <t>ord_886274a4a748</t>
        </is>
      </c>
      <c r="B395" t="inlineStr"/>
      <c r="C395" t="inlineStr">
        <is>
          <t>廣告受眾包</t>
        </is>
      </c>
      <c r="D395" t="inlineStr">
        <is>
          <t>醫療保健</t>
        </is>
      </c>
      <c r="E395" t="inlineStr">
        <is>
          <t>其他(品牌自操)</t>
        </is>
      </c>
      <c r="F395" t="inlineStr">
        <is>
          <t>盛禾生醫 (沃爾司)</t>
        </is>
      </c>
      <c r="G395" t="inlineStr">
        <is>
          <t>2025-09-22</t>
        </is>
      </c>
      <c r="H395" t="n">
        <v>40000</v>
      </c>
      <c r="I395" t="inlineStr">
        <is>
          <t>受眾共享</t>
        </is>
      </c>
      <c r="J395" t="n">
        <v>0</v>
      </c>
      <c r="K395" t="inlineStr">
        <is>
          <t>付款後交付</t>
        </is>
      </c>
      <c r="L395" t="inlineStr">
        <is>
          <t>否</t>
        </is>
      </c>
      <c r="M395" t="inlineStr">
        <is>
          <t>來源：委刊單(Order) 第 406 列</t>
        </is>
      </c>
      <c r="N395" t="inlineStr">
        <is>
          <t>2026-05-18</t>
        </is>
      </c>
    </row>
    <row r="396">
      <c r="A396" t="inlineStr">
        <is>
          <t>ord_fb3483487313</t>
        </is>
      </c>
      <c r="B396" t="inlineStr"/>
      <c r="C396" t="inlineStr">
        <is>
          <t>APP廣告曝光</t>
        </is>
      </c>
      <c r="D396" t="inlineStr">
        <is>
          <t>醫療保健</t>
        </is>
      </c>
      <c r="E396" t="inlineStr">
        <is>
          <t>其他(品牌自操)</t>
        </is>
      </c>
      <c r="F396" t="inlineStr">
        <is>
          <t>台灣綠金 (GREENGOLD)</t>
        </is>
      </c>
      <c r="G396" t="inlineStr">
        <is>
          <t>2025-09-22</t>
        </is>
      </c>
      <c r="H396" t="n">
        <v>108000</v>
      </c>
      <c r="I396" t="inlineStr">
        <is>
          <t>中獎放大</t>
        </is>
      </c>
      <c r="J396" t="n">
        <v>0</v>
      </c>
      <c r="K396" t="inlineStr"/>
      <c r="L396" t="inlineStr">
        <is>
          <t>否</t>
        </is>
      </c>
      <c r="M396" t="inlineStr">
        <is>
          <t>來源：委刊單(Order) 第 407 列</t>
        </is>
      </c>
      <c r="N396" t="inlineStr">
        <is>
          <t>2026-05-18</t>
        </is>
      </c>
    </row>
    <row r="397">
      <c r="A397" t="inlineStr">
        <is>
          <t>ord_17e005213a2d</t>
        </is>
      </c>
      <c r="B397" t="inlineStr"/>
      <c r="C397" t="inlineStr">
        <is>
          <t>廣告受眾包</t>
        </is>
      </c>
      <c r="D397" t="inlineStr">
        <is>
          <t>其他</t>
        </is>
      </c>
      <c r="E397" t="inlineStr">
        <is>
          <t>Appier</t>
        </is>
      </c>
      <c r="F397" t="inlineStr">
        <is>
          <t>高消費力百貨受眾0915</t>
        </is>
      </c>
      <c r="G397" t="inlineStr">
        <is>
          <t>2025-09-23</t>
        </is>
      </c>
      <c r="H397" t="n">
        <v>10000</v>
      </c>
      <c r="I397" t="inlineStr">
        <is>
          <t>ADID</t>
        </is>
      </c>
      <c r="J397" t="n">
        <v>10000</v>
      </c>
      <c r="K397" t="inlineStr"/>
      <c r="L397" t="inlineStr">
        <is>
          <t>否</t>
        </is>
      </c>
      <c r="M397" t="inlineStr">
        <is>
          <t>需要購買資料: 
消費實力TA：近兩年單月發票消費金額滿8萬以上的用戶
百貨消費TA：近一年有在新光三越、微風、SOGO、遠百 消費單筆5萬以上的用戶
來源：委刊單(Order) 第 408 列</t>
        </is>
      </c>
      <c r="N397" t="inlineStr">
        <is>
          <t>2026-05-18</t>
        </is>
      </c>
    </row>
    <row r="398">
      <c r="A398" t="inlineStr">
        <is>
          <t>ord_f6499e504ab3</t>
        </is>
      </c>
      <c r="B398" t="inlineStr"/>
      <c r="C398" t="inlineStr">
        <is>
          <t>廣告受眾包</t>
        </is>
      </c>
      <c r="D398" t="inlineStr">
        <is>
          <t>其他</t>
        </is>
      </c>
      <c r="E398" t="inlineStr">
        <is>
          <t>Appier</t>
        </is>
      </c>
      <c r="F398" t="inlineStr">
        <is>
          <t>女性貼身衣物 0918</t>
        </is>
      </c>
      <c r="G398" t="inlineStr">
        <is>
          <t>2025-09-23</t>
        </is>
      </c>
      <c r="H398" t="n">
        <v>20000</v>
      </c>
      <c r="I398" t="inlineStr">
        <is>
          <t>ADID</t>
        </is>
      </c>
      <c r="J398" t="n">
        <v>20000</v>
      </c>
      <c r="K398" t="inlineStr"/>
      <c r="L398" t="inlineStr">
        <is>
          <t>否</t>
        </is>
      </c>
      <c r="M398" t="inlineStr">
        <is>
          <t>需要購買資料: 
過去一年買過女性內衣競品： 華歌爾、黛安芬、蕾黛絲、思薇爾、LADY、嬪婷、Uniqlo內衣、Calvin Klein內衣、玉如阿姨內衣、Peach john內衣、Qmomo
來源：委刊單(Order) 第 409 列</t>
        </is>
      </c>
      <c r="N398" t="inlineStr">
        <is>
          <t>2026-05-18</t>
        </is>
      </c>
    </row>
    <row r="399">
      <c r="A399" t="inlineStr">
        <is>
          <t>ord_29606e807690</t>
        </is>
      </c>
      <c r="B399" t="inlineStr"/>
      <c r="C399" t="inlineStr">
        <is>
          <t>廣告受眾包</t>
        </is>
      </c>
      <c r="D399" t="inlineStr">
        <is>
          <t>其他</t>
        </is>
      </c>
      <c r="E399" t="inlineStr">
        <is>
          <t>Appier</t>
        </is>
      </c>
      <c r="F399" t="inlineStr">
        <is>
          <t>高端消費者1002</t>
        </is>
      </c>
      <c r="G399" t="inlineStr">
        <is>
          <t>2025-09-23</t>
        </is>
      </c>
      <c r="H399" t="n">
        <v>20000</v>
      </c>
      <c r="I399" t="inlineStr">
        <is>
          <t>ADID</t>
        </is>
      </c>
      <c r="J399" t="n">
        <v>20000</v>
      </c>
      <c r="K399" t="inlineStr"/>
      <c r="L399" t="inlineStr">
        <is>
          <t>否</t>
        </is>
      </c>
      <c r="M399" t="inlineStr">
        <is>
          <t>(1) 一個月消費超過20萬元且持續超過六個月者
(2) 每個月單筆消費超過6萬元且持續六個月者
(3) 同時繳納多張電費帳單，推估擁有超過一棟以上房產者
來源：委刊單(Order) 第 410 列</t>
        </is>
      </c>
      <c r="N399" t="inlineStr">
        <is>
          <t>2026-05-18</t>
        </is>
      </c>
    </row>
    <row r="400">
      <c r="A400" t="inlineStr">
        <is>
          <t>ord_6b18eff3b203</t>
        </is>
      </c>
      <c r="B400" t="inlineStr">
        <is>
          <t>Erin</t>
        </is>
      </c>
      <c r="C400" t="inlineStr">
        <is>
          <t>廣告受眾包</t>
        </is>
      </c>
      <c r="D400" t="inlineStr">
        <is>
          <t>快消品</t>
        </is>
      </c>
      <c r="E400" t="inlineStr">
        <is>
          <t>星傳</t>
        </is>
      </c>
      <c r="F400" t="inlineStr">
        <is>
          <t>PG_Gillette</t>
        </is>
      </c>
      <c r="G400" t="inlineStr">
        <is>
          <t>45926.0</t>
        </is>
      </c>
      <c r="H400" t="n">
        <v>40000</v>
      </c>
      <c r="I400" t="inlineStr">
        <is>
          <t>ADID</t>
        </is>
      </c>
      <c r="J400" t="n">
        <v>394115</v>
      </c>
      <c r="K400" t="inlineStr">
        <is>
          <t>自查</t>
        </is>
      </c>
      <c r="L400" t="inlineStr">
        <is>
          <t>否</t>
        </is>
      </c>
      <c r="M400" t="inlineStr">
        <is>
          <t>過去一年在Costco消費
來源：委刊單(Order) 第 411 列</t>
        </is>
      </c>
      <c r="N400" t="inlineStr">
        <is>
          <t>2026-05-18</t>
        </is>
      </c>
    </row>
    <row r="401">
      <c r="A401" t="inlineStr">
        <is>
          <t>ord_16b2b8d66a6a</t>
        </is>
      </c>
      <c r="B401" t="inlineStr"/>
      <c r="C401" t="inlineStr">
        <is>
          <t>廣告受眾包</t>
        </is>
      </c>
      <c r="D401" t="inlineStr">
        <is>
          <t>醫療保健</t>
        </is>
      </c>
      <c r="E401" t="inlineStr">
        <is>
          <t>陽獅</t>
        </is>
      </c>
      <c r="F401" t="inlineStr">
        <is>
          <t>Haleon_Centrum</t>
        </is>
      </c>
      <c r="G401" t="inlineStr">
        <is>
          <t>2025-09-26</t>
        </is>
      </c>
      <c r="H401" t="n">
        <v>120000</v>
      </c>
      <c r="I401" t="inlineStr">
        <is>
          <t>ADID</t>
        </is>
      </c>
      <c r="J401" t="n">
        <v>392809</v>
      </c>
      <c r="K401" t="inlineStr">
        <is>
          <t>自查</t>
        </is>
      </c>
      <c r="L401" t="inlineStr">
        <is>
          <t>否</t>
        </is>
      </c>
      <c r="M401" t="inlineStr">
        <is>
          <t>過去一年在Costco消費
來源：委刊單(Order) 第 412 列</t>
        </is>
      </c>
      <c r="N401" t="inlineStr">
        <is>
          <t>2026-05-18</t>
        </is>
      </c>
    </row>
    <row r="402">
      <c r="A402" t="inlineStr">
        <is>
          <t>ord_e3206b358fe5</t>
        </is>
      </c>
      <c r="B402" t="inlineStr">
        <is>
          <t>Erin</t>
        </is>
      </c>
      <c r="C402" t="inlineStr">
        <is>
          <t>廣告受眾包</t>
        </is>
      </c>
      <c r="D402" t="inlineStr">
        <is>
          <t>醫療保健</t>
        </is>
      </c>
      <c r="E402" t="inlineStr">
        <is>
          <t>樂獅創新</t>
        </is>
      </c>
      <c r="F402" t="inlineStr">
        <is>
          <t>白蘭氏</t>
        </is>
      </c>
      <c r="G402" t="inlineStr">
        <is>
          <t>2025-09-25</t>
        </is>
      </c>
      <c r="H402" t="n">
        <v>30000</v>
      </c>
      <c r="I402" t="inlineStr">
        <is>
          <t>ADID</t>
        </is>
      </c>
      <c r="J402" t="n">
        <v>228317</v>
      </c>
      <c r="K402" t="inlineStr">
        <is>
          <t>自查</t>
        </is>
      </c>
      <c r="L402" t="inlineStr">
        <is>
          <t>否</t>
        </is>
      </c>
      <c r="M402" t="inlineStr">
        <is>
          <t>保健養身族:近一年購買保健食品
來源：委刊單(Order) 第 413 列</t>
        </is>
      </c>
      <c r="N402" t="inlineStr">
        <is>
          <t>2026-05-18</t>
        </is>
      </c>
    </row>
    <row r="403">
      <c r="A403" t="inlineStr">
        <is>
          <t>ord_c857111ed07a</t>
        </is>
      </c>
      <c r="B403" t="inlineStr"/>
      <c r="C403" t="inlineStr">
        <is>
          <t>廣告受眾包</t>
        </is>
      </c>
      <c r="D403" t="inlineStr">
        <is>
          <t>其他</t>
        </is>
      </c>
      <c r="E403" t="inlineStr">
        <is>
          <t>Appier</t>
        </is>
      </c>
      <c r="F403" t="inlineStr">
        <is>
          <t>消費性清潔紙品0926</t>
        </is>
      </c>
      <c r="G403" t="inlineStr">
        <is>
          <t>2025-09-26</t>
        </is>
      </c>
      <c r="H403" t="n">
        <v>20000</v>
      </c>
      <c r="I403" t="inlineStr">
        <is>
          <t>ADID</t>
        </is>
      </c>
      <c r="J403" t="n">
        <v>20000</v>
      </c>
      <c r="K403" t="inlineStr"/>
      <c r="L403" t="inlineStr">
        <is>
          <t>否</t>
        </is>
      </c>
      <c r="M403" t="inlineStr">
        <is>
          <t>-近一年曾於好市多消費超過3次者&amp;會員續卡紀錄
-近90天購買過以下三大品類商品，且固定一年購買頻次超過3次以上，消耗性清潔/廚具用品主要購買者。(包含：日用紙品/家用清潔/餐廚用)
共計ID：20,000筆
來源：委刊單(Order) 第 414 列</t>
        </is>
      </c>
      <c r="N403" t="inlineStr">
        <is>
          <t>2026-05-18</t>
        </is>
      </c>
    </row>
    <row r="404">
      <c r="A404" t="inlineStr">
        <is>
          <t>ord_28362f6a5b10</t>
        </is>
      </c>
      <c r="B404" t="inlineStr">
        <is>
          <t>Kate</t>
        </is>
      </c>
      <c r="C404" t="inlineStr">
        <is>
          <t>廣告受眾包</t>
        </is>
      </c>
      <c r="D404" t="inlineStr">
        <is>
          <t>電子商務</t>
        </is>
      </c>
      <c r="E404" t="inlineStr">
        <is>
          <t>電通</t>
        </is>
      </c>
      <c r="F404" t="inlineStr">
        <is>
          <t>全電商</t>
        </is>
      </c>
      <c r="G404" t="inlineStr">
        <is>
          <t>2025-10-03</t>
        </is>
      </c>
      <c r="H404" t="n">
        <v>43200</v>
      </c>
      <c r="I404" t="inlineStr">
        <is>
          <t>ADID
Hash Email</t>
        </is>
      </c>
      <c r="J404" t="n">
        <v>0</v>
      </c>
      <c r="K404" t="inlineStr">
        <is>
          <t>2025-10-03</t>
        </is>
      </c>
      <c r="L404" t="inlineStr">
        <is>
          <t>否</t>
        </is>
      </c>
      <c r="M404" t="inlineStr">
        <is>
          <t>線上&amp;線下美妝或保健品類、任何3C/家電相關品類
來源：委刊單(Order) 第 417 列</t>
        </is>
      </c>
      <c r="N404" t="inlineStr">
        <is>
          <t>2026-05-18</t>
        </is>
      </c>
    </row>
    <row r="405">
      <c r="A405" t="inlineStr">
        <is>
          <t>ord_3fe8fdabfbbf</t>
        </is>
      </c>
      <c r="B405" t="inlineStr">
        <is>
          <t>Peggy</t>
        </is>
      </c>
      <c r="C405" t="inlineStr">
        <is>
          <t>廣告受眾包</t>
        </is>
      </c>
      <c r="D405" t="inlineStr">
        <is>
          <t>其他</t>
        </is>
      </c>
      <c r="E405" t="inlineStr">
        <is>
          <t>Appier</t>
        </is>
      </c>
      <c r="F405" t="inlineStr">
        <is>
          <t>洗衣清潔用品1003</t>
        </is>
      </c>
      <c r="G405" t="inlineStr">
        <is>
          <t>2025-10-01</t>
        </is>
      </c>
      <c r="H405" t="n">
        <v>20000</v>
      </c>
      <c r="I405" t="inlineStr">
        <is>
          <t>ADID</t>
        </is>
      </c>
      <c r="J405" t="n">
        <v>20000</v>
      </c>
      <c r="K405" t="inlineStr"/>
      <c r="L405" t="inlineStr">
        <is>
          <t>否</t>
        </is>
      </c>
      <c r="M405" t="inlineStr">
        <is>
          <t>*近6個月曾購買過相關競品者 一匙靈、白蘭、Persil、Ariel、古寶無患子、nac nac、淨淨、茶樹莊園、一滴淨、南僑水晶、ecostore、淨毒五郎、Pato Pato 、Attack only
*半年前購買過橘子工坊洗衣膠囊,但是近三個月沒有再度購買
共計ID：20,000筆
來源：委刊單(Order) 第 418 列</t>
        </is>
      </c>
      <c r="N405" t="inlineStr">
        <is>
          <t>2026-05-18</t>
        </is>
      </c>
    </row>
    <row r="406">
      <c r="A406" t="inlineStr">
        <is>
          <t>ord_64201b7a0239</t>
        </is>
      </c>
      <c r="B406" t="inlineStr">
        <is>
          <t>Kate</t>
        </is>
      </c>
      <c r="C406" t="inlineStr">
        <is>
          <t>廣告受眾包</t>
        </is>
      </c>
      <c r="D406" t="inlineStr">
        <is>
          <t>快消品</t>
        </is>
      </c>
      <c r="E406" t="inlineStr">
        <is>
          <t>TenMax</t>
        </is>
      </c>
      <c r="F406" t="inlineStr">
        <is>
          <t>外送+生鮮</t>
        </is>
      </c>
      <c r="G406" t="inlineStr">
        <is>
          <t>2025-10-07</t>
        </is>
      </c>
      <c r="H406" t="n">
        <v>2375</v>
      </c>
      <c r="I406" t="inlineStr">
        <is>
          <t>ADID</t>
        </is>
      </c>
      <c r="J406" t="n">
        <v>0</v>
      </c>
      <c r="K406" t="inlineStr">
        <is>
          <t>2025-10-07</t>
        </is>
      </c>
      <c r="L406" t="inlineStr">
        <is>
          <t>否</t>
        </is>
      </c>
      <c r="M406" t="inlineStr">
        <is>
          <t>來源：委刊單(Order) 第 419 列</t>
        </is>
      </c>
      <c r="N406" t="inlineStr">
        <is>
          <t>2026-05-18</t>
        </is>
      </c>
    </row>
    <row r="407">
      <c r="A407" t="inlineStr">
        <is>
          <t>ord_89dc107e4881</t>
        </is>
      </c>
      <c r="B407" t="inlineStr">
        <is>
          <t>Peggy</t>
        </is>
      </c>
      <c r="C407" t="inlineStr">
        <is>
          <t>廣告受眾包</t>
        </is>
      </c>
      <c r="D407" t="inlineStr">
        <is>
          <t>其他</t>
        </is>
      </c>
      <c r="E407" t="inlineStr">
        <is>
          <t>Appier</t>
        </is>
      </c>
      <c r="F407" t="inlineStr">
        <is>
          <t>機車產業受眾1013</t>
        </is>
      </c>
      <c r="G407" t="inlineStr">
        <is>
          <t>2025-10-09</t>
        </is>
      </c>
      <c r="H407" t="n">
        <v>20000</v>
      </c>
      <c r="I407" t="inlineStr">
        <is>
          <t>ADID</t>
        </is>
      </c>
      <c r="J407" t="n">
        <v>20000</v>
      </c>
      <c r="K407" t="inlineStr">
        <is>
          <t>2025-10-09</t>
        </is>
      </c>
      <c r="L407" t="inlineStr">
        <is>
          <t>否</t>
        </is>
      </c>
      <c r="M407" t="inlineStr">
        <is>
          <t>TA1
近一年每月消費金額高於4萬的人 (約為全台消費力前20% 至 30%)
近一年消費商品_Apple 產品、電子產品、智慧家電、戶外用品、潮流品牌、名品精品
TA2
近一年每月消費金額高於4萬的人 (約為全台消費力前20% 至 30%)
近一年消費商品_Apple 產品、電子產品、日系歐系家電、名品精品、藝術活動、兩廳院、音樂、瑜珈、百貨公司商品
TA3
近一年消費商品關鍵字包含_折扣、優惠、買一送一、第二件折扣、贈品…等促銷優惠的關鍵字
近一年家用水電費支出前50% (推估為家庭成員大於3人以上)
近一年有音樂平台訂閱消費
TA4
近一年有加油發票的人
一包受眾購買5,000筆
共計ID：20,000筆
來源：委刊單(Order) 第 420 列</t>
        </is>
      </c>
      <c r="N407" t="inlineStr">
        <is>
          <t>2026-05-18</t>
        </is>
      </c>
    </row>
    <row r="408">
      <c r="A408" t="inlineStr">
        <is>
          <t>ord_1bb529e93d9f</t>
        </is>
      </c>
      <c r="B408" t="inlineStr">
        <is>
          <t>Erin</t>
        </is>
      </c>
      <c r="C408" t="inlineStr">
        <is>
          <t>廣告受眾包</t>
        </is>
      </c>
      <c r="D408" t="inlineStr">
        <is>
          <t>其他</t>
        </is>
      </c>
      <c r="E408" t="inlineStr">
        <is>
          <t>Cross Digital</t>
        </is>
      </c>
      <c r="F408" t="inlineStr">
        <is>
          <t>主題受眾包+平台自定義</t>
        </is>
      </c>
      <c r="G408" t="inlineStr">
        <is>
          <t>2025-10-13</t>
        </is>
      </c>
      <c r="H408" t="n">
        <v>200000</v>
      </c>
      <c r="I408" t="inlineStr">
        <is>
          <t>ADID</t>
        </is>
      </c>
      <c r="J408" t="n">
        <v>0</v>
      </c>
      <c r="K408" t="inlineStr">
        <is>
          <t>2025-11-14</t>
        </is>
      </c>
      <c r="L408" t="inlineStr">
        <is>
          <t>否</t>
        </is>
      </c>
      <c r="M408" t="inlineStr">
        <is>
          <t>一個月內需用畢,啟用隔月開發票
來源：委刊單(Order) 第 421 列</t>
        </is>
      </c>
      <c r="N408" t="inlineStr">
        <is>
          <t>2026-05-18</t>
        </is>
      </c>
    </row>
    <row r="409">
      <c r="A409" t="inlineStr">
        <is>
          <t>ord_dc32f558ce49</t>
        </is>
      </c>
      <c r="B409" t="inlineStr">
        <is>
          <t>Kate</t>
        </is>
      </c>
      <c r="C409" t="inlineStr">
        <is>
          <t>廣告受眾包</t>
        </is>
      </c>
      <c r="D409" t="inlineStr">
        <is>
          <t>醫療保健</t>
        </is>
      </c>
      <c r="E409" t="inlineStr">
        <is>
          <t>電通</t>
        </is>
      </c>
      <c r="F409" t="inlineStr">
        <is>
          <t>藥品</t>
        </is>
      </c>
      <c r="G409" t="inlineStr">
        <is>
          <t>2025-10-13</t>
        </is>
      </c>
      <c r="H409" t="n">
        <v>20000</v>
      </c>
      <c r="I409" t="inlineStr">
        <is>
          <t>ADID</t>
        </is>
      </c>
      <c r="J409" t="n">
        <v>0</v>
      </c>
      <c r="K409" t="inlineStr">
        <is>
          <t>2025-10-13</t>
        </is>
      </c>
      <c r="L409" t="inlineStr">
        <is>
          <t>否</t>
        </is>
      </c>
      <c r="M409" t="inlineStr">
        <is>
          <t>來源：委刊單(Order) 第 422 列</t>
        </is>
      </c>
      <c r="N409" t="inlineStr">
        <is>
          <t>2026-05-18</t>
        </is>
      </c>
    </row>
    <row r="410">
      <c r="A410" t="inlineStr">
        <is>
          <t>ord_895952051164</t>
        </is>
      </c>
      <c r="B410" t="inlineStr">
        <is>
          <t>Erin</t>
        </is>
      </c>
      <c r="C410" t="inlineStr">
        <is>
          <t>廣告受眾包</t>
        </is>
      </c>
      <c r="D410" t="inlineStr">
        <is>
          <t>快消品</t>
        </is>
      </c>
      <c r="E410" t="inlineStr">
        <is>
          <t>星傳</t>
        </is>
      </c>
      <c r="F410" t="inlineStr">
        <is>
          <t>H&amp;S</t>
        </is>
      </c>
      <c r="G410" t="inlineStr">
        <is>
          <t>2025-10-13</t>
        </is>
      </c>
      <c r="H410" t="n">
        <v>45000</v>
      </c>
      <c r="I410" t="inlineStr">
        <is>
          <t>ADID</t>
        </is>
      </c>
      <c r="J410" t="n">
        <v>0</v>
      </c>
      <c r="K410" t="inlineStr">
        <is>
          <t>自查</t>
        </is>
      </c>
      <c r="L410" t="inlineStr">
        <is>
          <t>否</t>
        </is>
      </c>
      <c r="M410" t="inlineStr">
        <is>
          <t>(1) P1.5 Y Costco buyer
Pool Size: 477,681
(2) P1.5Y Shampoo buyer
Pool Size: 872.985
來源：委刊單(Order) 第 423 列</t>
        </is>
      </c>
      <c r="N410" t="inlineStr">
        <is>
          <t>2026-05-18</t>
        </is>
      </c>
    </row>
    <row r="411">
      <c r="A411" t="inlineStr">
        <is>
          <t>ord_0e9f60b9615a</t>
        </is>
      </c>
      <c r="B411" t="inlineStr">
        <is>
          <t>Erin</t>
        </is>
      </c>
      <c r="C411" t="inlineStr">
        <is>
          <t>廣告受眾包</t>
        </is>
      </c>
      <c r="D411" t="inlineStr">
        <is>
          <t>快消品</t>
        </is>
      </c>
      <c r="E411" t="inlineStr">
        <is>
          <t>星傳</t>
        </is>
      </c>
      <c r="F411" t="inlineStr">
        <is>
          <t>P&amp;G</t>
        </is>
      </c>
      <c r="G411" t="inlineStr">
        <is>
          <t>2025-10-14</t>
        </is>
      </c>
      <c r="H411" t="n">
        <v>50000</v>
      </c>
      <c r="I411" t="inlineStr">
        <is>
          <t>ADID</t>
        </is>
      </c>
      <c r="J411" t="n">
        <v>783317</v>
      </c>
      <c r="K411" t="inlineStr">
        <is>
          <t>2025-10-16</t>
        </is>
      </c>
      <c r="L411" t="inlineStr">
        <is>
          <t>否</t>
        </is>
      </c>
      <c r="M411" t="inlineStr">
        <is>
          <t>好市多 一年
來源：委刊單(Order) 第 424 列</t>
        </is>
      </c>
      <c r="N411" t="inlineStr">
        <is>
          <t>2026-05-18</t>
        </is>
      </c>
    </row>
    <row r="412">
      <c r="A412" t="inlineStr">
        <is>
          <t>ord_3c7e38ec40be</t>
        </is>
      </c>
      <c r="B412" t="inlineStr">
        <is>
          <t>Peggy</t>
        </is>
      </c>
      <c r="C412" t="inlineStr">
        <is>
          <t>廣告受眾包</t>
        </is>
      </c>
      <c r="D412" t="inlineStr">
        <is>
          <t>醫療保健</t>
        </is>
      </c>
      <c r="E412" t="inlineStr">
        <is>
          <t>其他(品牌自操)</t>
        </is>
      </c>
      <c r="F412" t="inlineStr">
        <is>
          <t>麥麥生技</t>
        </is>
      </c>
      <c r="G412" t="inlineStr">
        <is>
          <t>2025-10-14</t>
        </is>
      </c>
      <c r="H412" t="n">
        <v>54000</v>
      </c>
      <c r="I412" t="inlineStr">
        <is>
          <t>ADID</t>
        </is>
      </c>
      <c r="J412" t="n">
        <v>0</v>
      </c>
      <c r="K412" t="inlineStr">
        <is>
          <t>2025-10-17</t>
        </is>
      </c>
      <c r="L412" t="inlineStr">
        <is>
          <t>否</t>
        </is>
      </c>
      <c r="M412" t="inlineStr">
        <is>
          <t>採購六組
來源：委刊單(Order) 第 425 列</t>
        </is>
      </c>
      <c r="N412" t="inlineStr">
        <is>
          <t>2026-05-18</t>
        </is>
      </c>
    </row>
    <row r="413">
      <c r="A413" t="inlineStr">
        <is>
          <t>ord_18b394355b37</t>
        </is>
      </c>
      <c r="B413" t="inlineStr">
        <is>
          <t>Peggy</t>
        </is>
      </c>
      <c r="C413" t="inlineStr">
        <is>
          <t>廣告受眾包</t>
        </is>
      </c>
      <c r="D413" t="inlineStr">
        <is>
          <t>其他</t>
        </is>
      </c>
      <c r="E413" t="inlineStr">
        <is>
          <t>Appier</t>
        </is>
      </c>
      <c r="F413" t="inlineStr">
        <is>
          <t>速食產業受眾1015</t>
        </is>
      </c>
      <c r="G413" t="inlineStr">
        <is>
          <t>2025-10-14</t>
        </is>
      </c>
      <c r="H413" t="n">
        <v>20000</v>
      </c>
      <c r="I413" t="inlineStr">
        <is>
          <t>ADID</t>
        </is>
      </c>
      <c r="J413" t="n">
        <v>20000</v>
      </c>
      <c r="K413" t="inlineStr">
        <is>
          <t>2025-10-14</t>
        </is>
      </c>
      <c r="L413" t="inlineStr">
        <is>
          <t>否</t>
        </is>
      </c>
      <c r="M413" t="inlineStr">
        <is>
          <t>90天內購買過麥當勞至少二次的人  15,000筆
90天叫過UberEats、Foodpanda 至少三次的人  4,000筆
90天至少三次喜歡吃速食的人(肯德基、漢堡王、摩絲漢堡、subway、胖老爹、必勝客、拿玻里、達美樂、起家雞) 1,000筆
共計ID：20,000筆
來源：委刊單(Order) 第 426 列</t>
        </is>
      </c>
      <c r="N413" t="inlineStr">
        <is>
          <t>2026-05-18</t>
        </is>
      </c>
    </row>
    <row r="414">
      <c r="A414" t="inlineStr">
        <is>
          <t>ord_918ca5ab5bdd</t>
        </is>
      </c>
      <c r="B414" t="inlineStr">
        <is>
          <t>Kate</t>
        </is>
      </c>
      <c r="C414" t="inlineStr">
        <is>
          <t>單次報告</t>
        </is>
      </c>
      <c r="D414" t="inlineStr">
        <is>
          <t>快消品</t>
        </is>
      </c>
      <c r="E414" t="inlineStr">
        <is>
          <t>LiTV</t>
        </is>
      </c>
      <c r="F414" t="inlineStr">
        <is>
          <t>妮維雅_淡斑煥白UV防禦乳</t>
        </is>
      </c>
      <c r="G414" t="inlineStr">
        <is>
          <t>2025-10-13</t>
        </is>
      </c>
      <c r="H414" t="n">
        <v>30000</v>
      </c>
      <c r="I414" t="inlineStr">
        <is>
          <t>EXCEL</t>
        </is>
      </c>
      <c r="J414" t="n">
        <v>0</v>
      </c>
      <c r="K414" t="inlineStr"/>
      <c r="L414" t="inlineStr">
        <is>
          <t>否</t>
        </is>
      </c>
      <c r="M414" t="inlineStr">
        <is>
          <t>投後分析(比照桂格_得意的一天)預計2026/1/23交付
來源：委刊單(Order) 第 427 列</t>
        </is>
      </c>
      <c r="N414" t="inlineStr">
        <is>
          <t>2026-05-18</t>
        </is>
      </c>
    </row>
    <row r="415">
      <c r="A415" t="inlineStr">
        <is>
          <t>ord_167c6b196bfa</t>
        </is>
      </c>
      <c r="B415" t="inlineStr">
        <is>
          <t>Peggy</t>
        </is>
      </c>
      <c r="C415" t="inlineStr">
        <is>
          <t>廣告受眾包</t>
        </is>
      </c>
      <c r="D415" t="inlineStr">
        <is>
          <t>其他</t>
        </is>
      </c>
      <c r="E415" t="inlineStr">
        <is>
          <t>Appier</t>
        </is>
      </c>
      <c r="F415" t="inlineStr">
        <is>
          <t>冷凍食品受眾1015</t>
        </is>
      </c>
      <c r="G415" t="inlineStr">
        <is>
          <t>2025-10-15</t>
        </is>
      </c>
      <c r="H415" t="n">
        <v>20000</v>
      </c>
      <c r="I415" t="inlineStr">
        <is>
          <t>ADID</t>
        </is>
      </c>
      <c r="J415" t="n">
        <v>20000</v>
      </c>
      <c r="K415" t="inlineStr">
        <is>
          <t>2025-10-15</t>
        </is>
      </c>
      <c r="L415" t="inlineStr">
        <is>
          <t>否</t>
        </is>
      </c>
      <c r="M415" t="inlineStr">
        <is>
          <t>需要購買資料:
近30天內在超商、超市等通路，買過冷凍水餃、冷凍食品，加熱食品等
來源：委刊單(Order) 第 428 列</t>
        </is>
      </c>
      <c r="N415" t="inlineStr">
        <is>
          <t>2026-05-18</t>
        </is>
      </c>
    </row>
    <row r="416">
      <c r="A416" t="inlineStr">
        <is>
          <t>ord_61654c153105</t>
        </is>
      </c>
      <c r="B416" t="inlineStr">
        <is>
          <t>Kate</t>
        </is>
      </c>
      <c r="C416" t="inlineStr">
        <is>
          <t>廣告受眾包</t>
        </is>
      </c>
      <c r="D416" t="inlineStr">
        <is>
          <t>醫療保健</t>
        </is>
      </c>
      <c r="E416" t="inlineStr">
        <is>
          <t>其他(品牌自操)</t>
        </is>
      </c>
      <c r="F416" t="inlineStr">
        <is>
          <t>星醫美學</t>
        </is>
      </c>
      <c r="G416" t="inlineStr">
        <is>
          <t>2025-10-16</t>
        </is>
      </c>
      <c r="H416" t="n">
        <v>10000</v>
      </c>
      <c r="I416" t="inlineStr">
        <is>
          <t>受眾共享</t>
        </is>
      </c>
      <c r="J416" t="n">
        <v>0</v>
      </c>
      <c r="K416" t="inlineStr"/>
      <c r="L416" t="inlineStr">
        <is>
          <t>否</t>
        </is>
      </c>
      <c r="M416" t="inlineStr">
        <is>
          <t>10月開發票，11/25出款
來源：委刊單(Order) 第 429 列</t>
        </is>
      </c>
      <c r="N416" t="inlineStr">
        <is>
          <t>2026-05-18</t>
        </is>
      </c>
    </row>
    <row r="417">
      <c r="A417" t="inlineStr">
        <is>
          <t>ord_62c03fba3b86</t>
        </is>
      </c>
      <c r="B417" t="inlineStr">
        <is>
          <t>Peggy</t>
        </is>
      </c>
      <c r="C417" t="inlineStr">
        <is>
          <t>廣告受眾包</t>
        </is>
      </c>
      <c r="D417" t="inlineStr">
        <is>
          <t>其他</t>
        </is>
      </c>
      <c r="E417" t="inlineStr">
        <is>
          <t>Appier</t>
        </is>
      </c>
      <c r="F417" t="inlineStr">
        <is>
          <t>電信用戶受眾1016</t>
        </is>
      </c>
      <c r="G417" t="inlineStr">
        <is>
          <t>2025-10-16</t>
        </is>
      </c>
      <c r="H417" t="n">
        <v>20000</v>
      </c>
      <c r="I417" t="inlineStr">
        <is>
          <t>ADID</t>
        </is>
      </c>
      <c r="J417" t="n">
        <v>20000</v>
      </c>
      <c r="K417" t="inlineStr">
        <is>
          <t>2025-10-16</t>
        </is>
      </c>
      <c r="L417" t="inlineStr">
        <is>
          <t>否</t>
        </is>
      </c>
      <c r="M417" t="inlineStr">
        <is>
          <t>確認購買以下發票資料
走期: 10/15-10/31
需要購買資料:
發票資料_Netflixe 訂閱用戶
中華電信發票中包含Netflix關鍵字
各別10,000筆，共計ID：20,000筆
來源：委刊單(Order) 第 430 列</t>
        </is>
      </c>
      <c r="N417" t="inlineStr">
        <is>
          <t>2026-05-18</t>
        </is>
      </c>
    </row>
    <row r="418">
      <c r="A418" t="inlineStr">
        <is>
          <t>ord_703f36ff73d3</t>
        </is>
      </c>
      <c r="B418" t="inlineStr">
        <is>
          <t>Kate</t>
        </is>
      </c>
      <c r="C418" t="inlineStr">
        <is>
          <t>廣告受眾包</t>
        </is>
      </c>
      <c r="D418" t="inlineStr">
        <is>
          <t>醫療保健</t>
        </is>
      </c>
      <c r="E418" t="inlineStr">
        <is>
          <t>電通</t>
        </is>
      </c>
      <c r="F418" t="inlineStr">
        <is>
          <t>孕婦營養品</t>
        </is>
      </c>
      <c r="G418" t="inlineStr">
        <is>
          <t>2025-10-17</t>
        </is>
      </c>
      <c r="H418" t="n">
        <v>40000</v>
      </c>
      <c r="I418" t="inlineStr">
        <is>
          <t>ADID</t>
        </is>
      </c>
      <c r="J418" t="n">
        <v>0</v>
      </c>
      <c r="K418" t="inlineStr">
        <is>
          <t>2025-10-21</t>
        </is>
      </c>
      <c r="L418" t="inlineStr">
        <is>
          <t>否</t>
        </is>
      </c>
      <c r="M418" t="inlineStr">
        <is>
          <t>續購更新受眾
來源：委刊單(Order) 第 431 列</t>
        </is>
      </c>
      <c r="N418" t="inlineStr">
        <is>
          <t>2026-05-18</t>
        </is>
      </c>
    </row>
    <row r="419">
      <c r="A419" t="inlineStr">
        <is>
          <t>ord_119ae313f387</t>
        </is>
      </c>
      <c r="B419" t="inlineStr">
        <is>
          <t>Peggy</t>
        </is>
      </c>
      <c r="C419" t="inlineStr">
        <is>
          <t>廣告受眾包</t>
        </is>
      </c>
      <c r="D419" t="inlineStr">
        <is>
          <t>其他</t>
        </is>
      </c>
      <c r="E419" t="inlineStr">
        <is>
          <t>Appier</t>
        </is>
      </c>
      <c r="F419" t="inlineStr">
        <is>
          <t>保健品購買受眾1017</t>
        </is>
      </c>
      <c r="G419" t="inlineStr">
        <is>
          <t>2025-10-20</t>
        </is>
      </c>
      <c r="H419" t="n">
        <v>10000</v>
      </c>
      <c r="I419" t="inlineStr">
        <is>
          <t>ADID</t>
        </is>
      </c>
      <c r="J419" t="n">
        <v>10000</v>
      </c>
      <c r="K419" t="inlineStr">
        <is>
          <t>2025-10-20</t>
        </is>
      </c>
      <c r="L419" t="inlineStr">
        <is>
          <t>否</t>
        </is>
      </c>
      <c r="M419" t="inlineStr">
        <is>
          <t>受眾一
購買過: 葉黃素、護眼保健品
走期: 1020-1026
購買筆數: 1,600筆
受眾二
購買過: 膠原蛋白、美白保健品
走期: 1027-1112
購買筆數: 8,400筆
共計ID：10,000筆
"
來源：委刊單(Order) 第 432 列</t>
        </is>
      </c>
      <c r="N419" t="inlineStr">
        <is>
          <t>2026-05-18</t>
        </is>
      </c>
    </row>
    <row r="420">
      <c r="A420" t="inlineStr">
        <is>
          <t>ord_be2357e18f28</t>
        </is>
      </c>
      <c r="B420" t="inlineStr">
        <is>
          <t>Kate</t>
        </is>
      </c>
      <c r="C420" t="inlineStr">
        <is>
          <t>廣告受眾包</t>
        </is>
      </c>
      <c r="D420" t="inlineStr">
        <is>
          <t>零售產業</t>
        </is>
      </c>
      <c r="E420" t="inlineStr">
        <is>
          <t>電通</t>
        </is>
      </c>
      <c r="F420" t="inlineStr">
        <is>
          <t>休閒食品</t>
        </is>
      </c>
      <c r="G420" t="inlineStr">
        <is>
          <t>2025-10-21</t>
        </is>
      </c>
      <c r="H420" t="n">
        <v>37000</v>
      </c>
      <c r="I420" t="inlineStr">
        <is>
          <t>ADID</t>
        </is>
      </c>
      <c r="J420" t="n">
        <v>0</v>
      </c>
      <c r="K420" t="inlineStr">
        <is>
          <t>2025-10-21</t>
        </is>
      </c>
      <c r="L420" t="inlineStr">
        <is>
          <t>否</t>
        </is>
      </c>
      <c r="M420" t="inlineStr">
        <is>
          <t>來源：委刊單(Order) 第 433 列</t>
        </is>
      </c>
      <c r="N420" t="inlineStr">
        <is>
          <t>2026-05-18</t>
        </is>
      </c>
    </row>
    <row r="421">
      <c r="A421" t="inlineStr">
        <is>
          <t>ord_70eb086f5400</t>
        </is>
      </c>
      <c r="B421" t="inlineStr">
        <is>
          <t>Kate</t>
        </is>
      </c>
      <c r="C421" t="inlineStr">
        <is>
          <t>廣告受眾包</t>
        </is>
      </c>
      <c r="D421" t="inlineStr">
        <is>
          <t>電信通訊</t>
        </is>
      </c>
      <c r="E421" t="inlineStr">
        <is>
          <t>電通</t>
        </is>
      </c>
      <c r="F421" t="inlineStr">
        <is>
          <t>有線電視</t>
        </is>
      </c>
      <c r="G421" t="inlineStr">
        <is>
          <t>2025-10-22</t>
        </is>
      </c>
      <c r="H421" t="n">
        <v>25000</v>
      </c>
      <c r="I421" t="inlineStr">
        <is>
          <t>ADID</t>
        </is>
      </c>
      <c r="J421" t="n">
        <v>0</v>
      </c>
      <c r="K421" t="inlineStr">
        <is>
          <t>2025-10-23</t>
        </is>
      </c>
      <c r="L421" t="inlineStr">
        <is>
          <t>否</t>
        </is>
      </c>
      <c r="M421" t="inlineStr">
        <is>
          <t>來源：委刊單(Order) 第 434 列</t>
        </is>
      </c>
      <c r="N421" t="inlineStr">
        <is>
          <t>2026-05-18</t>
        </is>
      </c>
    </row>
    <row r="422">
      <c r="A422" t="inlineStr">
        <is>
          <t>ord_ea74d67b1117</t>
        </is>
      </c>
      <c r="B422" t="inlineStr">
        <is>
          <t>Erin</t>
        </is>
      </c>
      <c r="C422" t="inlineStr">
        <is>
          <t>單次發票數據</t>
        </is>
      </c>
      <c r="D422" t="inlineStr">
        <is>
          <t>其他</t>
        </is>
      </c>
      <c r="E422" t="inlineStr">
        <is>
          <t>getchee</t>
        </is>
      </c>
      <c r="F422" t="inlineStr">
        <is>
          <t>咖啡產業</t>
        </is>
      </c>
      <c r="G422" t="inlineStr">
        <is>
          <t>2025-10-23</t>
        </is>
      </c>
      <c r="H422" t="n">
        <v>121905</v>
      </c>
      <c r="I422" t="inlineStr">
        <is>
          <t>ADID</t>
        </is>
      </c>
      <c r="J422" t="n">
        <v>0</v>
      </c>
      <c r="K422" t="inlineStr">
        <is>
          <t>2025-11-07</t>
        </is>
      </c>
      <c r="L422" t="inlineStr">
        <is>
          <t>否</t>
        </is>
      </c>
      <c r="M422" t="inlineStr">
        <is>
          <t>來源：委刊單(Order) 第 435 列</t>
        </is>
      </c>
      <c r="N422" t="inlineStr">
        <is>
          <t>2026-05-18</t>
        </is>
      </c>
    </row>
    <row r="423">
      <c r="A423" t="inlineStr">
        <is>
          <t>ord_bbba22d559c0</t>
        </is>
      </c>
      <c r="B423" t="inlineStr">
        <is>
          <t>Erin</t>
        </is>
      </c>
      <c r="C423" t="inlineStr">
        <is>
          <t>單次報告</t>
        </is>
      </c>
      <c r="D423" t="inlineStr">
        <is>
          <t>快消品</t>
        </is>
      </c>
      <c r="E423" t="inlineStr">
        <is>
          <t>陽獅</t>
        </is>
      </c>
      <c r="F423" t="inlineStr">
        <is>
          <t>OLAY</t>
        </is>
      </c>
      <c r="G423" t="inlineStr">
        <is>
          <t>2025-10-27</t>
        </is>
      </c>
      <c r="H423" t="n">
        <v>16500</v>
      </c>
      <c r="I423" t="inlineStr">
        <is>
          <t>Meta 離線API</t>
        </is>
      </c>
      <c r="J423" t="n">
        <v>0</v>
      </c>
      <c r="K423" t="inlineStr">
        <is>
          <t>2025-12-29</t>
        </is>
      </c>
      <c r="L423" t="inlineStr">
        <is>
          <t>否</t>
        </is>
      </c>
      <c r="M423" t="inlineStr">
        <is>
          <t>離線轉換第二期
來源：委刊單(Order) 第 436 列</t>
        </is>
      </c>
      <c r="N423" t="inlineStr">
        <is>
          <t>2026-05-18</t>
        </is>
      </c>
    </row>
    <row r="424">
      <c r="A424" t="inlineStr">
        <is>
          <t>ord_d4d365f1bad1</t>
        </is>
      </c>
      <c r="B424" t="inlineStr">
        <is>
          <t>Kate</t>
        </is>
      </c>
      <c r="C424" t="inlineStr">
        <is>
          <t>廣告受眾包</t>
        </is>
      </c>
      <c r="D424" t="inlineStr">
        <is>
          <t>電子商務</t>
        </is>
      </c>
      <c r="E424" t="inlineStr">
        <is>
          <t>其他(品牌自操)</t>
        </is>
      </c>
      <c r="F424" t="inlineStr">
        <is>
          <t>wstyle</t>
        </is>
      </c>
      <c r="G424" t="inlineStr">
        <is>
          <t>2025-10-29</t>
        </is>
      </c>
      <c r="H424" t="n">
        <v>30000</v>
      </c>
      <c r="I424" t="inlineStr">
        <is>
          <t>受眾共享</t>
        </is>
      </c>
      <c r="J424" t="n">
        <v>0</v>
      </c>
      <c r="K424" t="inlineStr"/>
      <c r="L424" t="inlineStr">
        <is>
          <t>否</t>
        </is>
      </c>
      <c r="M424" t="inlineStr">
        <is>
          <t>來源：委刊單(Order) 第 437 列</t>
        </is>
      </c>
      <c r="N424" t="inlineStr">
        <is>
          <t>2026-05-18</t>
        </is>
      </c>
    </row>
    <row r="425">
      <c r="A425" t="inlineStr">
        <is>
          <t>ord_7d3a2c9b5666</t>
        </is>
      </c>
      <c r="B425" t="inlineStr">
        <is>
          <t>Peggy</t>
        </is>
      </c>
      <c r="C425" t="inlineStr">
        <is>
          <t>廣告受眾包</t>
        </is>
      </c>
      <c r="D425" t="inlineStr">
        <is>
          <t>其他</t>
        </is>
      </c>
      <c r="E425" t="inlineStr">
        <is>
          <t>Appier</t>
        </is>
      </c>
      <c r="F425" t="inlineStr">
        <is>
          <t>機車購買族群受眾1030</t>
        </is>
      </c>
      <c r="G425" t="inlineStr">
        <is>
          <t>2025-10-30</t>
        </is>
      </c>
      <c r="H425" t="n">
        <v>20000</v>
      </c>
      <c r="I425" t="inlineStr">
        <is>
          <t>ADID</t>
        </is>
      </c>
      <c r="J425" t="n">
        <v>20000</v>
      </c>
      <c r="K425" t="inlineStr"/>
      <c r="L425" t="inlineStr">
        <is>
          <t>否</t>
        </is>
      </c>
      <c r="M425" t="inlineStr">
        <is>
          <t>拆成三包
TA1 6,500筆
近一年消費商品關鍵字包含_折扣、優惠、買一送一、第二件折扣、贈品…等促銷優惠的關鍵字
近一年家用水電費支出前50% (推估為家庭成員大於3人以上)
TA2 6,500筆
近一年每月消費金額高於4萬的人 (約為全台消費力前20% 至 30%)
近一年消費商品_Apple 產品、電子產品、日系歐系家電、名品精品、藝術活動、兩廳院、音樂、瑜珈、百貨公司商品
TA3 7,000筆
近一年有加油、機油、雨衣..等機車族
走期 : 11/3-11/30
共計ID：20,000筆
來源：委刊單(Order) 第 438 列</t>
        </is>
      </c>
      <c r="N425" t="inlineStr">
        <is>
          <t>2026-05-18</t>
        </is>
      </c>
    </row>
    <row r="426">
      <c r="A426" t="inlineStr">
        <is>
          <t>ord_ed5070e346b5</t>
        </is>
      </c>
      <c r="B426" t="inlineStr">
        <is>
          <t>Peggy</t>
        </is>
      </c>
      <c r="C426" t="inlineStr">
        <is>
          <t>廣告受眾包</t>
        </is>
      </c>
      <c r="D426" t="inlineStr">
        <is>
          <t>其他</t>
        </is>
      </c>
      <c r="E426" t="inlineStr">
        <is>
          <t>Appier</t>
        </is>
      </c>
      <c r="F426" t="inlineStr">
        <is>
          <t>家用紙品購買受眾1030</t>
        </is>
      </c>
      <c r="G426" t="inlineStr">
        <is>
          <t>2025-10-30</t>
        </is>
      </c>
      <c r="H426" t="n">
        <v>20000</v>
      </c>
      <c r="I426" t="inlineStr">
        <is>
          <t>ADID</t>
        </is>
      </c>
      <c r="J426" t="n">
        <v>20000</v>
      </c>
      <c r="K426" t="inlineStr"/>
      <c r="L426" t="inlineStr">
        <is>
          <t>否</t>
        </is>
      </c>
      <c r="M426" t="inlineStr">
        <is>
          <t>近一年購買過衛生紙﹑紙巾、溼式衛生紙、廚房紙巾、生鮮食品..等家用品採買族群
走期 : 11/1-12/5
共計ID：20,000筆
來源：委刊單(Order) 第 439 列</t>
        </is>
      </c>
      <c r="N426" t="inlineStr">
        <is>
          <t>2026-05-18</t>
        </is>
      </c>
    </row>
    <row r="427">
      <c r="A427" t="inlineStr">
        <is>
          <t>ord_85095eaf6854</t>
        </is>
      </c>
      <c r="B427" t="inlineStr">
        <is>
          <t>Kate</t>
        </is>
      </c>
      <c r="C427" t="inlineStr">
        <is>
          <t>專案</t>
        </is>
      </c>
      <c r="D427" t="inlineStr">
        <is>
          <t>零售產業</t>
        </is>
      </c>
      <c r="E427" t="inlineStr">
        <is>
          <t>未來流通研究所</t>
        </is>
      </c>
      <c r="F427" t="inlineStr">
        <is>
          <t>專案-
Q2/Q3通路消費品類金額佔比追加項目</t>
        </is>
      </c>
      <c r="G427" t="inlineStr">
        <is>
          <t>2025-11-06</t>
        </is>
      </c>
      <c r="H427" t="n">
        <v>50000</v>
      </c>
      <c r="I427" t="inlineStr"/>
      <c r="J427" t="n">
        <v>0</v>
      </c>
      <c r="K427" t="inlineStr">
        <is>
          <t>2025-11-14</t>
        </is>
      </c>
      <c r="L427" t="inlineStr">
        <is>
          <t>否</t>
        </is>
      </c>
      <c r="M427" t="inlineStr">
        <is>
          <t>補充商品數、資料量；電商by 月(4-9)
來源：委刊單(Order) 第 442 列</t>
        </is>
      </c>
      <c r="N427" t="inlineStr">
        <is>
          <t>2026-05-18</t>
        </is>
      </c>
    </row>
    <row r="428">
      <c r="A428" t="inlineStr">
        <is>
          <t>ord_aad29d47d17b</t>
        </is>
      </c>
      <c r="B428" t="inlineStr">
        <is>
          <t>Peggy</t>
        </is>
      </c>
      <c r="C428" t="inlineStr">
        <is>
          <t>廣告受眾包</t>
        </is>
      </c>
      <c r="D428" t="inlineStr">
        <is>
          <t>其他</t>
        </is>
      </c>
      <c r="E428" t="inlineStr">
        <is>
          <t>Appier</t>
        </is>
      </c>
      <c r="F428" t="inlineStr">
        <is>
          <t>家電產品購買者1104</t>
        </is>
      </c>
      <c r="G428" t="inlineStr">
        <is>
          <t>2025-11-04</t>
        </is>
      </c>
      <c r="H428" t="n">
        <v>20000</v>
      </c>
      <c r="I428" t="inlineStr">
        <is>
          <t>ADID</t>
        </is>
      </c>
      <c r="J428" t="n">
        <v>20000</v>
      </c>
      <c r="K428" t="inlineStr">
        <is>
          <t>2025-11-04</t>
        </is>
      </c>
      <c r="L428" t="inlineStr">
        <is>
          <t>否</t>
        </is>
      </c>
      <c r="M428" t="inlineStr">
        <is>
          <t>上班族、網購平台消費者、影音娛樂訂閱會員 &amp; 排除近一年已經買過吸塵器的人 (10,000筆)
飼主族群、清潔收納用品買家 &amp;排除近一年已經買過吸塵器的人 (10,000筆)
走期 : 10/31-11/14
共計ID：20,000筆"
來源：委刊單(Order) 第 443 列</t>
        </is>
      </c>
      <c r="N428" t="inlineStr">
        <is>
          <t>2026-05-18</t>
        </is>
      </c>
    </row>
    <row r="429">
      <c r="A429" t="inlineStr">
        <is>
          <t>ord_6ca613ffcf9b</t>
        </is>
      </c>
      <c r="B429" t="inlineStr">
        <is>
          <t>Peggy</t>
        </is>
      </c>
      <c r="C429" t="inlineStr">
        <is>
          <t>廣告受眾包</t>
        </is>
      </c>
      <c r="D429" t="inlineStr">
        <is>
          <t>其他</t>
        </is>
      </c>
      <c r="E429" t="inlineStr">
        <is>
          <t>Appier</t>
        </is>
      </c>
      <c r="F429" t="inlineStr">
        <is>
          <t>快時尚女性商品1104</t>
        </is>
      </c>
      <c r="G429" t="inlineStr">
        <is>
          <t>2025-11-04</t>
        </is>
      </c>
      <c r="H429" t="n">
        <v>7500</v>
      </c>
      <c r="I429" t="inlineStr">
        <is>
          <t>ADID</t>
        </is>
      </c>
      <c r="J429" t="n">
        <v>7500</v>
      </c>
      <c r="K429" t="inlineStr">
        <is>
          <t>2025-11-04</t>
        </is>
      </c>
      <c r="L429" t="inlineStr">
        <is>
          <t>否</t>
        </is>
      </c>
      <c r="M429" t="inlineStr">
        <is>
          <t>過去有購買過ROBINMAY，但近期ㄧ年沒有購買過的用戶 
因為走期較短預算有限僅購買7,500筆,但是可以幫我撈取實際POOL 數嗎?
方便我們下次可以和客戶爭取更多預算
走期 : 11/4-11/11
共計ID：7,500筆
來源：委刊單(Order) 第 444 列</t>
        </is>
      </c>
      <c r="N429" t="inlineStr">
        <is>
          <t>2026-05-18</t>
        </is>
      </c>
    </row>
    <row r="430">
      <c r="A430" t="inlineStr">
        <is>
          <t>ord_c80675e0f021</t>
        </is>
      </c>
      <c r="B430" t="inlineStr">
        <is>
          <t>Peggy</t>
        </is>
      </c>
      <c r="C430" t="inlineStr">
        <is>
          <t>廣告受眾包</t>
        </is>
      </c>
      <c r="D430" t="inlineStr">
        <is>
          <t>其他</t>
        </is>
      </c>
      <c r="E430" t="inlineStr">
        <is>
          <t>Appier</t>
        </is>
      </c>
      <c r="F430" t="inlineStr">
        <is>
          <t>百貨通路高消費族群1110</t>
        </is>
      </c>
      <c r="G430" t="inlineStr">
        <is>
          <t>2025-11-10</t>
        </is>
      </c>
      <c r="H430" t="n">
        <v>20000</v>
      </c>
      <c r="I430" t="inlineStr">
        <is>
          <t>ADID</t>
        </is>
      </c>
      <c r="J430" t="n">
        <v>20000</v>
      </c>
      <c r="K430" t="inlineStr">
        <is>
          <t>2025-11-11</t>
        </is>
      </c>
      <c r="L430" t="inlineStr">
        <is>
          <t>否</t>
        </is>
      </c>
      <c r="M430" t="inlineStr">
        <is>
          <t>鎖定上個月單筆百貨通路消費金額超過3000元受眾, 近半年每個月平均消費金額超過4萬元高消費力族群
走期 : 11/10-11/18
共計ID：20,000筆
來源：委刊單(Order) 第 445 列</t>
        </is>
      </c>
      <c r="N430" t="inlineStr">
        <is>
          <t>2026-05-18</t>
        </is>
      </c>
    </row>
    <row r="431">
      <c r="A431" t="inlineStr">
        <is>
          <t>ord_169a540d0a60</t>
        </is>
      </c>
      <c r="B431" t="inlineStr">
        <is>
          <t>Kate</t>
        </is>
      </c>
      <c r="C431" t="inlineStr">
        <is>
          <t>廣告受眾包</t>
        </is>
      </c>
      <c r="D431" t="inlineStr">
        <is>
          <t>零售產業</t>
        </is>
      </c>
      <c r="E431" t="inlineStr">
        <is>
          <t>電通</t>
        </is>
      </c>
      <c r="F431" t="inlineStr">
        <is>
          <t>餐飲</t>
        </is>
      </c>
      <c r="G431" t="inlineStr">
        <is>
          <t>2025-11-11</t>
        </is>
      </c>
      <c r="H431" t="n">
        <v>20000</v>
      </c>
      <c r="I431" t="inlineStr">
        <is>
          <t>ADID</t>
        </is>
      </c>
      <c r="J431" t="n">
        <v>140000</v>
      </c>
      <c r="K431" t="inlineStr">
        <is>
          <t>2025-11-11</t>
        </is>
      </c>
      <c r="L431" t="inlineStr">
        <is>
          <t>否</t>
        </is>
      </c>
      <c r="M431" t="inlineStr">
        <is>
          <t>買過麥當勞的受眾
來源：委刊單(Order) 第 446 列</t>
        </is>
      </c>
      <c r="N431" t="inlineStr">
        <is>
          <t>2026-05-18</t>
        </is>
      </c>
    </row>
    <row r="432">
      <c r="A432" t="inlineStr">
        <is>
          <t>ord_ef80554a3014</t>
        </is>
      </c>
      <c r="B432" t="inlineStr">
        <is>
          <t>Peggy</t>
        </is>
      </c>
      <c r="C432" t="inlineStr">
        <is>
          <t>廣告受眾包</t>
        </is>
      </c>
      <c r="D432" t="inlineStr">
        <is>
          <t>其他</t>
        </is>
      </c>
      <c r="E432" t="inlineStr">
        <is>
          <t>Appier</t>
        </is>
      </c>
      <c r="F432" t="inlineStr">
        <is>
          <t>速食愛好者1113</t>
        </is>
      </c>
      <c r="G432" t="inlineStr">
        <is>
          <t>2025-11-13</t>
        </is>
      </c>
      <c r="H432" t="n">
        <v>20000</v>
      </c>
      <c r="I432" t="inlineStr">
        <is>
          <t>ADID</t>
        </is>
      </c>
      <c r="J432" t="n">
        <v>20000</v>
      </c>
      <c r="K432" t="inlineStr">
        <is>
          <t>2025-11-13</t>
        </is>
      </c>
      <c r="L432" t="inlineStr">
        <is>
          <t>否</t>
        </is>
      </c>
      <c r="M432" t="inlineStr">
        <is>
          <t>90天曾經叫過: 麥當勞、UberEats、Foodpanda、外送
90天內購買過麥當勞至少二次的人
90天叫過UberEats、Foodpanda 至少三次的人
90天至少買過三次以上速食食品的人
走期 : 11/14-12/2
以上四包一包購買5,000筆
共計ID：20,000筆
來源：委刊單(Order) 第 447 列</t>
        </is>
      </c>
      <c r="N432" t="inlineStr">
        <is>
          <t>2026-05-18</t>
        </is>
      </c>
    </row>
    <row r="433">
      <c r="A433" t="inlineStr">
        <is>
          <t>ord_f977b6c58037</t>
        </is>
      </c>
      <c r="B433" t="inlineStr">
        <is>
          <t>Kate</t>
        </is>
      </c>
      <c r="C433" t="inlineStr">
        <is>
          <t>廣告受眾包</t>
        </is>
      </c>
      <c r="D433" t="inlineStr">
        <is>
          <t>零售產業</t>
        </is>
      </c>
      <c r="E433" t="inlineStr">
        <is>
          <t>電通</t>
        </is>
      </c>
      <c r="F433" t="inlineStr">
        <is>
          <t>餐飲速食</t>
        </is>
      </c>
      <c r="G433" t="inlineStr">
        <is>
          <t>2025-11-17</t>
        </is>
      </c>
      <c r="H433" t="n">
        <v>19000</v>
      </c>
      <c r="I433" t="inlineStr">
        <is>
          <t>ADID</t>
        </is>
      </c>
      <c r="J433" t="n">
        <v>136058</v>
      </c>
      <c r="K433" t="inlineStr">
        <is>
          <t>2025-11-17</t>
        </is>
      </c>
      <c r="L433" t="inlineStr">
        <is>
          <t>否</t>
        </is>
      </c>
      <c r="M433" t="inlineStr">
        <is>
          <t>買過速食群餐外送的受眾
來源：委刊單(Order) 第 448 列</t>
        </is>
      </c>
      <c r="N433" t="inlineStr">
        <is>
          <t>2026-05-18</t>
        </is>
      </c>
    </row>
    <row r="434">
      <c r="A434" t="inlineStr">
        <is>
          <t>ord_d0f9c7088f90</t>
        </is>
      </c>
      <c r="B434" t="inlineStr">
        <is>
          <t>Peggy</t>
        </is>
      </c>
      <c r="C434" t="inlineStr">
        <is>
          <t>廣告受眾包</t>
        </is>
      </c>
      <c r="D434" t="inlineStr">
        <is>
          <t>教育產業</t>
        </is>
      </c>
      <c r="E434" t="inlineStr">
        <is>
          <t>其他(品牌自操)</t>
        </is>
      </c>
      <c r="F434" t="inlineStr">
        <is>
          <t>臺灣吧</t>
        </is>
      </c>
      <c r="G434" t="inlineStr">
        <is>
          <t>2025-11-17</t>
        </is>
      </c>
      <c r="H434" t="n">
        <v>48600</v>
      </c>
      <c r="I434" t="inlineStr">
        <is>
          <t>Meta共享</t>
        </is>
      </c>
      <c r="J434" t="n">
        <v>0</v>
      </c>
      <c r="K434" t="inlineStr"/>
      <c r="L434" t="inlineStr">
        <is>
          <t>否</t>
        </is>
      </c>
      <c r="M434" t="inlineStr">
        <is>
          <t>主題受眾包*6組
來源：委刊單(Order) 第 449 列</t>
        </is>
      </c>
      <c r="N434" t="inlineStr">
        <is>
          <t>2026-05-18</t>
        </is>
      </c>
    </row>
    <row r="435">
      <c r="A435" t="inlineStr">
        <is>
          <t>ord_b33dd205c385</t>
        </is>
      </c>
      <c r="B435" t="inlineStr">
        <is>
          <t>Peggy</t>
        </is>
      </c>
      <c r="C435" t="inlineStr">
        <is>
          <t>廣告受眾包</t>
        </is>
      </c>
      <c r="D435" t="inlineStr">
        <is>
          <t>其他</t>
        </is>
      </c>
      <c r="E435" t="inlineStr">
        <is>
          <t>Appier</t>
        </is>
      </c>
      <c r="F435" t="inlineStr">
        <is>
          <t>眼科診所數據1118</t>
        </is>
      </c>
      <c r="G435" t="inlineStr">
        <is>
          <t>2025-11-19</t>
        </is>
      </c>
      <c r="H435" t="n">
        <v>20000</v>
      </c>
      <c r="I435" t="inlineStr">
        <is>
          <t>ADID</t>
        </is>
      </c>
      <c r="J435" t="n">
        <v>20000</v>
      </c>
      <c r="K435" t="inlineStr"/>
      <c r="L435" t="inlineStr">
        <is>
          <t>否</t>
        </is>
      </c>
      <c r="M435" t="inlineStr">
        <is>
          <t>一年消費發票：
近視、眼鏡、近視眼鏡、隱形眼鏡、隱形眼鏡藥水、近視蛙鏡、日拋、月拋、季拋(10,000筆)
一年消費發票 :
老花、老花眼鏡、老花隱形眼鏡、老花近視(10,000筆)
走期 : 11/19-12/18
以上兩包一包購買10,000筆
共計ID：20,000筆
來源：委刊單(Order) 第 450 列</t>
        </is>
      </c>
      <c r="N435" t="inlineStr">
        <is>
          <t>2026-05-18</t>
        </is>
      </c>
    </row>
    <row r="436">
      <c r="A436" t="inlineStr">
        <is>
          <t>ord_bce140ded3ff</t>
        </is>
      </c>
      <c r="B436" t="inlineStr">
        <is>
          <t>Kate</t>
        </is>
      </c>
      <c r="C436" t="inlineStr">
        <is>
          <t>專案</t>
        </is>
      </c>
      <c r="D436" t="inlineStr">
        <is>
          <t>零售產業</t>
        </is>
      </c>
      <c r="E436" t="inlineStr">
        <is>
          <t>未來流通研究所</t>
        </is>
      </c>
      <c r="F436" t="inlineStr">
        <is>
          <t>專案-
Q2通路消費品類金額佔比</t>
        </is>
      </c>
      <c r="G436" t="inlineStr">
        <is>
          <t>2025-08-28</t>
        </is>
      </c>
      <c r="H436" t="n">
        <v>654762</v>
      </c>
      <c r="I436" t="inlineStr">
        <is>
          <t>專案</t>
        </is>
      </c>
      <c r="J436" t="n">
        <v>0</v>
      </c>
      <c r="K436" t="inlineStr">
        <is>
          <t>2025-10-05</t>
        </is>
      </c>
      <c r="L436" t="inlineStr">
        <is>
          <t>否</t>
        </is>
      </c>
      <c r="M436" t="inlineStr">
        <is>
          <t>指定通路：Q2全聯、7-11、大潤發、寶雅、燦坤，共計5個實體通路消費品類金額、佔比訂金
來源：委刊單(Order) 第 451 列</t>
        </is>
      </c>
      <c r="N436" t="inlineStr">
        <is>
          <t>2026-05-18</t>
        </is>
      </c>
    </row>
    <row r="437">
      <c r="A437" t="inlineStr">
        <is>
          <t>ord_0d5a032cb127</t>
        </is>
      </c>
      <c r="B437" t="inlineStr">
        <is>
          <t>Kate</t>
        </is>
      </c>
      <c r="C437" t="inlineStr">
        <is>
          <t>廣告受眾包</t>
        </is>
      </c>
      <c r="D437" t="inlineStr">
        <is>
          <t>財務金融</t>
        </is>
      </c>
      <c r="E437" t="inlineStr">
        <is>
          <t>其他(品牌自操)</t>
        </is>
      </c>
      <c r="F437" t="inlineStr">
        <is>
          <t>新報科技(財經相關)</t>
        </is>
      </c>
      <c r="G437" t="inlineStr">
        <is>
          <t>2025-11-20</t>
        </is>
      </c>
      <c r="H437" t="n">
        <v>0</v>
      </c>
      <c r="I437" t="inlineStr">
        <is>
          <t>ADID</t>
        </is>
      </c>
      <c r="J437" t="n">
        <v>0</v>
      </c>
      <c r="K437" t="inlineStr"/>
      <c r="L437" t="inlineStr">
        <is>
          <t>否</t>
        </is>
      </c>
      <c r="M437" t="inlineStr">
        <is>
          <t>來源：委刊單(Order) 第 452 列</t>
        </is>
      </c>
      <c r="N437" t="inlineStr">
        <is>
          <t>2026-05-18</t>
        </is>
      </c>
    </row>
    <row r="438">
      <c r="A438" t="inlineStr">
        <is>
          <t>ord_7da204ac7087</t>
        </is>
      </c>
      <c r="B438" t="inlineStr">
        <is>
          <t>Peggy</t>
        </is>
      </c>
      <c r="C438" t="inlineStr">
        <is>
          <t>廣告受眾包</t>
        </is>
      </c>
      <c r="D438" t="inlineStr">
        <is>
          <t>其他</t>
        </is>
      </c>
      <c r="E438" t="inlineStr">
        <is>
          <t>Appier</t>
        </is>
      </c>
      <c r="F438" t="inlineStr">
        <is>
          <t>寬頻業者數據1121</t>
        </is>
      </c>
      <c r="G438" t="inlineStr">
        <is>
          <t>2025-11-24</t>
        </is>
      </c>
      <c r="H438" t="n">
        <v>20000</v>
      </c>
      <c r="I438" t="inlineStr">
        <is>
          <t>ADID</t>
        </is>
      </c>
      <c r="J438" t="n">
        <v>20000</v>
      </c>
      <c r="K438" t="inlineStr">
        <is>
          <t>2025-11-24</t>
        </is>
      </c>
      <c r="L438" t="inlineStr">
        <is>
          <t>否</t>
        </is>
      </c>
      <c r="M438" t="inlineStr">
        <is>
          <t>過去一年購買台灣有線電視系統及寬頻網路服務（凱擘、中嘉數位、台灣大寬頻、遠傳大寬頻、大大寬頻…）
走期 : 11/24-1/31
共計ID：20,000筆"
來源：委刊單(Order) 第 453 列</t>
        </is>
      </c>
      <c r="N438" t="inlineStr">
        <is>
          <t>2026-05-18</t>
        </is>
      </c>
    </row>
    <row r="439">
      <c r="A439" t="inlineStr">
        <is>
          <t>ord_59f52ef6dcb1</t>
        </is>
      </c>
      <c r="B439" t="inlineStr">
        <is>
          <t>Erin</t>
        </is>
      </c>
      <c r="C439" t="inlineStr">
        <is>
          <t>廣告受眾包</t>
        </is>
      </c>
      <c r="D439" t="inlineStr">
        <is>
          <t>快消品</t>
        </is>
      </c>
      <c r="E439" t="inlineStr">
        <is>
          <t>陽獅</t>
        </is>
      </c>
      <c r="F439" t="inlineStr">
        <is>
          <t>Pampers</t>
        </is>
      </c>
      <c r="G439" t="inlineStr">
        <is>
          <t>2025-11-24</t>
        </is>
      </c>
      <c r="H439" t="n">
        <v>5000</v>
      </c>
      <c r="I439" t="inlineStr">
        <is>
          <t>ADID</t>
        </is>
      </c>
      <c r="J439" t="n">
        <v>0</v>
      </c>
      <c r="K439" t="inlineStr">
        <is>
          <t>自查</t>
        </is>
      </c>
      <c r="L439" t="inlineStr">
        <is>
          <t>否</t>
        </is>
      </c>
      <c r="M439" t="inlineStr">
        <is>
          <t>來源：委刊單(Order) 第 454 列</t>
        </is>
      </c>
      <c r="N439" t="inlineStr">
        <is>
          <t>2026-05-18</t>
        </is>
      </c>
    </row>
    <row r="440">
      <c r="A440" t="inlineStr">
        <is>
          <t>ord_c24d5b4a5478</t>
        </is>
      </c>
      <c r="B440" t="inlineStr">
        <is>
          <t>Erin</t>
        </is>
      </c>
      <c r="C440" t="inlineStr">
        <is>
          <t>廣告受眾包</t>
        </is>
      </c>
      <c r="D440" t="inlineStr">
        <is>
          <t>科技產業</t>
        </is>
      </c>
      <c r="E440" t="inlineStr">
        <is>
          <t>陽獅</t>
        </is>
      </c>
      <c r="F440" t="inlineStr">
        <is>
          <t>Samsung</t>
        </is>
      </c>
      <c r="G440" t="inlineStr">
        <is>
          <t>2025-11-26</t>
        </is>
      </c>
      <c r="H440" t="n">
        <v>40000</v>
      </c>
      <c r="I440" t="inlineStr">
        <is>
          <t>ADID</t>
        </is>
      </c>
      <c r="J440" t="n">
        <v>0</v>
      </c>
      <c r="K440" t="inlineStr">
        <is>
          <t>自查</t>
        </is>
      </c>
      <c r="L440" t="inlineStr">
        <is>
          <t>否</t>
        </is>
      </c>
      <c r="M440" t="inlineStr">
        <is>
          <t>來源：委刊單(Order) 第 455 列</t>
        </is>
      </c>
      <c r="N440" t="inlineStr">
        <is>
          <t>2026-05-18</t>
        </is>
      </c>
    </row>
    <row r="441">
      <c r="A441" t="inlineStr">
        <is>
          <t>ord_ba6d5fd2e366</t>
        </is>
      </c>
      <c r="B441" t="inlineStr">
        <is>
          <t>Erin</t>
        </is>
      </c>
      <c r="C441" t="inlineStr">
        <is>
          <t>廣告受眾包</t>
        </is>
      </c>
      <c r="D441" t="inlineStr">
        <is>
          <t>家電產業</t>
        </is>
      </c>
      <c r="E441" t="inlineStr">
        <is>
          <t>陽獅</t>
        </is>
      </c>
      <c r="F441" t="inlineStr">
        <is>
          <t>Boche</t>
        </is>
      </c>
      <c r="G441" t="inlineStr">
        <is>
          <t>2025-11-13</t>
        </is>
      </c>
      <c r="H441" t="n">
        <v>60000</v>
      </c>
      <c r="I441" t="inlineStr">
        <is>
          <t>ADID</t>
        </is>
      </c>
      <c r="J441" t="n">
        <v>0</v>
      </c>
      <c r="K441" t="inlineStr">
        <is>
          <t>自查</t>
        </is>
      </c>
      <c r="L441" t="inlineStr">
        <is>
          <t>否</t>
        </is>
      </c>
      <c r="M441" t="inlineStr">
        <is>
          <t>來源：委刊單(Order) 第 456 列</t>
        </is>
      </c>
      <c r="N441" t="inlineStr">
        <is>
          <t>2026-05-18</t>
        </is>
      </c>
    </row>
    <row r="442">
      <c r="A442" t="inlineStr">
        <is>
          <t>ord_d612fdd61b88</t>
        </is>
      </c>
      <c r="B442" t="inlineStr">
        <is>
          <t>Kate</t>
        </is>
      </c>
      <c r="C442" t="inlineStr">
        <is>
          <t>廣告受眾包</t>
        </is>
      </c>
      <c r="D442" t="inlineStr">
        <is>
          <t>醫療保健</t>
        </is>
      </c>
      <c r="E442" t="inlineStr">
        <is>
          <t>其他(品牌自操)</t>
        </is>
      </c>
      <c r="F442" t="inlineStr">
        <is>
          <t>星醫美學</t>
        </is>
      </c>
      <c r="G442" t="inlineStr">
        <is>
          <t>2025-11-27</t>
        </is>
      </c>
      <c r="H442" t="n">
        <v>45000</v>
      </c>
      <c r="I442" t="inlineStr">
        <is>
          <t>受眾共享</t>
        </is>
      </c>
      <c r="J442" t="n">
        <v>0</v>
      </c>
      <c r="K442" t="inlineStr">
        <is>
          <t>2025-11-28</t>
        </is>
      </c>
      <c r="L442" t="inlineStr">
        <is>
          <t>否</t>
        </is>
      </c>
      <c r="M442" t="inlineStr">
        <is>
          <t>11/28申請開發票
來源：委刊單(Order) 第 457 列</t>
        </is>
      </c>
      <c r="N442" t="inlineStr">
        <is>
          <t>2026-05-18</t>
        </is>
      </c>
    </row>
    <row r="443">
      <c r="A443" t="inlineStr">
        <is>
          <t>ord_c373ec841932</t>
        </is>
      </c>
      <c r="B443" t="inlineStr">
        <is>
          <t>Kate</t>
        </is>
      </c>
      <c r="C443" t="inlineStr">
        <is>
          <t>廣告受眾包</t>
        </is>
      </c>
      <c r="D443" t="inlineStr">
        <is>
          <t>零售產業</t>
        </is>
      </c>
      <c r="E443" t="inlineStr">
        <is>
          <t>電通</t>
        </is>
      </c>
      <c r="F443" t="inlineStr">
        <is>
          <t>育嬰</t>
        </is>
      </c>
      <c r="G443" t="inlineStr">
        <is>
          <t>2025-11-27</t>
        </is>
      </c>
      <c r="H443" t="n">
        <v>9000</v>
      </c>
      <c r="I443" t="inlineStr">
        <is>
          <t>ADID</t>
        </is>
      </c>
      <c r="J443" t="n">
        <v>0</v>
      </c>
      <c r="K443" t="inlineStr">
        <is>
          <t>2025-11-28</t>
        </is>
      </c>
      <c r="L443" t="inlineStr">
        <is>
          <t>否</t>
        </is>
      </c>
      <c r="M443" t="inlineStr">
        <is>
          <t>來源：委刊單(Order) 第 458 列</t>
        </is>
      </c>
      <c r="N443" t="inlineStr">
        <is>
          <t>2026-05-18</t>
        </is>
      </c>
    </row>
    <row r="444">
      <c r="A444" t="inlineStr">
        <is>
          <t>ord_9f7e63c2d5c6</t>
        </is>
      </c>
      <c r="B444" t="inlineStr">
        <is>
          <t>Peggy</t>
        </is>
      </c>
      <c r="C444" t="inlineStr">
        <is>
          <t>廣告受眾包</t>
        </is>
      </c>
      <c r="D444" t="inlineStr">
        <is>
          <t>其他</t>
        </is>
      </c>
      <c r="E444" t="inlineStr">
        <is>
          <t>Appier</t>
        </is>
      </c>
      <c r="F444" t="inlineStr">
        <is>
          <t>家電商品發票數據1201</t>
        </is>
      </c>
      <c r="G444" t="inlineStr">
        <is>
          <t>2025-12-02</t>
        </is>
      </c>
      <c r="H444" t="n">
        <v>20000</v>
      </c>
      <c r="I444" t="inlineStr">
        <is>
          <t>ADID</t>
        </is>
      </c>
      <c r="J444" t="n">
        <v>20000</v>
      </c>
      <c r="K444" t="inlineStr">
        <is>
          <t>2025-12-02</t>
        </is>
      </c>
      <c r="L444" t="inlineStr">
        <is>
          <t>否</t>
        </is>
      </c>
      <c r="M444" t="inlineStr">
        <is>
          <t>1.一年內有消費商品: 流行音樂活動票券、KKBOX 訂閱、Spotify 訂閱
2. 一年內有消費商品: 中包含AI相關關鍵字、常見AI生成平台 --&gt; 若有其他建議可以幫忙提出，主要就是針對對AI 生成技術 有興趣的人
走期 : 12/8-12/21
共計ID：20,000筆
以上兩包各10,000筆
來源：委刊單(Order) 第 461 列</t>
        </is>
      </c>
      <c r="N444" t="inlineStr">
        <is>
          <t>2026-05-18</t>
        </is>
      </c>
    </row>
    <row r="445">
      <c r="A445" t="inlineStr">
        <is>
          <t>ord_7d2ee3ae8fd1</t>
        </is>
      </c>
      <c r="B445" t="inlineStr">
        <is>
          <t>Peggy</t>
        </is>
      </c>
      <c r="C445" t="inlineStr">
        <is>
          <t>廣告受眾包</t>
        </is>
      </c>
      <c r="D445" t="inlineStr">
        <is>
          <t>醫療保健</t>
        </is>
      </c>
      <c r="E445" t="inlineStr">
        <is>
          <t>DAC</t>
        </is>
      </c>
      <c r="F445" t="inlineStr">
        <is>
          <t>三得利_SAB</t>
        </is>
      </c>
      <c r="G445" t="inlineStr">
        <is>
          <t>2025-12-01</t>
        </is>
      </c>
      <c r="H445" t="n">
        <v>0</v>
      </c>
      <c r="I445" t="inlineStr">
        <is>
          <t>ADID
Hash Email</t>
        </is>
      </c>
      <c r="J445" t="n">
        <v>0</v>
      </c>
      <c r="K445" t="inlineStr">
        <is>
          <t>2025-12-02</t>
        </is>
      </c>
      <c r="L445" t="inlineStr">
        <is>
          <t>否</t>
        </is>
      </c>
      <c r="M445" t="inlineStr">
        <is>
          <t>近1年購買EX相關競品（2023/7-2025/7_簡化版2.0）
ID：53,655筆
來源：委刊單(Order) 第 462 列</t>
        </is>
      </c>
      <c r="N445" t="inlineStr">
        <is>
          <t>2026-05-18</t>
        </is>
      </c>
    </row>
    <row r="446">
      <c r="A446" t="inlineStr">
        <is>
          <t>ord_fd35478fd939</t>
        </is>
      </c>
      <c r="B446" t="inlineStr">
        <is>
          <t>Peggy</t>
        </is>
      </c>
      <c r="C446" t="inlineStr">
        <is>
          <t>廣告受眾包</t>
        </is>
      </c>
      <c r="D446" t="inlineStr">
        <is>
          <t>醫療保健</t>
        </is>
      </c>
      <c r="E446" t="inlineStr">
        <is>
          <t>DAC</t>
        </is>
      </c>
      <c r="F446" t="inlineStr">
        <is>
          <t>三得利_RJ</t>
        </is>
      </c>
      <c r="G446" t="inlineStr">
        <is>
          <t>2025-12-01</t>
        </is>
      </c>
      <c r="H446" t="n">
        <v>0</v>
      </c>
      <c r="I446" t="inlineStr">
        <is>
          <t>ADID
Hash Email</t>
        </is>
      </c>
      <c r="J446" t="n">
        <v>7500</v>
      </c>
      <c r="K446" t="inlineStr">
        <is>
          <t>2025-12-03</t>
        </is>
      </c>
      <c r="L446" t="inlineStr">
        <is>
          <t>否</t>
        </is>
      </c>
      <c r="M446" t="inlineStr">
        <is>
          <t>近1年購買EX相關競品（2023/7-2025/7_簡化版2.0）
ID：53,655筆
來源：委刊單(Order) 第 463 列</t>
        </is>
      </c>
      <c r="N446" t="inlineStr">
        <is>
          <t>2026-05-18</t>
        </is>
      </c>
    </row>
    <row r="447">
      <c r="A447" t="inlineStr">
        <is>
          <t>ord_4920cb71bd05</t>
        </is>
      </c>
      <c r="B447" t="inlineStr">
        <is>
          <t>Kate</t>
        </is>
      </c>
      <c r="C447" t="inlineStr">
        <is>
          <t>簡訊/推播</t>
        </is>
      </c>
      <c r="D447" t="inlineStr">
        <is>
          <t>快消品</t>
        </is>
      </c>
      <c r="E447" t="inlineStr">
        <is>
          <t>東方線上</t>
        </is>
      </c>
      <c r="F447" t="inlineStr">
        <is>
          <t>問券調查</t>
        </is>
      </c>
      <c r="G447" t="inlineStr">
        <is>
          <t>2025-12-03</t>
        </is>
      </c>
      <c r="H447" t="n">
        <v>5000</v>
      </c>
      <c r="I447" t="inlineStr">
        <is>
          <t>專案</t>
        </is>
      </c>
      <c r="J447" t="n">
        <v>0</v>
      </c>
      <c r="K447" t="inlineStr"/>
      <c r="L447" t="inlineStr">
        <is>
          <t>否</t>
        </is>
      </c>
      <c r="M447" t="inlineStr">
        <is>
          <t>超市調查12/8推播
來源：委刊單(Order) 第 464 列</t>
        </is>
      </c>
      <c r="N447" t="inlineStr">
        <is>
          <t>2026-05-18</t>
        </is>
      </c>
    </row>
    <row r="448">
      <c r="A448" t="inlineStr">
        <is>
          <t>ord_098492240259</t>
        </is>
      </c>
      <c r="B448" t="inlineStr">
        <is>
          <t>Kate</t>
        </is>
      </c>
      <c r="C448" t="inlineStr">
        <is>
          <t>廣告受眾包</t>
        </is>
      </c>
      <c r="D448" t="inlineStr">
        <is>
          <t>美妝產業</t>
        </is>
      </c>
      <c r="E448" t="inlineStr">
        <is>
          <t>電通</t>
        </is>
      </c>
      <c r="F448" t="inlineStr">
        <is>
          <t>電商</t>
        </is>
      </c>
      <c r="G448" t="inlineStr">
        <is>
          <t>2025-12-04</t>
        </is>
      </c>
      <c r="H448" t="n">
        <v>22000</v>
      </c>
      <c r="I448" t="inlineStr"/>
      <c r="J448" t="n">
        <v>0</v>
      </c>
      <c r="K448" t="inlineStr">
        <is>
          <t>2025-12-04</t>
        </is>
      </c>
      <c r="L448" t="inlineStr">
        <is>
          <t>否</t>
        </is>
      </c>
      <c r="M448" t="inlineStr">
        <is>
          <t>來源：委刊單(Order) 第 465 列</t>
        </is>
      </c>
      <c r="N448" t="inlineStr">
        <is>
          <t>2026-05-18</t>
        </is>
      </c>
    </row>
    <row r="449">
      <c r="A449" t="inlineStr">
        <is>
          <t>ord_8447a9efc7a2</t>
        </is>
      </c>
      <c r="B449" t="inlineStr">
        <is>
          <t>Kate</t>
        </is>
      </c>
      <c r="C449" t="inlineStr">
        <is>
          <t>廣告受眾包</t>
        </is>
      </c>
      <c r="D449" t="inlineStr">
        <is>
          <t>零售產業</t>
        </is>
      </c>
      <c r="E449" t="inlineStr">
        <is>
          <t>Cacafly</t>
        </is>
      </c>
      <c r="F449" t="inlineStr">
        <is>
          <t>吉品養生</t>
        </is>
      </c>
      <c r="G449" t="inlineStr">
        <is>
          <t>2025-12-05</t>
        </is>
      </c>
      <c r="H449" t="n">
        <v>100000</v>
      </c>
      <c r="I449" t="inlineStr">
        <is>
          <t>ADID</t>
        </is>
      </c>
      <c r="J449" t="n">
        <v>0</v>
      </c>
      <c r="K449" t="inlineStr"/>
      <c r="L449" t="inlineStr">
        <is>
          <t>否</t>
        </is>
      </c>
      <c r="M449" t="inlineStr">
        <is>
          <t>來源：委刊單(Order) 第 466 列</t>
        </is>
      </c>
      <c r="N449" t="inlineStr">
        <is>
          <t>2026-05-18</t>
        </is>
      </c>
    </row>
    <row r="450">
      <c r="A450" t="inlineStr">
        <is>
          <t>ord_c01f9ae42146</t>
        </is>
      </c>
      <c r="B450" t="inlineStr">
        <is>
          <t>Kate</t>
        </is>
      </c>
      <c r="C450" t="inlineStr">
        <is>
          <t>專案</t>
        </is>
      </c>
      <c r="D450" t="inlineStr">
        <is>
          <t>零售產業</t>
        </is>
      </c>
      <c r="E450" t="inlineStr">
        <is>
          <t>未來流通研究所</t>
        </is>
      </c>
      <c r="F450" t="inlineStr">
        <is>
          <t>專案-
Q3通路消費品類金額佔比</t>
        </is>
      </c>
      <c r="G450" t="inlineStr">
        <is>
          <t>2025-08-28</t>
        </is>
      </c>
      <c r="H450" t="n">
        <v>654762</v>
      </c>
      <c r="I450" t="inlineStr">
        <is>
          <t>專案</t>
        </is>
      </c>
      <c r="J450" t="n">
        <v>0</v>
      </c>
      <c r="K450" t="inlineStr">
        <is>
          <t>2025-11-05</t>
        </is>
      </c>
      <c r="L450" t="inlineStr">
        <is>
          <t>否</t>
        </is>
      </c>
      <c r="M450" t="inlineStr">
        <is>
          <t>指定通路：Q3全聯、7-11、大潤發、寶雅、燦坤，共計5個實體通路消費品類金額、佔比訂金
來源：委刊單(Order) 第 467 列</t>
        </is>
      </c>
      <c r="N450" t="inlineStr">
        <is>
          <t>2026-05-18</t>
        </is>
      </c>
    </row>
    <row r="451">
      <c r="A451" t="inlineStr">
        <is>
          <t>ord_d86c64b68610</t>
        </is>
      </c>
      <c r="B451" t="inlineStr">
        <is>
          <t>Erin</t>
        </is>
      </c>
      <c r="C451" t="inlineStr">
        <is>
          <t>APP廣告曝光</t>
        </is>
      </c>
      <c r="D451" t="inlineStr">
        <is>
          <t>汽車產業</t>
        </is>
      </c>
      <c r="E451" t="inlineStr">
        <is>
          <t>其他(品牌自操)</t>
        </is>
      </c>
      <c r="F451" t="inlineStr">
        <is>
          <t>格上租車</t>
        </is>
      </c>
      <c r="G451" t="inlineStr">
        <is>
          <t>2025-12-01</t>
        </is>
      </c>
      <c r="H451" t="n">
        <v>218000</v>
      </c>
      <c r="I451" t="inlineStr"/>
      <c r="J451" t="n">
        <v>0</v>
      </c>
      <c r="K451" t="inlineStr"/>
      <c r="L451" t="inlineStr">
        <is>
          <t>否</t>
        </is>
      </c>
      <c r="M451" t="inlineStr">
        <is>
          <t>百萬安慰獎
來源：委刊單(Order) 第 468 列</t>
        </is>
      </c>
      <c r="N451" t="inlineStr">
        <is>
          <t>2026-05-18</t>
        </is>
      </c>
    </row>
    <row r="452">
      <c r="A452" t="inlineStr">
        <is>
          <t>ord_baf2f3965b51</t>
        </is>
      </c>
      <c r="B452" t="inlineStr">
        <is>
          <t>Peggy</t>
        </is>
      </c>
      <c r="C452" t="inlineStr">
        <is>
          <t>廣告平台訂閱</t>
        </is>
      </c>
      <c r="D452" t="inlineStr">
        <is>
          <t>醫療保健</t>
        </is>
      </c>
      <c r="E452" t="inlineStr">
        <is>
          <t>DAC</t>
        </is>
      </c>
      <c r="F452" t="inlineStr">
        <is>
          <t>三得利</t>
        </is>
      </c>
      <c r="G452" t="inlineStr">
        <is>
          <t>2025-12-15</t>
        </is>
      </c>
      <c r="H452" t="n">
        <v>360000</v>
      </c>
      <c r="I452" t="inlineStr"/>
      <c r="J452" t="n">
        <v>0</v>
      </c>
      <c r="K452" t="inlineStr"/>
      <c r="L452" t="inlineStr">
        <is>
          <t>否</t>
        </is>
      </c>
      <c r="M452" t="inlineStr">
        <is>
          <t>3萬平台月訂閱
來源：委刊單(Order) 第 469 列</t>
        </is>
      </c>
      <c r="N452" t="inlineStr">
        <is>
          <t>2026-05-18</t>
        </is>
      </c>
    </row>
    <row r="453">
      <c r="A453" t="inlineStr">
        <is>
          <t>ord_c13955ac69df</t>
        </is>
      </c>
      <c r="B453" t="inlineStr">
        <is>
          <t>Kate</t>
        </is>
      </c>
      <c r="C453" t="inlineStr">
        <is>
          <t>單次報告</t>
        </is>
      </c>
      <c r="D453" t="inlineStr">
        <is>
          <t>零售產業</t>
        </is>
      </c>
      <c r="E453" t="inlineStr">
        <is>
          <t>未來流通研究所</t>
        </is>
      </c>
      <c r="F453" t="inlineStr">
        <is>
          <t>專案-
電商通路_蝦皮/酷澎_8/9月+美妝中分類</t>
        </is>
      </c>
      <c r="G453" t="inlineStr">
        <is>
          <t>2025-12-18</t>
        </is>
      </c>
      <c r="H453" t="n">
        <v>300000</v>
      </c>
      <c r="I453" t="inlineStr">
        <is>
          <t>專案</t>
        </is>
      </c>
      <c r="J453" t="n">
        <v>0</v>
      </c>
      <c r="K453" t="inlineStr">
        <is>
          <t>2026-01-09</t>
        </is>
      </c>
      <c r="L453" t="inlineStr">
        <is>
          <t>否</t>
        </is>
      </c>
      <c r="M453" t="inlineStr">
        <is>
          <t>來源：委刊單(Order) 第 470 列</t>
        </is>
      </c>
      <c r="N453" t="inlineStr">
        <is>
          <t>2026-05-18</t>
        </is>
      </c>
    </row>
    <row r="454">
      <c r="A454" t="inlineStr">
        <is>
          <t>ord_cc0ecc2e03d9</t>
        </is>
      </c>
      <c r="B454" t="inlineStr">
        <is>
          <t>Kate</t>
        </is>
      </c>
      <c r="C454" t="inlineStr">
        <is>
          <t>廣告受眾包</t>
        </is>
      </c>
      <c r="D454" t="inlineStr">
        <is>
          <t>電子商務</t>
        </is>
      </c>
      <c r="E454" t="inlineStr">
        <is>
          <t>電通</t>
        </is>
      </c>
      <c r="F454" t="inlineStr">
        <is>
          <t>電商閃靈刷手</t>
        </is>
      </c>
      <c r="G454" t="inlineStr">
        <is>
          <t>2025-12-18</t>
        </is>
      </c>
      <c r="H454" t="n">
        <v>80000</v>
      </c>
      <c r="I454" t="inlineStr"/>
      <c r="J454" t="n">
        <v>0</v>
      </c>
      <c r="K454" t="inlineStr"/>
      <c r="L454" t="inlineStr">
        <is>
          <t>否</t>
        </is>
      </c>
      <c r="M454" t="inlineStr">
        <is>
          <t>來源：委刊單(Order) 第 471 列</t>
        </is>
      </c>
      <c r="N454" t="inlineStr">
        <is>
          <t>2026-05-18</t>
        </is>
      </c>
    </row>
    <row r="455">
      <c r="A455" t="inlineStr">
        <is>
          <t>ord_0b9eb14d456a</t>
        </is>
      </c>
      <c r="B455" t="inlineStr">
        <is>
          <t>Kate</t>
        </is>
      </c>
      <c r="C455" t="inlineStr">
        <is>
          <t>廣告受眾包</t>
        </is>
      </c>
      <c r="D455" t="inlineStr">
        <is>
          <t>零售產業</t>
        </is>
      </c>
      <c r="E455" t="inlineStr">
        <is>
          <t>電通</t>
        </is>
      </c>
      <c r="F455" t="inlineStr">
        <is>
          <t>米漿</t>
        </is>
      </c>
      <c r="G455" t="inlineStr">
        <is>
          <t>2025-12-24</t>
        </is>
      </c>
      <c r="H455" t="n">
        <v>35000</v>
      </c>
      <c r="I455" t="inlineStr"/>
      <c r="J455" t="n">
        <v>0</v>
      </c>
      <c r="K455" t="inlineStr"/>
      <c r="L455" t="inlineStr">
        <is>
          <t>否</t>
        </is>
      </c>
      <c r="M455" t="inlineStr">
        <is>
          <t>來源：委刊單(Order) 第 472 列</t>
        </is>
      </c>
      <c r="N455" t="inlineStr">
        <is>
          <t>2026-05-18</t>
        </is>
      </c>
    </row>
    <row r="456">
      <c r="A456" t="inlineStr">
        <is>
          <t>ord_8528a41bad4d</t>
        </is>
      </c>
      <c r="B456" t="inlineStr">
        <is>
          <t>Erin</t>
        </is>
      </c>
      <c r="C456" t="inlineStr">
        <is>
          <t>單次報告</t>
        </is>
      </c>
      <c r="D456" t="inlineStr">
        <is>
          <t>零售產業</t>
        </is>
      </c>
      <c r="E456" t="inlineStr">
        <is>
          <t>益普索</t>
        </is>
      </c>
      <c r="F456" t="inlineStr">
        <is>
          <t>迪卡儂</t>
        </is>
      </c>
      <c r="G456" t="inlineStr">
        <is>
          <t>2025-12-23</t>
        </is>
      </c>
      <c r="H456" t="n">
        <v>270000</v>
      </c>
      <c r="I456" t="inlineStr"/>
      <c r="J456" t="n">
        <v>0</v>
      </c>
      <c r="K456" t="inlineStr"/>
      <c r="L456" t="inlineStr">
        <is>
          <t>否</t>
        </is>
      </c>
      <c r="M456" t="inlineStr">
        <is>
          <t>來源：委刊單(Order) 第 473 列</t>
        </is>
      </c>
      <c r="N456" t="inlineStr">
        <is>
          <t>2026-05-18</t>
        </is>
      </c>
    </row>
    <row r="457">
      <c r="A457" t="inlineStr">
        <is>
          <t>ord_e6972dddda78</t>
        </is>
      </c>
      <c r="B457" t="inlineStr">
        <is>
          <t>Peggy</t>
        </is>
      </c>
      <c r="C457" t="inlineStr">
        <is>
          <t>APP廣告曝光</t>
        </is>
      </c>
      <c r="D457" t="inlineStr">
        <is>
          <t>醫療保健</t>
        </is>
      </c>
      <c r="E457" t="inlineStr">
        <is>
          <t>其他(品牌自操)</t>
        </is>
      </c>
      <c r="F457" t="inlineStr">
        <is>
          <t>台灣綠金</t>
        </is>
      </c>
      <c r="G457" t="inlineStr">
        <is>
          <t>2025-09-22</t>
        </is>
      </c>
      <c r="H457" t="n">
        <v>57114</v>
      </c>
      <c r="I457" t="inlineStr"/>
      <c r="J457" t="n">
        <v>0</v>
      </c>
      <c r="K457" t="inlineStr"/>
      <c r="L457" t="inlineStr">
        <is>
          <t>否</t>
        </is>
      </c>
      <c r="M457" t="inlineStr">
        <is>
          <t>中獎放大專案結算
來源：委刊單(Order) 第 474 列</t>
        </is>
      </c>
      <c r="N457" t="inlineStr">
        <is>
          <t>2026-05-18</t>
        </is>
      </c>
    </row>
    <row r="458">
      <c r="A458" t="inlineStr">
        <is>
          <t>ord_663ed54eaff0</t>
        </is>
      </c>
      <c r="B458" t="inlineStr">
        <is>
          <t>Peggy</t>
        </is>
      </c>
      <c r="C458" t="inlineStr">
        <is>
          <t>廣告受眾包</t>
        </is>
      </c>
      <c r="D458" t="inlineStr">
        <is>
          <t>其他</t>
        </is>
      </c>
      <c r="E458" t="inlineStr">
        <is>
          <t>其他(品牌自操)</t>
        </is>
      </c>
      <c r="F458" t="inlineStr">
        <is>
          <t>防御工事（岡鍵實業股份有限公司）</t>
        </is>
      </c>
      <c r="G458" t="inlineStr">
        <is>
          <t>2025-12-15</t>
        </is>
      </c>
      <c r="H458" t="n">
        <v>40000</v>
      </c>
      <c r="I458" t="inlineStr"/>
      <c r="J458" t="n">
        <v>0</v>
      </c>
      <c r="K458" t="inlineStr">
        <is>
          <t>2026-01-07</t>
        </is>
      </c>
      <c r="L458" t="inlineStr">
        <is>
          <t>否</t>
        </is>
      </c>
      <c r="M458" t="inlineStr">
        <is>
          <t>主題受眾包*3組
來源：委刊單(Order) 第 475 列</t>
        </is>
      </c>
      <c r="N458" t="inlineStr">
        <is>
          <t>2026-05-18</t>
        </is>
      </c>
    </row>
    <row r="459">
      <c r="A459" t="inlineStr">
        <is>
          <t>ord_19d18800bc01</t>
        </is>
      </c>
      <c r="B459" t="inlineStr">
        <is>
          <t>Peggy</t>
        </is>
      </c>
      <c r="C459" t="inlineStr">
        <is>
          <t>廣告受眾包</t>
        </is>
      </c>
      <c r="D459" t="inlineStr">
        <is>
          <t>其他</t>
        </is>
      </c>
      <c r="E459" t="inlineStr">
        <is>
          <t>其他(品牌自操)</t>
        </is>
      </c>
      <c r="F459" t="inlineStr">
        <is>
          <t>黑蓮生技</t>
        </is>
      </c>
      <c r="G459" t="inlineStr">
        <is>
          <t>2025-12-23</t>
        </is>
      </c>
      <c r="H459" t="n">
        <v>54000</v>
      </c>
      <c r="I459" t="inlineStr"/>
      <c r="J459" t="n">
        <v>0</v>
      </c>
      <c r="K459" t="inlineStr"/>
      <c r="L459" t="inlineStr">
        <is>
          <t>否</t>
        </is>
      </c>
      <c r="M459" t="inlineStr">
        <is>
          <t>受眾包共享*2
買斷*1
來源：委刊單(Order) 第 476 列</t>
        </is>
      </c>
      <c r="N459" t="inlineStr">
        <is>
          <t>2026-05-18</t>
        </is>
      </c>
    </row>
    <row r="460">
      <c r="A460" t="inlineStr">
        <is>
          <t>ord_856419bc7bdb</t>
        </is>
      </c>
      <c r="B460" t="inlineStr">
        <is>
          <t>Peggy</t>
        </is>
      </c>
      <c r="C460" t="inlineStr">
        <is>
          <t>廣告受眾包</t>
        </is>
      </c>
      <c r="D460" t="inlineStr">
        <is>
          <t>其他</t>
        </is>
      </c>
      <c r="E460" t="inlineStr">
        <is>
          <t>Appier</t>
        </is>
      </c>
      <c r="F460" t="inlineStr">
        <is>
          <t>韓星周邊商品1229</t>
        </is>
      </c>
      <c r="G460" t="inlineStr">
        <is>
          <t>2025-12-30</t>
        </is>
      </c>
      <c r="H460" t="n">
        <v>20000</v>
      </c>
      <c r="I460" t="inlineStr">
        <is>
          <t>ADID</t>
        </is>
      </c>
      <c r="J460" t="n">
        <v>20000</v>
      </c>
      <c r="K460" t="inlineStr">
        <is>
          <t>2025-12-30</t>
        </is>
      </c>
      <c r="L460" t="inlineStr">
        <is>
          <t>否</t>
        </is>
      </c>
      <c r="M460" t="inlineStr">
        <is>
          <t>近一年內購買韓國藝人周邊商品用戶
來源：委刊單(Order) 第 477 列</t>
        </is>
      </c>
      <c r="N460" t="inlineStr">
        <is>
          <t>2026-05-18</t>
        </is>
      </c>
    </row>
    <row r="461">
      <c r="A461" t="inlineStr">
        <is>
          <t>ord_8ffe72d5be3e</t>
        </is>
      </c>
      <c r="B461" t="inlineStr">
        <is>
          <t>Erin</t>
        </is>
      </c>
      <c r="C461" t="inlineStr">
        <is>
          <t>廣告受眾包</t>
        </is>
      </c>
      <c r="D461" t="inlineStr">
        <is>
          <t>科技產業</t>
        </is>
      </c>
      <c r="E461" t="inlineStr">
        <is>
          <t>陽獅</t>
        </is>
      </c>
      <c r="F461" t="inlineStr">
        <is>
          <t>Samsung</t>
        </is>
      </c>
      <c r="G461" t="inlineStr">
        <is>
          <t>2025-12-04</t>
        </is>
      </c>
      <c r="H461" t="n">
        <v>40000</v>
      </c>
      <c r="I461" t="inlineStr">
        <is>
          <t>ADID</t>
        </is>
      </c>
      <c r="J461" t="n">
        <v>0</v>
      </c>
      <c r="K461" t="inlineStr"/>
      <c r="L461" t="inlineStr">
        <is>
          <t>否</t>
        </is>
      </c>
      <c r="M461" t="inlineStr">
        <is>
          <t>來源：委刊單(Order) 第 480 列</t>
        </is>
      </c>
      <c r="N461" t="inlineStr">
        <is>
          <t>2026-05-18</t>
        </is>
      </c>
    </row>
    <row r="462">
      <c r="A462" t="inlineStr">
        <is>
          <t>ord_8a7137b229db</t>
        </is>
      </c>
      <c r="B462" t="inlineStr">
        <is>
          <t>Erin</t>
        </is>
      </c>
      <c r="C462" t="inlineStr">
        <is>
          <t>廣告受眾包</t>
        </is>
      </c>
      <c r="D462" t="inlineStr">
        <is>
          <t>快消品</t>
        </is>
      </c>
      <c r="E462" t="inlineStr">
        <is>
          <t>陽獅</t>
        </is>
      </c>
      <c r="F462" t="inlineStr">
        <is>
          <t>Febreze</t>
        </is>
      </c>
      <c r="G462" t="inlineStr">
        <is>
          <t>2025-12-23</t>
        </is>
      </c>
      <c r="H462" t="n">
        <v>10000</v>
      </c>
      <c r="I462" t="inlineStr">
        <is>
          <t>ADID</t>
        </is>
      </c>
      <c r="J462" t="n">
        <v>0</v>
      </c>
      <c r="K462" t="inlineStr"/>
      <c r="L462" t="inlineStr">
        <is>
          <t>否</t>
        </is>
      </c>
      <c r="M462" t="inlineStr">
        <is>
          <t>來源：委刊單(Order) 第 481 列</t>
        </is>
      </c>
      <c r="N462" t="inlineStr">
        <is>
          <t>2026-05-18</t>
        </is>
      </c>
    </row>
    <row r="463">
      <c r="A463" t="inlineStr">
        <is>
          <t>ord_a6482ecce915</t>
        </is>
      </c>
      <c r="B463" t="inlineStr">
        <is>
          <t>Erin</t>
        </is>
      </c>
      <c r="C463" t="inlineStr">
        <is>
          <t>廣告受眾包</t>
        </is>
      </c>
      <c r="D463" t="inlineStr">
        <is>
          <t>快消品</t>
        </is>
      </c>
      <c r="E463" t="inlineStr">
        <is>
          <t>陽獅</t>
        </is>
      </c>
      <c r="F463" t="inlineStr">
        <is>
          <t>Ariel</t>
        </is>
      </c>
      <c r="G463" t="inlineStr">
        <is>
          <t>2025-12-23</t>
        </is>
      </c>
      <c r="H463" t="n">
        <v>5000</v>
      </c>
      <c r="I463" t="inlineStr">
        <is>
          <t>ADID</t>
        </is>
      </c>
      <c r="J463" t="n">
        <v>0</v>
      </c>
      <c r="K463" t="inlineStr"/>
      <c r="L463" t="inlineStr">
        <is>
          <t>否</t>
        </is>
      </c>
      <c r="M463" t="inlineStr">
        <is>
          <t>來源：委刊單(Order) 第 482 列</t>
        </is>
      </c>
      <c r="N463" t="inlineStr">
        <is>
          <t>2026-05-18</t>
        </is>
      </c>
    </row>
    <row r="464">
      <c r="A464" t="inlineStr">
        <is>
          <t>ord_4805a4a25cd6</t>
        </is>
      </c>
      <c r="B464" t="inlineStr">
        <is>
          <t>Erin</t>
        </is>
      </c>
      <c r="C464" t="inlineStr">
        <is>
          <t>廣告受眾包</t>
        </is>
      </c>
      <c r="D464" t="inlineStr">
        <is>
          <t>快消品</t>
        </is>
      </c>
      <c r="E464" t="inlineStr">
        <is>
          <t>陽獅</t>
        </is>
      </c>
      <c r="F464" t="inlineStr">
        <is>
          <t>OLAY</t>
        </is>
      </c>
      <c r="G464" t="inlineStr">
        <is>
          <t>2025-12-22</t>
        </is>
      </c>
      <c r="H464" t="n">
        <v>53000</v>
      </c>
      <c r="I464" t="inlineStr">
        <is>
          <t>Meta 離線API</t>
        </is>
      </c>
      <c r="J464" t="n">
        <v>0</v>
      </c>
      <c r="K464" t="inlineStr">
        <is>
          <t>2025-12-29</t>
        </is>
      </c>
      <c r="L464" t="inlineStr">
        <is>
          <t>否</t>
        </is>
      </c>
      <c r="M464" t="inlineStr">
        <is>
          <t>離線轉換第三四期(~4/28)+受眾包金額(會再請回)
來源：委刊單(Order) 第 483 列</t>
        </is>
      </c>
      <c r="N464" t="inlineStr">
        <is>
          <t>2026-05-18</t>
        </is>
      </c>
    </row>
    <row r="465">
      <c r="A465" t="inlineStr">
        <is>
          <t>ord_892d9dcb276e</t>
        </is>
      </c>
      <c r="B465" t="inlineStr">
        <is>
          <t>Kate</t>
        </is>
      </c>
      <c r="C465" t="inlineStr">
        <is>
          <t>廣告受眾包</t>
        </is>
      </c>
      <c r="D465" t="inlineStr">
        <is>
          <t>房地產</t>
        </is>
      </c>
      <c r="E465" t="inlineStr">
        <is>
          <t>好事威行銷</t>
        </is>
      </c>
      <c r="F465" t="inlineStr">
        <is>
          <t>房地產</t>
        </is>
      </c>
      <c r="G465" t="inlineStr">
        <is>
          <t>2025-12-31</t>
        </is>
      </c>
      <c r="H465" t="n">
        <v>55000</v>
      </c>
      <c r="I465" t="inlineStr"/>
      <c r="J465" t="n">
        <v>0</v>
      </c>
      <c r="K465" t="inlineStr">
        <is>
          <t>2026-01-07</t>
        </is>
      </c>
      <c r="L465" t="inlineStr">
        <is>
          <t>否</t>
        </is>
      </c>
      <c r="M465" t="inlineStr">
        <is>
          <t>來源：委刊單(Order) 第 484 列</t>
        </is>
      </c>
      <c r="N465" t="inlineStr">
        <is>
          <t>2026-05-18</t>
        </is>
      </c>
    </row>
    <row r="466">
      <c r="A466" t="inlineStr">
        <is>
          <t>ord_b1f3817171e2</t>
        </is>
      </c>
      <c r="B466" t="inlineStr">
        <is>
          <t>Kate</t>
        </is>
      </c>
      <c r="C466" t="inlineStr">
        <is>
          <t>廣告受眾包</t>
        </is>
      </c>
      <c r="D466" t="inlineStr">
        <is>
          <t>美妝產業</t>
        </is>
      </c>
      <c r="E466" t="inlineStr">
        <is>
          <t>電通</t>
        </is>
      </c>
      <c r="F466" t="inlineStr">
        <is>
          <t>抗老</t>
        </is>
      </c>
      <c r="G466" t="inlineStr">
        <is>
          <t>2026-01-07</t>
        </is>
      </c>
      <c r="H466" t="n">
        <v>53000</v>
      </c>
      <c r="I466" t="inlineStr"/>
      <c r="J466" t="n">
        <v>0</v>
      </c>
      <c r="K466" t="inlineStr">
        <is>
          <t>2026-01-07</t>
        </is>
      </c>
      <c r="L466" t="inlineStr">
        <is>
          <t>否</t>
        </is>
      </c>
      <c r="M466" t="inlineStr">
        <is>
          <t>來源：委刊單(Order) 第 485 列</t>
        </is>
      </c>
      <c r="N466" t="inlineStr">
        <is>
          <t>2026-05-18</t>
        </is>
      </c>
    </row>
    <row r="467">
      <c r="A467" t="inlineStr">
        <is>
          <t>ord_a2be470428c5</t>
        </is>
      </c>
      <c r="B467" t="inlineStr">
        <is>
          <t>Kate</t>
        </is>
      </c>
      <c r="C467" t="inlineStr">
        <is>
          <t>廣告受眾包</t>
        </is>
      </c>
      <c r="D467" t="inlineStr">
        <is>
          <t>美妝產業</t>
        </is>
      </c>
      <c r="E467" t="inlineStr">
        <is>
          <t>電通</t>
        </is>
      </c>
      <c r="F467" t="inlineStr">
        <is>
          <t>玫瑰霜</t>
        </is>
      </c>
      <c r="G467" t="inlineStr">
        <is>
          <t>2026-01-13</t>
        </is>
      </c>
      <c r="H467" t="n">
        <v>35000</v>
      </c>
      <c r="I467" t="inlineStr"/>
      <c r="J467" t="n">
        <v>0</v>
      </c>
      <c r="K467" t="inlineStr">
        <is>
          <t>2026-01-14</t>
        </is>
      </c>
      <c r="L467" t="inlineStr">
        <is>
          <t>否</t>
        </is>
      </c>
      <c r="M467" t="inlineStr">
        <is>
          <t>來源：委刊單(Order) 第 486 列</t>
        </is>
      </c>
      <c r="N467" t="inlineStr">
        <is>
          <t>2026-05-18</t>
        </is>
      </c>
    </row>
    <row r="468">
      <c r="A468" t="inlineStr">
        <is>
          <t>ord_4c003d9b805a</t>
        </is>
      </c>
      <c r="B468" t="inlineStr">
        <is>
          <t>Kate</t>
        </is>
      </c>
      <c r="C468" t="inlineStr">
        <is>
          <t>廣告受眾包</t>
        </is>
      </c>
      <c r="D468" t="inlineStr">
        <is>
          <t>美妝產業</t>
        </is>
      </c>
      <c r="E468" t="inlineStr">
        <is>
          <t>電通</t>
        </is>
      </c>
      <c r="F468" t="inlineStr">
        <is>
          <t>燕窩</t>
        </is>
      </c>
      <c r="G468" t="inlineStr">
        <is>
          <t>2026-01-14</t>
        </is>
      </c>
      <c r="H468" t="n">
        <v>20000</v>
      </c>
      <c r="I468" t="inlineStr"/>
      <c r="J468" t="n">
        <v>0</v>
      </c>
      <c r="K468" t="inlineStr">
        <is>
          <t>2026-01-15</t>
        </is>
      </c>
      <c r="L468" t="inlineStr">
        <is>
          <t>否</t>
        </is>
      </c>
      <c r="M468" t="inlineStr">
        <is>
          <t>來源：委刊單(Order) 第 487 列</t>
        </is>
      </c>
      <c r="N468" t="inlineStr">
        <is>
          <t>2026-05-18</t>
        </is>
      </c>
    </row>
    <row r="469">
      <c r="A469" t="inlineStr">
        <is>
          <t>ord_fa88e9a534f3</t>
        </is>
      </c>
      <c r="B469" t="inlineStr">
        <is>
          <t>Kate</t>
        </is>
      </c>
      <c r="C469" t="inlineStr">
        <is>
          <t>廣告受眾包</t>
        </is>
      </c>
      <c r="D469" t="inlineStr">
        <is>
          <t>美妝產業</t>
        </is>
      </c>
      <c r="E469" t="inlineStr">
        <is>
          <t>電通</t>
        </is>
      </c>
      <c r="F469" t="inlineStr">
        <is>
          <t>植村秀</t>
        </is>
      </c>
      <c r="G469" t="inlineStr">
        <is>
          <t>2026-01-15</t>
        </is>
      </c>
      <c r="H469" t="n">
        <v>38000</v>
      </c>
      <c r="I469" t="inlineStr"/>
      <c r="J469" t="n">
        <v>0</v>
      </c>
      <c r="K469" t="inlineStr">
        <is>
          <t>2026-01-19</t>
        </is>
      </c>
      <c r="L469" t="inlineStr">
        <is>
          <t>否</t>
        </is>
      </c>
      <c r="M469" t="inlineStr">
        <is>
          <t>來源：委刊單(Order) 第 488 列</t>
        </is>
      </c>
      <c r="N469" t="inlineStr">
        <is>
          <t>2026-05-18</t>
        </is>
      </c>
    </row>
    <row r="470">
      <c r="A470" t="inlineStr">
        <is>
          <t>ord_112b04f6d050</t>
        </is>
      </c>
      <c r="B470" t="inlineStr">
        <is>
          <t>Kate</t>
        </is>
      </c>
      <c r="C470" t="inlineStr">
        <is>
          <t>廣告受眾包</t>
        </is>
      </c>
      <c r="D470" t="inlineStr">
        <is>
          <t>美妝產業</t>
        </is>
      </c>
      <c r="E470" t="inlineStr">
        <is>
          <t>TenMax</t>
        </is>
      </c>
      <c r="F470" t="inlineStr">
        <is>
          <t>明曜百貨</t>
        </is>
      </c>
      <c r="G470" t="inlineStr">
        <is>
          <t>2026-01-15</t>
        </is>
      </c>
      <c r="H470" t="n">
        <v>4750</v>
      </c>
      <c r="I470" t="inlineStr"/>
      <c r="J470" t="n">
        <v>0</v>
      </c>
      <c r="K470" t="inlineStr">
        <is>
          <t>2026-01-16</t>
        </is>
      </c>
      <c r="L470" t="inlineStr">
        <is>
          <t>否</t>
        </is>
      </c>
      <c r="M470" t="inlineStr">
        <is>
          <t>來源：委刊單(Order) 第 489 列</t>
        </is>
      </c>
      <c r="N470" t="inlineStr">
        <is>
          <t>2026-05-18</t>
        </is>
      </c>
    </row>
    <row r="471">
      <c r="A471" t="inlineStr">
        <is>
          <t>ord_d8120cb352ae</t>
        </is>
      </c>
      <c r="B471" t="inlineStr">
        <is>
          <t>Erin</t>
        </is>
      </c>
      <c r="C471" t="inlineStr">
        <is>
          <t>專案</t>
        </is>
      </c>
      <c r="D471" t="inlineStr">
        <is>
          <t>美妝產業</t>
        </is>
      </c>
      <c r="E471" t="inlineStr">
        <is>
          <t>其他(品牌自操)</t>
        </is>
      </c>
      <c r="F471" t="inlineStr">
        <is>
          <t>全聯</t>
        </is>
      </c>
      <c r="G471" t="inlineStr">
        <is>
          <t>2026-01-13</t>
        </is>
      </c>
      <c r="H471" t="n">
        <v>0</v>
      </c>
      <c r="I471" t="inlineStr"/>
      <c r="J471" t="n">
        <v>0</v>
      </c>
      <c r="K471" t="inlineStr"/>
      <c r="L471" t="inlineStr">
        <is>
          <t>否</t>
        </is>
      </c>
      <c r="M471" t="inlineStr">
        <is>
          <t>來源：委刊單(Order) 第 490 列</t>
        </is>
      </c>
      <c r="N471" t="inlineStr">
        <is>
          <t>2026-05-18</t>
        </is>
      </c>
    </row>
    <row r="472">
      <c r="A472" t="inlineStr">
        <is>
          <t>ord_4c8671c86a1d</t>
        </is>
      </c>
      <c r="B472" t="inlineStr">
        <is>
          <t>Erin</t>
        </is>
      </c>
      <c r="C472" t="inlineStr">
        <is>
          <t>單次報告</t>
        </is>
      </c>
      <c r="D472" t="inlineStr">
        <is>
          <t>美妝產業</t>
        </is>
      </c>
      <c r="E472" t="inlineStr">
        <is>
          <t>其他(品牌自操)</t>
        </is>
      </c>
      <c r="F472" t="inlineStr">
        <is>
          <t>王品</t>
        </is>
      </c>
      <c r="G472" t="inlineStr">
        <is>
          <t>2026-01-13</t>
        </is>
      </c>
      <c r="H472" t="n">
        <v>150000</v>
      </c>
      <c r="I472" t="inlineStr"/>
      <c r="J472" t="n">
        <v>0</v>
      </c>
      <c r="K472" t="inlineStr"/>
      <c r="L472" t="inlineStr">
        <is>
          <t>否</t>
        </is>
      </c>
      <c r="M472" t="inlineStr">
        <is>
          <t>來源：委刊單(Order) 第 491 列</t>
        </is>
      </c>
      <c r="N472" t="inlineStr">
        <is>
          <t>2026-05-18</t>
        </is>
      </c>
    </row>
    <row r="473">
      <c r="A473" t="inlineStr">
        <is>
          <t>ord_0a47913d61a8</t>
        </is>
      </c>
      <c r="B473" t="inlineStr">
        <is>
          <t>Kate</t>
        </is>
      </c>
      <c r="C473" t="inlineStr">
        <is>
          <t>廣告受眾包</t>
        </is>
      </c>
      <c r="D473" t="inlineStr">
        <is>
          <t>美妝產業</t>
        </is>
      </c>
      <c r="E473" t="inlineStr">
        <is>
          <t>電通</t>
        </is>
      </c>
      <c r="F473" t="inlineStr">
        <is>
          <t>速食外送</t>
        </is>
      </c>
      <c r="G473" t="inlineStr">
        <is>
          <t>2026-01-20</t>
        </is>
      </c>
      <c r="H473" t="n">
        <v>17000</v>
      </c>
      <c r="I473" t="inlineStr"/>
      <c r="J473" t="n">
        <v>0</v>
      </c>
      <c r="K473" t="inlineStr">
        <is>
          <t>2026-01-20</t>
        </is>
      </c>
      <c r="L473" t="inlineStr">
        <is>
          <t>否</t>
        </is>
      </c>
      <c r="M473" t="inlineStr">
        <is>
          <t>來源：委刊單(Order) 第 492 列</t>
        </is>
      </c>
      <c r="N473" t="inlineStr">
        <is>
          <t>2026-05-18</t>
        </is>
      </c>
    </row>
    <row r="474">
      <c r="A474" t="inlineStr">
        <is>
          <t>ord_e4c0f10d380a</t>
        </is>
      </c>
      <c r="B474" t="inlineStr">
        <is>
          <t>Kate</t>
        </is>
      </c>
      <c r="C474" t="inlineStr">
        <is>
          <t>廣告受眾包</t>
        </is>
      </c>
      <c r="D474" t="inlineStr">
        <is>
          <t>美妝產業</t>
        </is>
      </c>
      <c r="E474" t="inlineStr">
        <is>
          <t>電通</t>
        </is>
      </c>
      <c r="F474" t="inlineStr">
        <is>
          <t>CICA</t>
        </is>
      </c>
      <c r="G474" t="inlineStr">
        <is>
          <t>2026-01-22</t>
        </is>
      </c>
      <c r="H474" t="n">
        <v>75000</v>
      </c>
      <c r="I474" t="inlineStr"/>
      <c r="J474" t="n">
        <v>0</v>
      </c>
      <c r="K474" t="inlineStr">
        <is>
          <t>2026-01-23</t>
        </is>
      </c>
      <c r="L474" t="inlineStr">
        <is>
          <t>否</t>
        </is>
      </c>
      <c r="M474" t="inlineStr">
        <is>
          <t>來源：委刊單(Order) 第 493 列</t>
        </is>
      </c>
      <c r="N474" t="inlineStr">
        <is>
          <t>2026-05-18</t>
        </is>
      </c>
    </row>
    <row r="475">
      <c r="A475" t="inlineStr">
        <is>
          <t>ord_6e36727921a7</t>
        </is>
      </c>
      <c r="B475" t="inlineStr">
        <is>
          <t>Kate</t>
        </is>
      </c>
      <c r="C475" t="inlineStr">
        <is>
          <t>廣告受眾包</t>
        </is>
      </c>
      <c r="D475" t="inlineStr">
        <is>
          <t>快消品</t>
        </is>
      </c>
      <c r="E475" t="inlineStr">
        <is>
          <t>Freakout</t>
        </is>
      </c>
      <c r="F475" t="inlineStr"/>
      <c r="G475" t="inlineStr">
        <is>
          <t>2026-01-23</t>
        </is>
      </c>
      <c r="H475" t="n">
        <v>15000</v>
      </c>
      <c r="I475" t="inlineStr"/>
      <c r="J475" t="n">
        <v>0</v>
      </c>
      <c r="K475" t="inlineStr"/>
      <c r="L475" t="inlineStr">
        <is>
          <t>否</t>
        </is>
      </c>
      <c r="M475" t="inlineStr">
        <is>
          <t>來源：委刊單(Order) 第 494 列</t>
        </is>
      </c>
      <c r="N475" t="inlineStr">
        <is>
          <t>2026-05-18</t>
        </is>
      </c>
    </row>
    <row r="476">
      <c r="A476" t="inlineStr">
        <is>
          <t>ord_b08d58678c52</t>
        </is>
      </c>
      <c r="B476" t="inlineStr">
        <is>
          <t>Kate</t>
        </is>
      </c>
      <c r="C476" t="inlineStr">
        <is>
          <t>廣告受眾包</t>
        </is>
      </c>
      <c r="D476" t="inlineStr">
        <is>
          <t>零售產業</t>
        </is>
      </c>
      <c r="E476" t="inlineStr">
        <is>
          <t>電通</t>
        </is>
      </c>
      <c r="F476" t="inlineStr">
        <is>
          <t>休閒零食</t>
        </is>
      </c>
      <c r="G476" t="inlineStr">
        <is>
          <t>2026-01-26</t>
        </is>
      </c>
      <c r="H476" t="n">
        <v>100000</v>
      </c>
      <c r="I476" t="inlineStr"/>
      <c r="J476" t="n">
        <v>0</v>
      </c>
      <c r="K476" t="inlineStr"/>
      <c r="L476" t="inlineStr">
        <is>
          <t>否</t>
        </is>
      </c>
      <c r="M476" t="inlineStr">
        <is>
          <t>來源：委刊單(Order) 第 495 列</t>
        </is>
      </c>
      <c r="N476" t="inlineStr">
        <is>
          <t>2026-05-18</t>
        </is>
      </c>
    </row>
    <row r="477">
      <c r="A477" t="inlineStr">
        <is>
          <t>ord_6663d5c618ee</t>
        </is>
      </c>
      <c r="B477" t="inlineStr">
        <is>
          <t>Erin</t>
        </is>
      </c>
      <c r="C477" t="inlineStr">
        <is>
          <t>廣告受眾包</t>
        </is>
      </c>
      <c r="D477" t="inlineStr">
        <is>
          <t>快消品</t>
        </is>
      </c>
      <c r="E477" t="inlineStr">
        <is>
          <t>陽獅</t>
        </is>
      </c>
      <c r="F477" t="inlineStr">
        <is>
          <t>P&amp;G - Lenor</t>
        </is>
      </c>
      <c r="G477" t="inlineStr">
        <is>
          <t>2026-01-19</t>
        </is>
      </c>
      <c r="H477" t="n">
        <v>15000</v>
      </c>
      <c r="I477" t="inlineStr"/>
      <c r="J477" t="n">
        <v>0</v>
      </c>
      <c r="K477" t="inlineStr"/>
      <c r="L477" t="inlineStr">
        <is>
          <t>否</t>
        </is>
      </c>
      <c r="M477" t="inlineStr">
        <is>
          <t>來源：委刊單(Order) 第 496 列</t>
        </is>
      </c>
      <c r="N477" t="inlineStr">
        <is>
          <t>2026-05-18</t>
        </is>
      </c>
    </row>
    <row r="478">
      <c r="A478" t="inlineStr">
        <is>
          <t>ord_44113cafa5d4</t>
        </is>
      </c>
      <c r="B478" t="inlineStr">
        <is>
          <t>Erin</t>
        </is>
      </c>
      <c r="C478" t="inlineStr">
        <is>
          <t>廣告受眾包</t>
        </is>
      </c>
      <c r="D478" t="inlineStr">
        <is>
          <t>快消品</t>
        </is>
      </c>
      <c r="E478" t="inlineStr">
        <is>
          <t>陽獅</t>
        </is>
      </c>
      <c r="F478" t="inlineStr">
        <is>
          <t>Mars - Petcare</t>
        </is>
      </c>
      <c r="G478" t="inlineStr">
        <is>
          <t>2026-01-14</t>
        </is>
      </c>
      <c r="H478" t="n">
        <v>70000</v>
      </c>
      <c r="I478" t="inlineStr"/>
      <c r="J478" t="n">
        <v>0</v>
      </c>
      <c r="K478" t="inlineStr"/>
      <c r="L478" t="inlineStr">
        <is>
          <t>否</t>
        </is>
      </c>
      <c r="M478" t="inlineStr">
        <is>
          <t>來源：委刊單(Order) 第 497 列</t>
        </is>
      </c>
      <c r="N478" t="inlineStr">
        <is>
          <t>2026-05-18</t>
        </is>
      </c>
    </row>
    <row r="479">
      <c r="A479" t="inlineStr">
        <is>
          <t>ord_88e00262f2ce</t>
        </is>
      </c>
      <c r="B479" t="inlineStr">
        <is>
          <t>Erin</t>
        </is>
      </c>
      <c r="C479" t="inlineStr">
        <is>
          <t>廣告受眾包</t>
        </is>
      </c>
      <c r="D479" t="inlineStr">
        <is>
          <t>快消品</t>
        </is>
      </c>
      <c r="E479" t="inlineStr">
        <is>
          <t>陽獅</t>
        </is>
      </c>
      <c r="F479" t="inlineStr">
        <is>
          <t>P&amp;G - Hair Recipe</t>
        </is>
      </c>
      <c r="G479" t="inlineStr">
        <is>
          <t>2026-01-16</t>
        </is>
      </c>
      <c r="H479" t="n">
        <v>45000</v>
      </c>
      <c r="I479" t="inlineStr"/>
      <c r="J479" t="n">
        <v>0</v>
      </c>
      <c r="K479" t="inlineStr"/>
      <c r="L479" t="inlineStr">
        <is>
          <t>否</t>
        </is>
      </c>
      <c r="M479" t="inlineStr">
        <is>
          <t>來源：委刊單(Order) 第 498 列</t>
        </is>
      </c>
      <c r="N479" t="inlineStr">
        <is>
          <t>2026-05-18</t>
        </is>
      </c>
    </row>
    <row r="480">
      <c r="A480" t="inlineStr">
        <is>
          <t>ord_20b9f6da0056</t>
        </is>
      </c>
      <c r="B480" t="inlineStr">
        <is>
          <t>Erin</t>
        </is>
      </c>
      <c r="C480" t="inlineStr">
        <is>
          <t>廣告受眾包</t>
        </is>
      </c>
      <c r="D480" t="inlineStr">
        <is>
          <t>快消品</t>
        </is>
      </c>
      <c r="E480" t="inlineStr">
        <is>
          <t>陽獅</t>
        </is>
      </c>
      <c r="F480" t="inlineStr">
        <is>
          <t>Haleon - Oral</t>
        </is>
      </c>
      <c r="G480" t="inlineStr">
        <is>
          <t>2026-01-27</t>
        </is>
      </c>
      <c r="H480" t="n">
        <v>60000</v>
      </c>
      <c r="I480" t="inlineStr"/>
      <c r="J480" t="n">
        <v>0</v>
      </c>
      <c r="K480" t="inlineStr"/>
      <c r="L480" t="inlineStr">
        <is>
          <t>否</t>
        </is>
      </c>
      <c r="M480" t="inlineStr">
        <is>
          <t>來源：委刊單(Order) 第 499 列</t>
        </is>
      </c>
      <c r="N480" t="inlineStr">
        <is>
          <t>2026-05-18</t>
        </is>
      </c>
    </row>
    <row r="481">
      <c r="A481" t="inlineStr">
        <is>
          <t>ord_7bf738d137dc</t>
        </is>
      </c>
      <c r="B481" t="inlineStr">
        <is>
          <t>Erin</t>
        </is>
      </c>
      <c r="C481" t="inlineStr">
        <is>
          <t>廣告受眾包</t>
        </is>
      </c>
      <c r="D481" t="inlineStr">
        <is>
          <t>快消品</t>
        </is>
      </c>
      <c r="E481" t="inlineStr">
        <is>
          <t>陽獅</t>
        </is>
      </c>
      <c r="F481" t="inlineStr">
        <is>
          <t>P&amp;G - Pampers</t>
        </is>
      </c>
      <c r="G481" t="inlineStr">
        <is>
          <t>2026-01-29</t>
        </is>
      </c>
      <c r="H481" t="n">
        <v>5000</v>
      </c>
      <c r="I481" t="inlineStr"/>
      <c r="J481" t="n">
        <v>0</v>
      </c>
      <c r="K481" t="inlineStr"/>
      <c r="L481" t="inlineStr">
        <is>
          <t>否</t>
        </is>
      </c>
      <c r="M481" t="inlineStr">
        <is>
          <t>來源：委刊單(Order) 第 500 列</t>
        </is>
      </c>
      <c r="N481" t="inlineStr">
        <is>
          <t>2026-05-18</t>
        </is>
      </c>
    </row>
    <row r="482">
      <c r="A482" t="inlineStr">
        <is>
          <t>ord_12ef0584c9de</t>
        </is>
      </c>
      <c r="B482" t="inlineStr">
        <is>
          <t>Peggy</t>
        </is>
      </c>
      <c r="C482" t="inlineStr">
        <is>
          <t>廣告受眾包</t>
        </is>
      </c>
      <c r="D482" t="inlineStr">
        <is>
          <t>醫療保健</t>
        </is>
      </c>
      <c r="E482" t="inlineStr">
        <is>
          <t>其他(品牌自操)</t>
        </is>
      </c>
      <c r="F482" t="inlineStr">
        <is>
          <t>台灣綠金</t>
        </is>
      </c>
      <c r="G482" t="inlineStr">
        <is>
          <t>2026-01-30</t>
        </is>
      </c>
      <c r="H482" t="n">
        <v>160000</v>
      </c>
      <c r="I482" t="inlineStr"/>
      <c r="J482" t="n">
        <v>0</v>
      </c>
      <c r="K482" t="inlineStr">
        <is>
          <t>2026-03-01</t>
        </is>
      </c>
      <c r="L482" t="inlineStr">
        <is>
          <t>否</t>
        </is>
      </c>
      <c r="M482" t="inlineStr">
        <is>
          <t>來源：委刊單(Order) 第 502 列</t>
        </is>
      </c>
      <c r="N482" t="inlineStr">
        <is>
          <t>2026-05-18</t>
        </is>
      </c>
    </row>
    <row r="483">
      <c r="A483" t="inlineStr">
        <is>
          <t>ord_22072d4fa760</t>
        </is>
      </c>
      <c r="B483" t="inlineStr">
        <is>
          <t>Peggy</t>
        </is>
      </c>
      <c r="C483" t="inlineStr">
        <is>
          <t>廣告受眾包</t>
        </is>
      </c>
      <c r="D483" t="inlineStr">
        <is>
          <t>教育產業</t>
        </is>
      </c>
      <c r="E483" t="inlineStr">
        <is>
          <t>其他(品牌自操)</t>
        </is>
      </c>
      <c r="F483" t="inlineStr">
        <is>
          <t>臺灣各種吧股份有限公司</t>
        </is>
      </c>
      <c r="G483" t="inlineStr">
        <is>
          <t>2026-02-02</t>
        </is>
      </c>
      <c r="H483" t="n">
        <v>85500</v>
      </c>
      <c r="I483" t="inlineStr"/>
      <c r="J483" t="n">
        <v>0</v>
      </c>
      <c r="K483" t="inlineStr">
        <is>
          <t>2026-03-01</t>
        </is>
      </c>
      <c r="L483" t="inlineStr">
        <is>
          <t>否</t>
        </is>
      </c>
      <c r="M483" t="inlineStr">
        <is>
          <t>來源：委刊單(Order) 第 503 列</t>
        </is>
      </c>
      <c r="N483" t="inlineStr">
        <is>
          <t>2026-05-18</t>
        </is>
      </c>
    </row>
    <row r="484">
      <c r="A484" t="inlineStr">
        <is>
          <t>ord_da0c29ef20e8</t>
        </is>
      </c>
      <c r="B484" t="inlineStr">
        <is>
          <t>Kate</t>
        </is>
      </c>
      <c r="C484" t="inlineStr">
        <is>
          <t>廣告受眾包</t>
        </is>
      </c>
      <c r="D484" t="inlineStr">
        <is>
          <t>電子商務</t>
        </is>
      </c>
      <c r="E484" t="inlineStr">
        <is>
          <t>電通</t>
        </is>
      </c>
      <c r="F484" t="inlineStr">
        <is>
          <t>電商</t>
        </is>
      </c>
      <c r="G484" t="inlineStr">
        <is>
          <t>2026-02-05</t>
        </is>
      </c>
      <c r="H484" t="n">
        <v>110000</v>
      </c>
      <c r="I484" t="inlineStr"/>
      <c r="J484" t="n">
        <v>0</v>
      </c>
      <c r="K484" t="inlineStr">
        <is>
          <t>2026-02-06</t>
        </is>
      </c>
      <c r="L484" t="inlineStr">
        <is>
          <t>否</t>
        </is>
      </c>
      <c r="M484" t="inlineStr">
        <is>
          <t>來源：委刊單(Order) 第 504 列</t>
        </is>
      </c>
      <c r="N484" t="inlineStr">
        <is>
          <t>2026-05-18</t>
        </is>
      </c>
    </row>
    <row r="485">
      <c r="A485" t="inlineStr">
        <is>
          <t>ord_5fa34d0f93d0</t>
        </is>
      </c>
      <c r="B485" t="inlineStr">
        <is>
          <t>Kate</t>
        </is>
      </c>
      <c r="C485" t="inlineStr">
        <is>
          <t>廣告受眾包</t>
        </is>
      </c>
      <c r="D485" t="inlineStr">
        <is>
          <t>美妝產業</t>
        </is>
      </c>
      <c r="E485" t="inlineStr">
        <is>
          <t>電通</t>
        </is>
      </c>
      <c r="F485" t="inlineStr">
        <is>
          <t>LRP-CICA</t>
        </is>
      </c>
      <c r="G485" t="inlineStr">
        <is>
          <t>2026-02-23</t>
        </is>
      </c>
      <c r="H485" t="n">
        <v>40000</v>
      </c>
      <c r="I485" t="inlineStr"/>
      <c r="J485" t="n">
        <v>0</v>
      </c>
      <c r="K485" t="inlineStr">
        <is>
          <t>2026-02-23</t>
        </is>
      </c>
      <c r="L485" t="inlineStr">
        <is>
          <t>否</t>
        </is>
      </c>
      <c r="M485" t="inlineStr">
        <is>
          <t>來源：委刊單(Order) 第 505 列</t>
        </is>
      </c>
      <c r="N485" t="inlineStr">
        <is>
          <t>2026-05-18</t>
        </is>
      </c>
    </row>
    <row r="486">
      <c r="A486" t="inlineStr">
        <is>
          <t>ord_182faf304ca2</t>
        </is>
      </c>
      <c r="B486" t="inlineStr">
        <is>
          <t>Kate</t>
        </is>
      </c>
      <c r="C486" t="inlineStr">
        <is>
          <t>廣告受眾包</t>
        </is>
      </c>
      <c r="D486" t="inlineStr">
        <is>
          <t>醫療保健</t>
        </is>
      </c>
      <c r="E486" t="inlineStr">
        <is>
          <t>其他(品牌自操)</t>
        </is>
      </c>
      <c r="F486" t="inlineStr">
        <is>
          <t>星醫美學</t>
        </is>
      </c>
      <c r="G486" t="inlineStr">
        <is>
          <t>2026-02-23</t>
        </is>
      </c>
      <c r="H486" t="n">
        <v>45000</v>
      </c>
      <c r="I486" t="inlineStr"/>
      <c r="J486" t="n">
        <v>0</v>
      </c>
      <c r="K486" t="inlineStr"/>
      <c r="L486" t="inlineStr">
        <is>
          <t>否</t>
        </is>
      </c>
      <c r="M486" t="inlineStr">
        <is>
          <t>來源：委刊單(Order) 第 506 列</t>
        </is>
      </c>
      <c r="N486" t="inlineStr">
        <is>
          <t>2026-05-18</t>
        </is>
      </c>
    </row>
    <row r="487">
      <c r="A487" t="inlineStr">
        <is>
          <t>ord_835911dacc79</t>
        </is>
      </c>
      <c r="B487" t="inlineStr">
        <is>
          <t>Kate</t>
        </is>
      </c>
      <c r="C487" t="inlineStr">
        <is>
          <t>廣告受眾包</t>
        </is>
      </c>
      <c r="D487" t="inlineStr">
        <is>
          <t>美妝產業</t>
        </is>
      </c>
      <c r="E487" t="inlineStr">
        <is>
          <t>電通</t>
        </is>
      </c>
      <c r="F487" t="inlineStr">
        <is>
          <t>D Program</t>
        </is>
      </c>
      <c r="G487" t="inlineStr">
        <is>
          <t>2026-02-24</t>
        </is>
      </c>
      <c r="H487" t="n">
        <v>40000</v>
      </c>
      <c r="I487" t="inlineStr"/>
      <c r="J487" t="n">
        <v>0</v>
      </c>
      <c r="K487" t="inlineStr">
        <is>
          <t>2026-02-25</t>
        </is>
      </c>
      <c r="L487" t="inlineStr">
        <is>
          <t>否</t>
        </is>
      </c>
      <c r="M487" t="inlineStr">
        <is>
          <t>來源：委刊單(Order) 第 507 列</t>
        </is>
      </c>
      <c r="N487" t="inlineStr">
        <is>
          <t>2026-05-18</t>
        </is>
      </c>
    </row>
    <row r="488">
      <c r="A488" t="inlineStr">
        <is>
          <t>ord_e6d99b21d37e</t>
        </is>
      </c>
      <c r="B488" t="inlineStr">
        <is>
          <t>Kate</t>
        </is>
      </c>
      <c r="C488" t="inlineStr">
        <is>
          <t>廣告受眾包</t>
        </is>
      </c>
      <c r="D488" t="inlineStr">
        <is>
          <t>零售產業</t>
        </is>
      </c>
      <c r="E488" t="inlineStr">
        <is>
          <t>電通</t>
        </is>
      </c>
      <c r="F488" t="inlineStr">
        <is>
          <t>鹹零食</t>
        </is>
      </c>
      <c r="G488" t="inlineStr">
        <is>
          <t>2026-02-24</t>
        </is>
      </c>
      <c r="H488" t="n">
        <v>75000</v>
      </c>
      <c r="I488" t="inlineStr"/>
      <c r="J488" t="n">
        <v>0</v>
      </c>
      <c r="K488" t="inlineStr">
        <is>
          <t>2026-02-25</t>
        </is>
      </c>
      <c r="L488" t="inlineStr">
        <is>
          <t>否</t>
        </is>
      </c>
      <c r="M488" t="inlineStr">
        <is>
          <t>來源：委刊單(Order) 第 508 列</t>
        </is>
      </c>
      <c r="N488" t="inlineStr">
        <is>
          <t>2026-05-18</t>
        </is>
      </c>
    </row>
    <row r="489">
      <c r="A489" t="inlineStr">
        <is>
          <t>ord_7733b6646464</t>
        </is>
      </c>
      <c r="B489" t="inlineStr">
        <is>
          <t>Kate</t>
        </is>
      </c>
      <c r="C489" t="inlineStr">
        <is>
          <t>廣告受眾包</t>
        </is>
      </c>
      <c r="D489" t="inlineStr">
        <is>
          <t>美妝產業</t>
        </is>
      </c>
      <c r="E489" t="inlineStr">
        <is>
          <t>電通</t>
        </is>
      </c>
      <c r="F489" t="inlineStr">
        <is>
          <t>Shiseido - ELIXIR</t>
        </is>
      </c>
      <c r="G489" t="inlineStr">
        <is>
          <t>2026-02-25</t>
        </is>
      </c>
      <c r="H489" t="n">
        <v>50000</v>
      </c>
      <c r="I489" t="inlineStr"/>
      <c r="J489" t="n">
        <v>0</v>
      </c>
      <c r="K489" t="inlineStr"/>
      <c r="L489" t="inlineStr">
        <is>
          <t>否</t>
        </is>
      </c>
      <c r="M489" t="inlineStr">
        <is>
          <t>來源：委刊單(Order) 第 509 列</t>
        </is>
      </c>
      <c r="N489" t="inlineStr">
        <is>
          <t>2026-05-18</t>
        </is>
      </c>
    </row>
    <row r="490">
      <c r="A490" t="inlineStr">
        <is>
          <t>ord_5dc33b1e31a1</t>
        </is>
      </c>
      <c r="B490" t="inlineStr">
        <is>
          <t>Erin</t>
        </is>
      </c>
      <c r="C490" t="inlineStr">
        <is>
          <t>廣告受眾包</t>
        </is>
      </c>
      <c r="D490" t="inlineStr">
        <is>
          <t>零售產業</t>
        </is>
      </c>
      <c r="E490" t="inlineStr">
        <is>
          <t>陽獅</t>
        </is>
      </c>
      <c r="F490" t="inlineStr">
        <is>
          <t>白蘭氏</t>
        </is>
      </c>
      <c r="G490" t="inlineStr">
        <is>
          <t>2026-02-23</t>
        </is>
      </c>
      <c r="H490" t="n">
        <v>40000</v>
      </c>
      <c r="I490" t="inlineStr"/>
      <c r="J490" t="n">
        <v>0</v>
      </c>
      <c r="K490" t="inlineStr"/>
      <c r="L490" t="inlineStr">
        <is>
          <t>否</t>
        </is>
      </c>
      <c r="M490" t="inlineStr">
        <is>
          <t>來源：委刊單(Order) 第 510 列</t>
        </is>
      </c>
      <c r="N490" t="inlineStr">
        <is>
          <t>2026-05-18</t>
        </is>
      </c>
    </row>
    <row r="491">
      <c r="A491" t="inlineStr">
        <is>
          <t>ord_31bc483fcf4a</t>
        </is>
      </c>
      <c r="B491" t="inlineStr">
        <is>
          <t>Erin</t>
        </is>
      </c>
      <c r="C491" t="inlineStr">
        <is>
          <t>廣告受眾包</t>
        </is>
      </c>
      <c r="D491" t="inlineStr">
        <is>
          <t>零售產業</t>
        </is>
      </c>
      <c r="E491" t="inlineStr">
        <is>
          <t>陽獅</t>
        </is>
      </c>
      <c r="F491" t="inlineStr">
        <is>
          <t>P&amp;G_
Oral-B</t>
        </is>
      </c>
      <c r="G491" t="inlineStr">
        <is>
          <t>2026-02-25</t>
        </is>
      </c>
      <c r="H491" t="n">
        <v>45000</v>
      </c>
      <c r="I491" t="inlineStr"/>
      <c r="J491" t="n">
        <v>0</v>
      </c>
      <c r="K491" t="inlineStr"/>
      <c r="L491" t="inlineStr">
        <is>
          <t>否</t>
        </is>
      </c>
      <c r="M491" t="inlineStr">
        <is>
          <t>來源：委刊單(Order) 第 511 列</t>
        </is>
      </c>
      <c r="N491" t="inlineStr">
        <is>
          <t>2026-05-18</t>
        </is>
      </c>
    </row>
    <row r="492">
      <c r="A492" t="inlineStr">
        <is>
          <t>ord_d0aba0eede3e</t>
        </is>
      </c>
      <c r="B492" t="inlineStr">
        <is>
          <t>Erin</t>
        </is>
      </c>
      <c r="C492" t="inlineStr">
        <is>
          <t>廣告受眾包</t>
        </is>
      </c>
      <c r="D492" t="inlineStr">
        <is>
          <t>零售產業</t>
        </is>
      </c>
      <c r="E492" t="inlineStr">
        <is>
          <t>陽獅</t>
        </is>
      </c>
      <c r="F492" t="inlineStr">
        <is>
          <t>石頭科技</t>
        </is>
      </c>
      <c r="G492" t="inlineStr">
        <is>
          <t>2026-02-23</t>
        </is>
      </c>
      <c r="H492" t="n">
        <v>40000</v>
      </c>
      <c r="I492" t="inlineStr"/>
      <c r="J492" t="n">
        <v>0</v>
      </c>
      <c r="K492" t="inlineStr"/>
      <c r="L492" t="inlineStr">
        <is>
          <t>否</t>
        </is>
      </c>
      <c r="M492" t="inlineStr">
        <is>
          <t>來源：委刊單(Order) 第 512 列</t>
        </is>
      </c>
      <c r="N492" t="inlineStr">
        <is>
          <t>2026-05-18</t>
        </is>
      </c>
    </row>
    <row r="493">
      <c r="A493" t="inlineStr">
        <is>
          <t>ord_d97cca05b21f</t>
        </is>
      </c>
      <c r="B493" t="inlineStr">
        <is>
          <t>Kate</t>
        </is>
      </c>
      <c r="C493" t="inlineStr">
        <is>
          <t>廣告受眾包</t>
        </is>
      </c>
      <c r="D493" t="inlineStr">
        <is>
          <t>零售產業</t>
        </is>
      </c>
      <c r="E493" t="inlineStr">
        <is>
          <t>電通</t>
        </is>
      </c>
      <c r="F493" t="inlineStr">
        <is>
          <t>SKC Age Serum</t>
        </is>
      </c>
      <c r="G493" t="inlineStr">
        <is>
          <t>2026-03-02</t>
        </is>
      </c>
      <c r="H493" t="n">
        <v>65000</v>
      </c>
      <c r="I493" t="inlineStr"/>
      <c r="J493" t="n">
        <v>0</v>
      </c>
      <c r="K493" t="inlineStr">
        <is>
          <t>2026-03-02</t>
        </is>
      </c>
      <c r="L493" t="inlineStr">
        <is>
          <t>否</t>
        </is>
      </c>
      <c r="M493" t="inlineStr">
        <is>
          <t>來源：委刊單(Order) 第 515 列</t>
        </is>
      </c>
      <c r="N493" t="inlineStr">
        <is>
          <t>2026-05-18</t>
        </is>
      </c>
    </row>
    <row r="494">
      <c r="A494" t="inlineStr">
        <is>
          <t>ord_768cf3e363b2</t>
        </is>
      </c>
      <c r="B494" t="inlineStr">
        <is>
          <t>Kate</t>
        </is>
      </c>
      <c r="C494" t="inlineStr">
        <is>
          <t>廣告受眾包</t>
        </is>
      </c>
      <c r="D494" t="inlineStr">
        <is>
          <t>零售產業</t>
        </is>
      </c>
      <c r="E494" t="inlineStr">
        <is>
          <t>電通</t>
        </is>
      </c>
      <c r="F494" t="inlineStr">
        <is>
          <t>冠昕生醫</t>
        </is>
      </c>
      <c r="G494" t="inlineStr">
        <is>
          <t>2026-03-02</t>
        </is>
      </c>
      <c r="H494" t="n">
        <v>35000</v>
      </c>
      <c r="I494" t="inlineStr"/>
      <c r="J494" t="n">
        <v>0</v>
      </c>
      <c r="K494" t="inlineStr">
        <is>
          <t>2026-03-03</t>
        </is>
      </c>
      <c r="L494" t="inlineStr">
        <is>
          <t>否</t>
        </is>
      </c>
      <c r="M494" t="inlineStr">
        <is>
          <t>來源：委刊單(Order) 第 516 列</t>
        </is>
      </c>
      <c r="N494" t="inlineStr">
        <is>
          <t>2026-05-18</t>
        </is>
      </c>
    </row>
    <row r="495">
      <c r="A495" t="inlineStr">
        <is>
          <t>ord_08357a0393e1</t>
        </is>
      </c>
      <c r="B495" t="inlineStr">
        <is>
          <t>Peggy</t>
        </is>
      </c>
      <c r="C495" t="inlineStr">
        <is>
          <t>單次發票數據</t>
        </is>
      </c>
      <c r="D495" t="inlineStr">
        <is>
          <t>零售產業</t>
        </is>
      </c>
      <c r="E495" t="inlineStr">
        <is>
          <t>其他(品牌自操)</t>
        </is>
      </c>
      <c r="F495" t="inlineStr">
        <is>
          <t>STAR LACE</t>
        </is>
      </c>
      <c r="G495" t="inlineStr">
        <is>
          <t>2026-03-10</t>
        </is>
      </c>
      <c r="H495" t="n">
        <v>10000</v>
      </c>
      <c r="I495" t="inlineStr"/>
      <c r="J495" t="n">
        <v>0</v>
      </c>
      <c r="K495" t="inlineStr"/>
      <c r="L495" t="inlineStr">
        <is>
          <t>否</t>
        </is>
      </c>
      <c r="M495" t="inlineStr">
        <is>
          <t>來源：委刊單(Order) 第 517 列</t>
        </is>
      </c>
      <c r="N495" t="inlineStr">
        <is>
          <t>2026-05-18</t>
        </is>
      </c>
    </row>
    <row r="496">
      <c r="A496" t="inlineStr">
        <is>
          <t>ord_55c2a0c601ec</t>
        </is>
      </c>
      <c r="B496" t="inlineStr">
        <is>
          <t>Kate</t>
        </is>
      </c>
      <c r="C496" t="inlineStr">
        <is>
          <t>廣告受眾包</t>
        </is>
      </c>
      <c r="D496" t="inlineStr">
        <is>
          <t>零售產業</t>
        </is>
      </c>
      <c r="E496" t="inlineStr">
        <is>
          <t>電通</t>
        </is>
      </c>
      <c r="F496" t="inlineStr">
        <is>
          <t>零食</t>
        </is>
      </c>
      <c r="G496" t="inlineStr">
        <is>
          <t>2026-03-10</t>
        </is>
      </c>
      <c r="H496" t="n">
        <v>46000</v>
      </c>
      <c r="I496" t="inlineStr"/>
      <c r="J496" t="n">
        <v>0</v>
      </c>
      <c r="K496" t="inlineStr">
        <is>
          <t>2026-03-11</t>
        </is>
      </c>
      <c r="L496" t="inlineStr">
        <is>
          <t>否</t>
        </is>
      </c>
      <c r="M496" t="inlineStr">
        <is>
          <t>來源：委刊單(Order) 第 518 列</t>
        </is>
      </c>
      <c r="N496" t="inlineStr">
        <is>
          <t>2026-05-18</t>
        </is>
      </c>
    </row>
    <row r="497">
      <c r="A497" t="inlineStr">
        <is>
          <t>ord_ae7b726c40f0</t>
        </is>
      </c>
      <c r="B497" t="inlineStr">
        <is>
          <t>Kate</t>
        </is>
      </c>
      <c r="C497" t="inlineStr">
        <is>
          <t>廣告受眾包</t>
        </is>
      </c>
      <c r="D497" t="inlineStr">
        <is>
          <t>零售產業</t>
        </is>
      </c>
      <c r="E497" t="inlineStr">
        <is>
          <t>電通</t>
        </is>
      </c>
      <c r="F497" t="inlineStr">
        <is>
          <t>營養補充品</t>
        </is>
      </c>
      <c r="G497" t="inlineStr">
        <is>
          <t>2026-03-13</t>
        </is>
      </c>
      <c r="H497" t="n">
        <v>16000</v>
      </c>
      <c r="I497" t="inlineStr"/>
      <c r="J497" t="n">
        <v>0</v>
      </c>
      <c r="K497" t="inlineStr">
        <is>
          <t>2026-03-13</t>
        </is>
      </c>
      <c r="L497" t="inlineStr">
        <is>
          <t>否</t>
        </is>
      </c>
      <c r="M497" t="inlineStr">
        <is>
          <t>來源：委刊單(Order) 第 519 列</t>
        </is>
      </c>
      <c r="N497" t="inlineStr">
        <is>
          <t>2026-05-18</t>
        </is>
      </c>
    </row>
    <row r="498">
      <c r="A498" t="inlineStr">
        <is>
          <t>ord_2f9d46da650f</t>
        </is>
      </c>
      <c r="B498" t="inlineStr">
        <is>
          <t>Kate</t>
        </is>
      </c>
      <c r="C498" t="inlineStr">
        <is>
          <t>廣告受眾包</t>
        </is>
      </c>
      <c r="D498" t="inlineStr">
        <is>
          <t>零售產業</t>
        </is>
      </c>
      <c r="E498" t="inlineStr">
        <is>
          <t>電通</t>
        </is>
      </c>
      <c r="F498" t="inlineStr">
        <is>
          <t>有線電視</t>
        </is>
      </c>
      <c r="G498" t="inlineStr">
        <is>
          <t>2026-03-18</t>
        </is>
      </c>
      <c r="H498" t="n">
        <v>25000</v>
      </c>
      <c r="I498" t="inlineStr"/>
      <c r="J498" t="n">
        <v>0</v>
      </c>
      <c r="K498" t="inlineStr">
        <is>
          <t>2026-03-18</t>
        </is>
      </c>
      <c r="L498" t="inlineStr">
        <is>
          <t>否</t>
        </is>
      </c>
      <c r="M498" t="inlineStr">
        <is>
          <t>來源：委刊單(Order) 第 520 列</t>
        </is>
      </c>
      <c r="N498" t="inlineStr">
        <is>
          <t>2026-05-18</t>
        </is>
      </c>
    </row>
    <row r="499">
      <c r="A499" t="inlineStr">
        <is>
          <t>ord_ee6463c4ad61</t>
        </is>
      </c>
      <c r="B499" t="inlineStr">
        <is>
          <t>Kate</t>
        </is>
      </c>
      <c r="C499" t="inlineStr">
        <is>
          <t>廣告受眾包</t>
        </is>
      </c>
      <c r="D499" t="inlineStr">
        <is>
          <t>零售產業</t>
        </is>
      </c>
      <c r="E499" t="inlineStr">
        <is>
          <t>電通</t>
        </is>
      </c>
      <c r="F499" t="inlineStr">
        <is>
          <t>零食(超人力霸王)</t>
        </is>
      </c>
      <c r="G499" t="inlineStr">
        <is>
          <t>2026-03-18</t>
        </is>
      </c>
      <c r="H499" t="n">
        <v>12000</v>
      </c>
      <c r="I499" t="inlineStr"/>
      <c r="J499" t="n">
        <v>0</v>
      </c>
      <c r="K499" t="inlineStr">
        <is>
          <t>2026-03-18</t>
        </is>
      </c>
      <c r="L499" t="inlineStr">
        <is>
          <t>否</t>
        </is>
      </c>
      <c r="M499" t="inlineStr">
        <is>
          <t>來源：委刊單(Order) 第 521 列</t>
        </is>
      </c>
      <c r="N499" t="inlineStr">
        <is>
          <t>2026-05-18</t>
        </is>
      </c>
    </row>
    <row r="500">
      <c r="A500" t="inlineStr">
        <is>
          <t>ord_fddd449afa75</t>
        </is>
      </c>
      <c r="B500" t="inlineStr">
        <is>
          <t>Peggy</t>
        </is>
      </c>
      <c r="C500" t="inlineStr">
        <is>
          <t>APP廣告曝光</t>
        </is>
      </c>
      <c r="D500" t="inlineStr">
        <is>
          <t>醫療保健</t>
        </is>
      </c>
      <c r="E500" t="inlineStr">
        <is>
          <t>其他(品牌自操)</t>
        </is>
      </c>
      <c r="F500" t="inlineStr">
        <is>
          <t>Blueseeds</t>
        </is>
      </c>
      <c r="G500" t="inlineStr">
        <is>
          <t>2026-03-17</t>
        </is>
      </c>
      <c r="H500" t="n">
        <v>0</v>
      </c>
      <c r="I500" t="inlineStr">
        <is>
          <t>中獎放大</t>
        </is>
      </c>
      <c r="J500" t="n">
        <v>0</v>
      </c>
      <c r="K500" t="inlineStr">
        <is>
          <t>2026-05-25</t>
        </is>
      </c>
      <c r="L500" t="inlineStr">
        <is>
          <t>否</t>
        </is>
      </c>
      <c r="M500" t="inlineStr">
        <is>
          <t>執行費$20,000+分潤10%
來源：委刊單(Order) 第 522 列</t>
        </is>
      </c>
      <c r="N500" t="inlineStr">
        <is>
          <t>2026-05-18</t>
        </is>
      </c>
    </row>
    <row r="501">
      <c r="A501" t="inlineStr">
        <is>
          <t>ord_f7e256f3565c</t>
        </is>
      </c>
      <c r="B501" t="inlineStr">
        <is>
          <t>Kate</t>
        </is>
      </c>
      <c r="C501" t="inlineStr">
        <is>
          <t>廣告受眾包</t>
        </is>
      </c>
      <c r="D501" t="inlineStr">
        <is>
          <t>零售產業</t>
        </is>
      </c>
      <c r="E501" t="inlineStr">
        <is>
          <t>電通</t>
        </is>
      </c>
      <c r="F501" t="inlineStr">
        <is>
          <t>樂適膚</t>
        </is>
      </c>
      <c r="G501" t="inlineStr">
        <is>
          <t>2026-03-20</t>
        </is>
      </c>
      <c r="H501" t="n">
        <v>75000</v>
      </c>
      <c r="I501" t="inlineStr"/>
      <c r="J501" t="n">
        <v>0</v>
      </c>
      <c r="K501" t="inlineStr">
        <is>
          <t>2026-03-23</t>
        </is>
      </c>
      <c r="L501" t="inlineStr">
        <is>
          <t>否</t>
        </is>
      </c>
      <c r="M501" t="inlineStr">
        <is>
          <t>來源：委刊單(Order) 第 523 列</t>
        </is>
      </c>
      <c r="N501" t="inlineStr">
        <is>
          <t>2026-05-18</t>
        </is>
      </c>
    </row>
    <row r="502">
      <c r="A502" t="inlineStr">
        <is>
          <t>ord_b0339f1f5465</t>
        </is>
      </c>
      <c r="B502" t="inlineStr">
        <is>
          <t>Stanley</t>
        </is>
      </c>
      <c r="C502" t="inlineStr">
        <is>
          <t>廣告受眾包</t>
        </is>
      </c>
      <c r="D502" t="inlineStr">
        <is>
          <t>科技產業</t>
        </is>
      </c>
      <c r="E502" t="inlineStr">
        <is>
          <t>其他(品牌自操)</t>
        </is>
      </c>
      <c r="F502" t="inlineStr">
        <is>
          <t>絕對科技</t>
        </is>
      </c>
      <c r="G502" t="inlineStr">
        <is>
          <t>2026-03-20</t>
        </is>
      </c>
      <c r="H502" t="n">
        <v>10500</v>
      </c>
      <c r="I502" t="inlineStr"/>
      <c r="J502" t="n">
        <v>0</v>
      </c>
      <c r="K502" t="inlineStr">
        <is>
          <t>2026-03-23</t>
        </is>
      </c>
      <c r="L502" t="inlineStr">
        <is>
          <t>否</t>
        </is>
      </c>
      <c r="M502" t="inlineStr">
        <is>
          <t>來源：委刊單(Order) 第 524 列</t>
        </is>
      </c>
      <c r="N502" t="inlineStr">
        <is>
          <t>2026-05-18</t>
        </is>
      </c>
    </row>
    <row r="503">
      <c r="A503" t="inlineStr">
        <is>
          <t>ord_c1aba70e7d1f</t>
        </is>
      </c>
      <c r="B503" t="inlineStr">
        <is>
          <t>Kate</t>
        </is>
      </c>
      <c r="C503" t="inlineStr">
        <is>
          <t>廣告受眾包</t>
        </is>
      </c>
      <c r="D503" t="inlineStr">
        <is>
          <t>零售產業</t>
        </is>
      </c>
      <c r="E503" t="inlineStr">
        <is>
          <t>電通</t>
        </is>
      </c>
      <c r="F503" t="inlineStr">
        <is>
          <t>百事零食</t>
        </is>
      </c>
      <c r="G503" t="inlineStr">
        <is>
          <t>2026-03-24</t>
        </is>
      </c>
      <c r="H503" t="n">
        <v>55000</v>
      </c>
      <c r="I503" t="inlineStr"/>
      <c r="J503" t="n">
        <v>0</v>
      </c>
      <c r="K503" t="inlineStr"/>
      <c r="L503" t="inlineStr">
        <is>
          <t>否</t>
        </is>
      </c>
      <c r="M503" t="inlineStr">
        <is>
          <t>來源：委刊單(Order) 第 525 列</t>
        </is>
      </c>
      <c r="N503" t="inlineStr">
        <is>
          <t>2026-05-18</t>
        </is>
      </c>
    </row>
    <row r="504">
      <c r="A504" t="inlineStr">
        <is>
          <t>ord_cb260679311c</t>
        </is>
      </c>
      <c r="B504" t="inlineStr">
        <is>
          <t>Kate</t>
        </is>
      </c>
      <c r="C504" t="inlineStr">
        <is>
          <t>單次發票數據</t>
        </is>
      </c>
      <c r="D504" t="inlineStr">
        <is>
          <t>零售產業</t>
        </is>
      </c>
      <c r="E504" t="inlineStr">
        <is>
          <t>麟數據</t>
        </is>
      </c>
      <c r="F504" t="inlineStr">
        <is>
          <t>成長椅</t>
        </is>
      </c>
      <c r="G504" t="inlineStr">
        <is>
          <t>2026-03-27</t>
        </is>
      </c>
      <c r="H504" t="n">
        <v>5000</v>
      </c>
      <c r="I504" t="inlineStr"/>
      <c r="J504" t="n">
        <v>0</v>
      </c>
      <c r="K504" t="inlineStr"/>
      <c r="L504" t="inlineStr">
        <is>
          <t>否</t>
        </is>
      </c>
      <c r="M504" t="inlineStr">
        <is>
          <t>來源：委刊單(Order) 第 526 列</t>
        </is>
      </c>
      <c r="N504" t="inlineStr">
        <is>
          <t>2026-05-18</t>
        </is>
      </c>
    </row>
    <row r="505">
      <c r="A505" t="inlineStr">
        <is>
          <t>ord_edc1749297d0</t>
        </is>
      </c>
      <c r="B505" t="inlineStr">
        <is>
          <t>Erin</t>
        </is>
      </c>
      <c r="C505" t="inlineStr">
        <is>
          <t>廣告受眾包</t>
        </is>
      </c>
      <c r="D505" t="inlineStr">
        <is>
          <t>零售產業</t>
        </is>
      </c>
      <c r="E505" t="inlineStr">
        <is>
          <t>陽獅</t>
        </is>
      </c>
      <c r="F505" t="inlineStr">
        <is>
          <t>佳格_桂格</t>
        </is>
      </c>
      <c r="G505" t="inlineStr">
        <is>
          <t>2026-03-26</t>
        </is>
      </c>
      <c r="H505" t="n">
        <v>30000</v>
      </c>
      <c r="I505" t="inlineStr"/>
      <c r="J505" t="n">
        <v>0</v>
      </c>
      <c r="K505" t="inlineStr"/>
      <c r="L505" t="inlineStr">
        <is>
          <t>否</t>
        </is>
      </c>
      <c r="M505" t="inlineStr">
        <is>
          <t>來源：委刊單(Order) 第 527 列</t>
        </is>
      </c>
      <c r="N505" t="inlineStr">
        <is>
          <t>2026-05-18</t>
        </is>
      </c>
    </row>
    <row r="506">
      <c r="A506" t="inlineStr">
        <is>
          <t>ord_5bf5a7959768</t>
        </is>
      </c>
      <c r="B506" t="inlineStr">
        <is>
          <t>Erin</t>
        </is>
      </c>
      <c r="C506" t="inlineStr">
        <is>
          <t>廣告受眾包</t>
        </is>
      </c>
      <c r="D506" t="inlineStr">
        <is>
          <t>零售產業</t>
        </is>
      </c>
      <c r="E506" t="inlineStr">
        <is>
          <t>陽獅</t>
        </is>
      </c>
      <c r="F506" t="inlineStr">
        <is>
          <t>DBS_GSMC</t>
        </is>
      </c>
      <c r="G506" t="inlineStr">
        <is>
          <t>2026-03-13</t>
        </is>
      </c>
      <c r="H506" t="n">
        <v>50000</v>
      </c>
      <c r="I506" t="inlineStr"/>
      <c r="J506" t="n">
        <v>0</v>
      </c>
      <c r="K506" t="inlineStr"/>
      <c r="L506" t="inlineStr">
        <is>
          <t>否</t>
        </is>
      </c>
      <c r="M506" t="inlineStr">
        <is>
          <t>來源：委刊單(Order) 第 528 列</t>
        </is>
      </c>
      <c r="N506" t="inlineStr">
        <is>
          <t>2026-05-18</t>
        </is>
      </c>
    </row>
    <row r="507">
      <c r="A507" t="inlineStr">
        <is>
          <t>ord_9e755da41baa</t>
        </is>
      </c>
      <c r="B507" t="inlineStr">
        <is>
          <t>Erin</t>
        </is>
      </c>
      <c r="C507" t="inlineStr">
        <is>
          <t>廣告受眾包</t>
        </is>
      </c>
      <c r="D507" t="inlineStr">
        <is>
          <t>零售產業</t>
        </is>
      </c>
      <c r="E507" t="inlineStr">
        <is>
          <t>陽獅</t>
        </is>
      </c>
      <c r="F507" t="inlineStr">
        <is>
          <t>Ralph Lauren</t>
        </is>
      </c>
      <c r="G507" t="inlineStr">
        <is>
          <t>2026-03-25</t>
        </is>
      </c>
      <c r="H507" t="n">
        <v>50000</v>
      </c>
      <c r="I507" t="inlineStr"/>
      <c r="J507" t="n">
        <v>0</v>
      </c>
      <c r="K507" t="inlineStr"/>
      <c r="L507" t="inlineStr">
        <is>
          <t>否</t>
        </is>
      </c>
      <c r="M507" t="inlineStr">
        <is>
          <t>來源：委刊單(Order) 第 529 列</t>
        </is>
      </c>
      <c r="N507" t="inlineStr">
        <is>
          <t>2026-05-18</t>
        </is>
      </c>
    </row>
    <row r="508">
      <c r="A508" t="inlineStr">
        <is>
          <t>ord_760556e5480b</t>
        </is>
      </c>
      <c r="B508" t="inlineStr">
        <is>
          <t>Erin</t>
        </is>
      </c>
      <c r="C508" t="inlineStr">
        <is>
          <t>廣告受眾包</t>
        </is>
      </c>
      <c r="D508" t="inlineStr">
        <is>
          <t>零售產業</t>
        </is>
      </c>
      <c r="E508" t="inlineStr">
        <is>
          <t>陽獅</t>
        </is>
      </c>
      <c r="F508" t="inlineStr">
        <is>
          <t>P_G_Ariel</t>
        </is>
      </c>
      <c r="G508" t="inlineStr">
        <is>
          <t>2026-03-24</t>
        </is>
      </c>
      <c r="H508" t="n">
        <v>5000</v>
      </c>
      <c r="I508" t="inlineStr"/>
      <c r="J508" t="n">
        <v>0</v>
      </c>
      <c r="K508" t="inlineStr"/>
      <c r="L508" t="inlineStr">
        <is>
          <t>否</t>
        </is>
      </c>
      <c r="M508" t="inlineStr">
        <is>
          <t>來源：委刊單(Order) 第 530 列</t>
        </is>
      </c>
      <c r="N508" t="inlineStr">
        <is>
          <t>2026-05-18</t>
        </is>
      </c>
    </row>
    <row r="509">
      <c r="A509" t="inlineStr">
        <is>
          <t>ord_5abff0f9f1ff</t>
        </is>
      </c>
      <c r="B509" t="inlineStr">
        <is>
          <t>Erin</t>
        </is>
      </c>
      <c r="C509" t="inlineStr">
        <is>
          <t>廣告受眾包</t>
        </is>
      </c>
      <c r="D509" t="inlineStr">
        <is>
          <t>零售產業</t>
        </is>
      </c>
      <c r="E509" t="inlineStr">
        <is>
          <t>陽獅</t>
        </is>
      </c>
      <c r="F509" t="inlineStr">
        <is>
          <t>POME+Costco_Pampers</t>
        </is>
      </c>
      <c r="G509" t="inlineStr">
        <is>
          <t>2026-03-30</t>
        </is>
      </c>
      <c r="H509" t="n">
        <v>10000</v>
      </c>
      <c r="I509" t="inlineStr"/>
      <c r="J509" t="n">
        <v>0</v>
      </c>
      <c r="K509" t="inlineStr"/>
      <c r="L509" t="inlineStr">
        <is>
          <t>否</t>
        </is>
      </c>
      <c r="M509" t="inlineStr">
        <is>
          <t>來源：委刊單(Order) 第 531 列</t>
        </is>
      </c>
      <c r="N509" t="inlineStr">
        <is>
          <t>2026-05-18</t>
        </is>
      </c>
    </row>
    <row r="510">
      <c r="A510" t="inlineStr">
        <is>
          <t>ord_703bc4c32814</t>
        </is>
      </c>
      <c r="B510" t="inlineStr">
        <is>
          <t>Erin</t>
        </is>
      </c>
      <c r="C510" t="inlineStr">
        <is>
          <t>廣告受眾包</t>
        </is>
      </c>
      <c r="D510" t="inlineStr">
        <is>
          <t>零售產業</t>
        </is>
      </c>
      <c r="E510" t="inlineStr">
        <is>
          <t>陽獅</t>
        </is>
      </c>
      <c r="F510" t="inlineStr">
        <is>
          <t>佳格食品_ 
福樂</t>
        </is>
      </c>
      <c r="G510" t="inlineStr">
        <is>
          <t>2026-03-26</t>
        </is>
      </c>
      <c r="H510" t="n">
        <v>40000</v>
      </c>
      <c r="I510" t="inlineStr"/>
      <c r="J510" t="n">
        <v>0</v>
      </c>
      <c r="K510" t="inlineStr"/>
      <c r="L510" t="inlineStr">
        <is>
          <t>否</t>
        </is>
      </c>
      <c r="M510" t="inlineStr">
        <is>
          <t>來源：委刊單(Order) 第 532 列</t>
        </is>
      </c>
      <c r="N510" t="inlineStr">
        <is>
          <t>2026-05-18</t>
        </is>
      </c>
    </row>
    <row r="511">
      <c r="A511" t="inlineStr">
        <is>
          <t>ord_c6d23d4e564b</t>
        </is>
      </c>
      <c r="B511" t="inlineStr">
        <is>
          <t>Peggy</t>
        </is>
      </c>
      <c r="C511" t="inlineStr">
        <is>
          <t>廣告平台訂閱</t>
        </is>
      </c>
      <c r="D511" t="inlineStr">
        <is>
          <t>其他</t>
        </is>
      </c>
      <c r="E511" t="inlineStr">
        <is>
          <t>Dcard</t>
        </is>
      </c>
      <c r="F511" t="inlineStr">
        <is>
          <t>Dcard</t>
        </is>
      </c>
      <c r="G511" t="inlineStr">
        <is>
          <t>2026-03-30</t>
        </is>
      </c>
      <c r="H511" t="n">
        <v>360000</v>
      </c>
      <c r="I511" t="inlineStr"/>
      <c r="J511" t="n">
        <v>0</v>
      </c>
      <c r="K511" t="inlineStr"/>
      <c r="L511" t="inlineStr">
        <is>
          <t>否</t>
        </is>
      </c>
      <c r="M511" t="inlineStr">
        <is>
          <t>3萬月訂閱
來源：委刊單(Order) 第 535 列</t>
        </is>
      </c>
      <c r="N511" t="inlineStr">
        <is>
          <t>2026-05-18</t>
        </is>
      </c>
    </row>
    <row r="512">
      <c r="A512" t="inlineStr">
        <is>
          <t>ord_1a96556c4cfd</t>
        </is>
      </c>
      <c r="B512" t="inlineStr">
        <is>
          <t>Kate</t>
        </is>
      </c>
      <c r="C512" t="inlineStr">
        <is>
          <t>廣告受眾包</t>
        </is>
      </c>
      <c r="D512" t="inlineStr">
        <is>
          <t>零售產業</t>
        </is>
      </c>
      <c r="E512" t="inlineStr">
        <is>
          <t>電通</t>
        </is>
      </c>
      <c r="F512" t="inlineStr">
        <is>
          <t>芝麻粉</t>
        </is>
      </c>
      <c r="G512" t="inlineStr">
        <is>
          <t>2026-04-02</t>
        </is>
      </c>
      <c r="H512" t="n">
        <v>40000</v>
      </c>
      <c r="I512" t="inlineStr"/>
      <c r="J512" t="n">
        <v>0</v>
      </c>
      <c r="K512" t="inlineStr">
        <is>
          <t>2026-04-02</t>
        </is>
      </c>
      <c r="L512" t="inlineStr">
        <is>
          <t>否</t>
        </is>
      </c>
      <c r="M512" t="inlineStr">
        <is>
          <t>來源：委刊單(Order) 第 536 列</t>
        </is>
      </c>
      <c r="N512" t="inlineStr">
        <is>
          <t>2026-05-18</t>
        </is>
      </c>
    </row>
    <row r="513">
      <c r="A513" t="inlineStr">
        <is>
          <t>ord_ca646ea56ba3</t>
        </is>
      </c>
      <c r="B513" t="inlineStr">
        <is>
          <t>Kate</t>
        </is>
      </c>
      <c r="C513" t="inlineStr">
        <is>
          <t>廣告受眾包</t>
        </is>
      </c>
      <c r="D513" t="inlineStr">
        <is>
          <t>零售產業</t>
        </is>
      </c>
      <c r="E513" t="inlineStr">
        <is>
          <t>電通</t>
        </is>
      </c>
      <c r="F513" t="inlineStr">
        <is>
          <t>麥當勞</t>
        </is>
      </c>
      <c r="G513" t="inlineStr">
        <is>
          <t>2026-04-07</t>
        </is>
      </c>
      <c r="H513" t="n">
        <v>20000</v>
      </c>
      <c r="I513" t="inlineStr"/>
      <c r="J513" t="n">
        <v>0</v>
      </c>
      <c r="K513" t="inlineStr">
        <is>
          <t>2026-04-07</t>
        </is>
      </c>
      <c r="L513" t="inlineStr">
        <is>
          <t>否</t>
        </is>
      </c>
      <c r="M513" t="inlineStr">
        <is>
          <t>來源：委刊單(Order) 第 537 列</t>
        </is>
      </c>
      <c r="N513" t="inlineStr">
        <is>
          <t>2026-05-18</t>
        </is>
      </c>
    </row>
    <row r="514">
      <c r="A514" t="inlineStr">
        <is>
          <t>ord_c397c40db3b4</t>
        </is>
      </c>
      <c r="B514" t="inlineStr">
        <is>
          <t>Erin</t>
        </is>
      </c>
      <c r="C514" t="inlineStr">
        <is>
          <t>廣告受眾包</t>
        </is>
      </c>
      <c r="D514" t="inlineStr">
        <is>
          <t>零售產業</t>
        </is>
      </c>
      <c r="E514" t="inlineStr">
        <is>
          <t>陽獅</t>
        </is>
      </c>
      <c r="F514" t="inlineStr">
        <is>
          <t>P&amp;G_Crest</t>
        </is>
      </c>
      <c r="G514" t="inlineStr">
        <is>
          <t>2026-04-07</t>
        </is>
      </c>
      <c r="H514" t="n">
        <v>10000</v>
      </c>
      <c r="I514" t="inlineStr"/>
      <c r="J514" t="n">
        <v>0</v>
      </c>
      <c r="K514" t="inlineStr"/>
      <c r="L514" t="inlineStr">
        <is>
          <t>否</t>
        </is>
      </c>
      <c r="M514" t="inlineStr">
        <is>
          <t>來源：委刊單(Order) 第 538 列</t>
        </is>
      </c>
      <c r="N514" t="inlineStr">
        <is>
          <t>2026-05-18</t>
        </is>
      </c>
    </row>
    <row r="515">
      <c r="A515" t="inlineStr">
        <is>
          <t>ord_27ec5ef2f398</t>
        </is>
      </c>
      <c r="B515" t="inlineStr">
        <is>
          <t>Erin</t>
        </is>
      </c>
      <c r="C515" t="inlineStr">
        <is>
          <t>廣告受眾包</t>
        </is>
      </c>
      <c r="D515" t="inlineStr">
        <is>
          <t>零售產業</t>
        </is>
      </c>
      <c r="E515" t="inlineStr">
        <is>
          <t>陽獅</t>
        </is>
      </c>
      <c r="F515" t="inlineStr">
        <is>
          <t>Mars_ 
Petcare</t>
        </is>
      </c>
      <c r="G515" t="inlineStr">
        <is>
          <t>2026-04-07</t>
        </is>
      </c>
      <c r="H515" t="n">
        <v>70000</v>
      </c>
      <c r="I515" t="inlineStr"/>
      <c r="J515" t="n">
        <v>0</v>
      </c>
      <c r="K515" t="inlineStr"/>
      <c r="L515" t="inlineStr">
        <is>
          <t>否</t>
        </is>
      </c>
      <c r="M515" t="inlineStr">
        <is>
          <t>來源：委刊單(Order) 第 539 列</t>
        </is>
      </c>
      <c r="N515" t="inlineStr">
        <is>
          <t>2026-05-18</t>
        </is>
      </c>
    </row>
    <row r="516">
      <c r="A516" t="inlineStr">
        <is>
          <t>ord_c962dc74dde9</t>
        </is>
      </c>
      <c r="B516" t="inlineStr">
        <is>
          <t>Kate</t>
        </is>
      </c>
      <c r="C516" t="inlineStr">
        <is>
          <t>廣告受眾包</t>
        </is>
      </c>
      <c r="D516" t="inlineStr">
        <is>
          <t>零售產業</t>
        </is>
      </c>
      <c r="E516" t="inlineStr">
        <is>
          <t>電通</t>
        </is>
      </c>
      <c r="F516" t="inlineStr">
        <is>
          <t>理膚寶水</t>
        </is>
      </c>
      <c r="G516" t="inlineStr">
        <is>
          <t>2026-04-17</t>
        </is>
      </c>
      <c r="H516" t="n">
        <v>65000</v>
      </c>
      <c r="I516" t="inlineStr"/>
      <c r="J516" t="n">
        <v>0</v>
      </c>
      <c r="K516" t="inlineStr">
        <is>
          <t>2026-04-20</t>
        </is>
      </c>
      <c r="L516" t="inlineStr">
        <is>
          <t>否</t>
        </is>
      </c>
      <c r="M516" t="inlineStr">
        <is>
          <t>來源：委刊單(Order) 第 540 列</t>
        </is>
      </c>
      <c r="N516" t="inlineStr">
        <is>
          <t>2026-05-18</t>
        </is>
      </c>
    </row>
    <row r="517">
      <c r="A517" t="inlineStr">
        <is>
          <t>ord_1bfa39435237</t>
        </is>
      </c>
      <c r="B517" t="inlineStr">
        <is>
          <t>Kate</t>
        </is>
      </c>
      <c r="C517" t="inlineStr">
        <is>
          <t>廣告受眾包</t>
        </is>
      </c>
      <c r="D517" t="inlineStr">
        <is>
          <t>零售產業</t>
        </is>
      </c>
      <c r="E517" t="inlineStr">
        <is>
          <t>電通</t>
        </is>
      </c>
      <c r="F517" t="inlineStr">
        <is>
          <t>奶粉</t>
        </is>
      </c>
      <c r="G517" t="inlineStr">
        <is>
          <t>2026-04-20</t>
        </is>
      </c>
      <c r="H517" t="n">
        <v>40000</v>
      </c>
      <c r="I517" t="inlineStr"/>
      <c r="J517" t="n">
        <v>0</v>
      </c>
      <c r="K517" t="inlineStr">
        <is>
          <t>2026-04-22</t>
        </is>
      </c>
      <c r="L517" t="inlineStr">
        <is>
          <t>否</t>
        </is>
      </c>
      <c r="M517" t="inlineStr">
        <is>
          <t>來源：委刊單(Order) 第 541 列</t>
        </is>
      </c>
      <c r="N517" t="inlineStr">
        <is>
          <t>2026-05-18</t>
        </is>
      </c>
    </row>
    <row r="518">
      <c r="A518" t="inlineStr">
        <is>
          <t>ord_46392a611ffa</t>
        </is>
      </c>
      <c r="B518" t="inlineStr">
        <is>
          <t>Kate</t>
        </is>
      </c>
      <c r="C518" t="inlineStr">
        <is>
          <t>廣告受眾包</t>
        </is>
      </c>
      <c r="D518" t="inlineStr">
        <is>
          <t>零售產業</t>
        </is>
      </c>
      <c r="E518" t="inlineStr">
        <is>
          <t>電通</t>
        </is>
      </c>
      <c r="F518" t="inlineStr">
        <is>
          <t>佳格養氣人蔘</t>
        </is>
      </c>
      <c r="G518" t="inlineStr">
        <is>
          <t>2026-04-22</t>
        </is>
      </c>
      <c r="H518" t="n">
        <v>74000</v>
      </c>
      <c r="I518" t="inlineStr"/>
      <c r="J518" t="n">
        <v>0</v>
      </c>
      <c r="K518" t="inlineStr">
        <is>
          <t>2026-04-23</t>
        </is>
      </c>
      <c r="L518" t="inlineStr">
        <is>
          <t>否</t>
        </is>
      </c>
      <c r="M518" t="inlineStr">
        <is>
          <t>來源：委刊單(Order) 第 542 列</t>
        </is>
      </c>
      <c r="N518" t="inlineStr">
        <is>
          <t>2026-05-18</t>
        </is>
      </c>
    </row>
    <row r="519">
      <c r="A519" t="inlineStr">
        <is>
          <t>ord_e8b733df8684</t>
        </is>
      </c>
      <c r="B519" t="inlineStr">
        <is>
          <t>Kate</t>
        </is>
      </c>
      <c r="C519" t="inlineStr">
        <is>
          <t>廣告受眾包</t>
        </is>
      </c>
      <c r="D519" t="inlineStr">
        <is>
          <t>零售產業</t>
        </is>
      </c>
      <c r="E519" t="inlineStr">
        <is>
          <t>電通</t>
        </is>
      </c>
      <c r="F519" t="inlineStr">
        <is>
          <t>理膚寶水 Mela B3</t>
        </is>
      </c>
      <c r="G519" t="inlineStr">
        <is>
          <t>2026-04-23</t>
        </is>
      </c>
      <c r="H519" t="n">
        <v>65000</v>
      </c>
      <c r="I519" t="inlineStr"/>
      <c r="J519" t="n">
        <v>0</v>
      </c>
      <c r="K519" t="inlineStr">
        <is>
          <t>2026-04-23</t>
        </is>
      </c>
      <c r="L519" t="inlineStr">
        <is>
          <t>否</t>
        </is>
      </c>
      <c r="M519" t="inlineStr">
        <is>
          <t>來源：委刊單(Order) 第 543 列</t>
        </is>
      </c>
      <c r="N519" t="inlineStr">
        <is>
          <t>2026-05-18</t>
        </is>
      </c>
    </row>
    <row r="520">
      <c r="A520" t="inlineStr">
        <is>
          <t>ord_ad4eaa858928</t>
        </is>
      </c>
      <c r="B520" t="inlineStr">
        <is>
          <t>Kate</t>
        </is>
      </c>
      <c r="C520" t="inlineStr">
        <is>
          <t>廣告受眾包</t>
        </is>
      </c>
      <c r="D520" t="inlineStr">
        <is>
          <t>零售產業</t>
        </is>
      </c>
      <c r="E520" t="inlineStr">
        <is>
          <t>電通</t>
        </is>
      </c>
      <c r="F520" t="inlineStr">
        <is>
          <t>MEMEBOX</t>
        </is>
      </c>
      <c r="G520" t="inlineStr">
        <is>
          <t>2026-04-24</t>
        </is>
      </c>
      <c r="H520" t="n">
        <v>20000</v>
      </c>
      <c r="I520" t="inlineStr"/>
      <c r="J520" t="n">
        <v>0</v>
      </c>
      <c r="K520" t="inlineStr">
        <is>
          <t>2026-04-24</t>
        </is>
      </c>
      <c r="L520" t="inlineStr">
        <is>
          <t>否</t>
        </is>
      </c>
      <c r="M520" t="inlineStr">
        <is>
          <t>來源：委刊單(Order) 第 544 列</t>
        </is>
      </c>
      <c r="N520" t="inlineStr">
        <is>
          <t>2026-05-18</t>
        </is>
      </c>
    </row>
    <row r="521">
      <c r="A521" t="inlineStr">
        <is>
          <t>ord_6b291dccdd70</t>
        </is>
      </c>
      <c r="B521" t="inlineStr">
        <is>
          <t>Kate</t>
        </is>
      </c>
      <c r="C521" t="inlineStr">
        <is>
          <t>廣告受眾包</t>
        </is>
      </c>
      <c r="D521" t="inlineStr">
        <is>
          <t>零售產業</t>
        </is>
      </c>
      <c r="E521" t="inlineStr">
        <is>
          <t>電通</t>
        </is>
      </c>
      <c r="F521" t="inlineStr">
        <is>
          <t>爆米花脆片</t>
        </is>
      </c>
      <c r="G521" t="inlineStr">
        <is>
          <t>2026-04-24</t>
        </is>
      </c>
      <c r="H521" t="n">
        <v>100000</v>
      </c>
      <c r="I521" t="inlineStr"/>
      <c r="J521" t="n">
        <v>0</v>
      </c>
      <c r="K521" t="inlineStr">
        <is>
          <t>2026-04-24</t>
        </is>
      </c>
      <c r="L521" t="inlineStr">
        <is>
          <t>否</t>
        </is>
      </c>
      <c r="M521" t="inlineStr">
        <is>
          <t>來源：委刊單(Order) 第 545 列</t>
        </is>
      </c>
      <c r="N521" t="inlineStr">
        <is>
          <t>2026-05-18</t>
        </is>
      </c>
    </row>
    <row r="522">
      <c r="A522" t="inlineStr">
        <is>
          <t>ord_034bd5961639</t>
        </is>
      </c>
      <c r="B522" t="inlineStr">
        <is>
          <t>Kate</t>
        </is>
      </c>
      <c r="C522" t="inlineStr">
        <is>
          <t>廣告受眾包</t>
        </is>
      </c>
      <c r="D522" t="inlineStr">
        <is>
          <t>零售產業</t>
        </is>
      </c>
      <c r="E522" t="inlineStr">
        <is>
          <t>電通</t>
        </is>
      </c>
      <c r="F522" t="inlineStr">
        <is>
          <t>膝蓋保健</t>
        </is>
      </c>
      <c r="G522" t="inlineStr">
        <is>
          <t>2026-04-30</t>
        </is>
      </c>
      <c r="H522" t="n">
        <v>40000</v>
      </c>
      <c r="I522" t="inlineStr"/>
      <c r="J522" t="n">
        <v>0</v>
      </c>
      <c r="K522" t="inlineStr">
        <is>
          <t>2026-04-30</t>
        </is>
      </c>
      <c r="L522" t="inlineStr">
        <is>
          <t>否</t>
        </is>
      </c>
      <c r="M522" t="inlineStr">
        <is>
          <t>來源：委刊單(Order) 第 546 列</t>
        </is>
      </c>
      <c r="N522" t="inlineStr">
        <is>
          <t>2026-05-18</t>
        </is>
      </c>
    </row>
    <row r="523">
      <c r="A523" t="inlineStr">
        <is>
          <t>ord_13ecf3264f6a</t>
        </is>
      </c>
      <c r="B523" t="inlineStr">
        <is>
          <t>Cobi</t>
        </is>
      </c>
      <c r="C523" t="inlineStr">
        <is>
          <t>單次發票數據</t>
        </is>
      </c>
      <c r="D523" t="inlineStr">
        <is>
          <t>快消品</t>
        </is>
      </c>
      <c r="E523" t="inlineStr">
        <is>
          <t>第一電商</t>
        </is>
      </c>
      <c r="F523" t="inlineStr">
        <is>
          <t>Coke</t>
        </is>
      </c>
      <c r="G523" t="inlineStr">
        <is>
          <t>2026-04-30</t>
        </is>
      </c>
      <c r="H523" t="n">
        <v>2000</v>
      </c>
      <c r="I523" t="inlineStr"/>
      <c r="J523" t="n">
        <v>0</v>
      </c>
      <c r="K523" t="inlineStr">
        <is>
          <t>2026-04-30</t>
        </is>
      </c>
      <c r="L523" t="inlineStr">
        <is>
          <t>否</t>
        </is>
      </c>
      <c r="M523" t="inlineStr">
        <is>
          <t>Coke+數據撈取
來源：委刊單(Order) 第 547 列</t>
        </is>
      </c>
      <c r="N523" t="inlineStr">
        <is>
          <t>2026-05-18</t>
        </is>
      </c>
    </row>
    <row r="524">
      <c r="A524" t="inlineStr">
        <is>
          <t>ord_db4a7d300302</t>
        </is>
      </c>
      <c r="B524" t="inlineStr">
        <is>
          <t>Erin</t>
        </is>
      </c>
      <c r="C524" t="inlineStr">
        <is>
          <t>廣告受眾包</t>
        </is>
      </c>
      <c r="D524" t="inlineStr">
        <is>
          <t>房地產</t>
        </is>
      </c>
      <c r="E524" t="inlineStr">
        <is>
          <t>橙澤國際</t>
        </is>
      </c>
      <c r="F524" t="inlineStr">
        <is>
          <t>建商</t>
        </is>
      </c>
      <c r="G524" t="inlineStr">
        <is>
          <t>2026-04-01</t>
        </is>
      </c>
      <c r="H524" t="n">
        <v>23000</v>
      </c>
      <c r="I524" t="inlineStr"/>
      <c r="J524" t="n">
        <v>0</v>
      </c>
      <c r="K524" t="inlineStr">
        <is>
          <t>2026-04-30</t>
        </is>
      </c>
      <c r="L524" t="inlineStr">
        <is>
          <t>否</t>
        </is>
      </c>
      <c r="M524" t="inlineStr">
        <is>
          <t>來源：委刊單(Order) 第 548 列</t>
        </is>
      </c>
      <c r="N524" t="inlineStr">
        <is>
          <t>2026-05-18</t>
        </is>
      </c>
    </row>
    <row r="525">
      <c r="A525" t="inlineStr">
        <is>
          <t>ord_b55a42abe8d3</t>
        </is>
      </c>
      <c r="B525" t="inlineStr">
        <is>
          <t>Erin</t>
        </is>
      </c>
      <c r="C525" t="inlineStr">
        <is>
          <t>廣告受眾包</t>
        </is>
      </c>
      <c r="D525" t="inlineStr">
        <is>
          <t>零售產業</t>
        </is>
      </c>
      <c r="E525" t="inlineStr">
        <is>
          <t>陽獅</t>
        </is>
      </c>
      <c r="F525" t="inlineStr">
        <is>
          <t>Samsung</t>
        </is>
      </c>
      <c r="G525" t="inlineStr">
        <is>
          <t>2026-04-01</t>
        </is>
      </c>
      <c r="H525" t="n">
        <v>30000</v>
      </c>
      <c r="I525" t="inlineStr"/>
      <c r="J525" t="n">
        <v>0</v>
      </c>
      <c r="K525" t="inlineStr"/>
      <c r="L525" t="inlineStr">
        <is>
          <t>否</t>
        </is>
      </c>
      <c r="M525" t="inlineStr">
        <is>
          <t>來源：委刊單(Order) 第 549 列</t>
        </is>
      </c>
      <c r="N525" t="inlineStr">
        <is>
          <t>2026-05-18</t>
        </is>
      </c>
    </row>
    <row r="526">
      <c r="A526" t="inlineStr">
        <is>
          <t>ord_61e9ac7b64f2</t>
        </is>
      </c>
      <c r="B526" t="inlineStr">
        <is>
          <t>Erin</t>
        </is>
      </c>
      <c r="C526" t="inlineStr">
        <is>
          <t>廣告受眾包</t>
        </is>
      </c>
      <c r="D526" t="inlineStr">
        <is>
          <t>零售產業</t>
        </is>
      </c>
      <c r="E526" t="inlineStr">
        <is>
          <t>陽獅</t>
        </is>
      </c>
      <c r="F526" t="inlineStr">
        <is>
          <t>Abbott</t>
        </is>
      </c>
      <c r="G526" t="inlineStr">
        <is>
          <t>2026-04-01</t>
        </is>
      </c>
      <c r="H526" t="n">
        <v>70000</v>
      </c>
      <c r="I526" t="inlineStr"/>
      <c r="J526" t="n">
        <v>0</v>
      </c>
      <c r="K526" t="inlineStr"/>
      <c r="L526" t="inlineStr">
        <is>
          <t>否</t>
        </is>
      </c>
      <c r="M526" t="inlineStr">
        <is>
          <t>來源：委刊單(Order) 第 550 列</t>
        </is>
      </c>
      <c r="N526" t="inlineStr">
        <is>
          <t>2026-05-18</t>
        </is>
      </c>
    </row>
    <row r="527">
      <c r="A527" t="inlineStr">
        <is>
          <t>ord_bbe9c67eeeb0</t>
        </is>
      </c>
      <c r="B527" t="inlineStr">
        <is>
          <t>Erin</t>
        </is>
      </c>
      <c r="C527" t="inlineStr">
        <is>
          <t>廣告受眾包</t>
        </is>
      </c>
      <c r="D527" t="inlineStr">
        <is>
          <t>零售產業</t>
        </is>
      </c>
      <c r="E527" t="inlineStr">
        <is>
          <t>陽獅</t>
        </is>
      </c>
      <c r="F527" t="inlineStr">
        <is>
          <t>P&amp;G_Olay</t>
        </is>
      </c>
      <c r="G527" t="inlineStr">
        <is>
          <t>2026-04-01</t>
        </is>
      </c>
      <c r="H527" t="n">
        <v>16500</v>
      </c>
      <c r="I527" t="inlineStr"/>
      <c r="J527" t="n">
        <v>0</v>
      </c>
      <c r="K527" t="inlineStr"/>
      <c r="L527" t="inlineStr">
        <is>
          <t>否</t>
        </is>
      </c>
      <c r="M527" t="inlineStr">
        <is>
          <t>來源：委刊單(Order) 第 551 列</t>
        </is>
      </c>
      <c r="N527" t="inlineStr">
        <is>
          <t>2026-05-18</t>
        </is>
      </c>
    </row>
    <row r="528">
      <c r="A528" t="inlineStr">
        <is>
          <t>ord_b682cd3b70c1</t>
        </is>
      </c>
      <c r="B528" t="inlineStr">
        <is>
          <t>Stanley</t>
        </is>
      </c>
      <c r="C528" t="inlineStr">
        <is>
          <t>廣告受眾包</t>
        </is>
      </c>
      <c r="D528" t="inlineStr">
        <is>
          <t>零售產業</t>
        </is>
      </c>
      <c r="E528" t="inlineStr">
        <is>
          <t>其他(品牌自操)</t>
        </is>
      </c>
      <c r="F528" t="inlineStr">
        <is>
          <t>絕對科技</t>
        </is>
      </c>
      <c r="G528" t="inlineStr">
        <is>
          <t>2026-04-07</t>
        </is>
      </c>
      <c r="H528" t="n">
        <v>10000</v>
      </c>
      <c r="I528" t="inlineStr"/>
      <c r="J528" t="n">
        <v>0</v>
      </c>
      <c r="K528" t="inlineStr"/>
      <c r="L528" t="inlineStr">
        <is>
          <t>否</t>
        </is>
      </c>
      <c r="M528" t="inlineStr">
        <is>
          <t>來源：委刊單(Order) 第 552 列</t>
        </is>
      </c>
      <c r="N528" t="inlineStr">
        <is>
          <t>2026-05-18</t>
        </is>
      </c>
    </row>
    <row r="529">
      <c r="A529" t="inlineStr">
        <is>
          <t>ord_613eaf811296</t>
        </is>
      </c>
      <c r="B529" t="inlineStr">
        <is>
          <t>Kate</t>
        </is>
      </c>
      <c r="C529" t="inlineStr">
        <is>
          <t>廣告受眾包</t>
        </is>
      </c>
      <c r="D529" t="inlineStr">
        <is>
          <t>零售產業</t>
        </is>
      </c>
      <c r="E529" t="inlineStr">
        <is>
          <t>電通</t>
        </is>
      </c>
      <c r="F529" t="inlineStr">
        <is>
          <t>零食-番茄口味、蘇打餅</t>
        </is>
      </c>
      <c r="G529" t="inlineStr">
        <is>
          <t>2026-05-04</t>
        </is>
      </c>
      <c r="H529" t="n">
        <v>92000</v>
      </c>
      <c r="I529" t="inlineStr"/>
      <c r="J529" t="n">
        <v>0</v>
      </c>
      <c r="K529" t="inlineStr"/>
      <c r="L529" t="inlineStr">
        <is>
          <t>否</t>
        </is>
      </c>
      <c r="M529" t="inlineStr">
        <is>
          <t>來源：委刊單(Order) 第 554 列</t>
        </is>
      </c>
      <c r="N529" t="inlineStr">
        <is>
          <t>2026-05-18</t>
        </is>
      </c>
    </row>
    <row r="530">
      <c r="A530" t="inlineStr">
        <is>
          <t>ord_98349ff7c6b4</t>
        </is>
      </c>
      <c r="B530" t="inlineStr">
        <is>
          <t>Kate</t>
        </is>
      </c>
      <c r="C530" t="inlineStr">
        <is>
          <t>廣告受眾包</t>
        </is>
      </c>
      <c r="D530" t="inlineStr">
        <is>
          <t>零售產業</t>
        </is>
      </c>
      <c r="E530" t="inlineStr">
        <is>
          <t>電通</t>
        </is>
      </c>
      <c r="F530" t="inlineStr">
        <is>
          <t>能量飲料</t>
        </is>
      </c>
      <c r="G530" t="inlineStr">
        <is>
          <t>2026-05-05</t>
        </is>
      </c>
      <c r="H530" t="n">
        <v>40000</v>
      </c>
      <c r="I530" t="inlineStr"/>
      <c r="J530" t="n">
        <v>0</v>
      </c>
      <c r="K530" t="inlineStr"/>
      <c r="L530" t="inlineStr">
        <is>
          <t>否</t>
        </is>
      </c>
      <c r="M530" t="inlineStr">
        <is>
          <t>來源：委刊單(Order) 第 555 列</t>
        </is>
      </c>
      <c r="N530" t="inlineStr">
        <is>
          <t>2026-05-18</t>
        </is>
      </c>
    </row>
  </sheetData>
  <autoFilter ref="A1:N5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5" customWidth="1" min="4" max="4"/>
    <col width="21" customWidth="1" min="5" max="5"/>
    <col width="25" customWidth="1" min="6" max="6"/>
    <col width="31" customWidth="1" min="7" max="7"/>
    <col width="18" customWidth="1" min="8" max="8"/>
    <col width="15" customWidth="1" min="9" max="9"/>
    <col width="12" customWidth="1" min="10" max="10"/>
    <col width="12" customWidth="1" min="11" max="11"/>
    <col width="14" customWidth="1" min="12" max="12"/>
    <col width="15" customWidth="1" min="13" max="13"/>
    <col width="15" customWidth="1" min="14" max="14"/>
    <col width="30" customWidth="1" min="15" max="15"/>
    <col width="40" customWidth="1" min="16" max="16"/>
    <col width="34" customWidth="1" min="17" max="17"/>
    <col width="12" customWidth="1" min="18" max="18"/>
    <col width="12" customWidth="1" min="19" max="19"/>
    <col width="40" customWidth="1" min="20" max="20"/>
    <col width="40" customWidth="1" min="21" max="21"/>
    <col width="12" customWidth="1" min="22" max="22"/>
  </cols>
  <sheetData>
    <row r="1">
      <c r="A1" s="1" t="inlineStr">
        <is>
          <t>id</t>
        </is>
      </c>
      <c r="B1" s="1" t="inlineStr">
        <is>
          <t>bd</t>
        </is>
      </c>
      <c r="C1" s="1" t="inlineStr">
        <is>
          <t>paidDate</t>
        </is>
      </c>
      <c r="D1" s="1" t="inlineStr">
        <is>
          <t>orderNo</t>
        </is>
      </c>
      <c r="E1" s="1" t="inlineStr">
        <is>
          <t>billingSchedule</t>
        </is>
      </c>
      <c r="F1" s="1" t="inlineStr">
        <is>
          <t>issueDate</t>
        </is>
      </c>
      <c r="G1" s="1" t="inlineStr">
        <is>
          <t>invoiceNo</t>
        </is>
      </c>
      <c r="H1" s="1" t="inlineStr">
        <is>
          <t>customerId</t>
        </is>
      </c>
      <c r="I1" s="1" t="inlineStr">
        <is>
          <t>company</t>
        </is>
      </c>
      <c r="J1" s="1" t="inlineStr">
        <is>
          <t>taxId</t>
        </is>
      </c>
      <c r="K1" s="1" t="inlineStr">
        <is>
          <t>subtotal</t>
        </is>
      </c>
      <c r="L1" s="1" t="inlineStr">
        <is>
          <t>totalWithTax</t>
        </is>
      </c>
      <c r="M1" s="1" t="inlineStr">
        <is>
          <t>product</t>
        </is>
      </c>
      <c r="N1" s="1" t="inlineStr">
        <is>
          <t>recipient</t>
        </is>
      </c>
      <c r="O1" s="1" t="inlineStr">
        <is>
          <t>recipientAddress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dueDate</t>
        </is>
      </c>
      <c r="S1" s="1" t="inlineStr">
        <is>
          <t>status</t>
        </is>
      </c>
      <c r="T1" s="1" t="inlineStr">
        <is>
          <t>notes</t>
        </is>
      </c>
      <c r="U1" s="1" t="inlineStr">
        <is>
          <t>description</t>
        </is>
      </c>
      <c r="V1" s="1" t="inlineStr">
        <is>
          <t>updatedAt</t>
        </is>
      </c>
    </row>
    <row r="2">
      <c r="A2" t="inlineStr">
        <is>
          <t>inv_24730e59fd24</t>
        </is>
      </c>
      <c r="B2" t="inlineStr"/>
      <c r="C2" t="inlineStr">
        <is>
          <t>2019-07-25</t>
        </is>
      </c>
      <c r="D2" t="inlineStr"/>
      <c r="E2" t="inlineStr"/>
      <c r="F2" t="inlineStr">
        <is>
          <t>2019-06-14</t>
        </is>
      </c>
      <c r="G2" t="inlineStr">
        <is>
          <t>PS05490142</t>
        </is>
      </c>
      <c r="H2" t="inlineStr">
        <is>
          <t>cus_bcad520b3837</t>
        </is>
      </c>
      <c r="I2" t="inlineStr">
        <is>
          <t>金尉股份有限公司</t>
        </is>
      </c>
      <c r="J2" t="inlineStr">
        <is>
          <t>52420159</t>
        </is>
      </c>
      <c r="K2" t="n">
        <v>7852</v>
      </c>
      <c r="L2" t="n">
        <v>8245</v>
      </c>
      <c r="M2" t="inlineStr">
        <is>
          <t>轉售商城商品(詳細如附件)</t>
        </is>
      </c>
      <c r="N2" t="inlineStr">
        <is>
          <t>施瓊茹</t>
        </is>
      </c>
      <c r="O2" t="inlineStr">
        <is>
          <t>新北市板橋區文化路一段268號20樓之2</t>
        </is>
      </c>
      <c r="P2" t="inlineStr"/>
      <c r="Q2" t="inlineStr">
        <is>
          <t>02-2258-5388#6710</t>
        </is>
      </c>
      <c r="R2" t="inlineStr"/>
      <c r="S2" t="inlineStr">
        <is>
          <t>已收款</t>
        </is>
      </c>
      <c r="T2" t="inlineStr">
        <is>
          <t>來源：訂閱型發票及收款紀錄 第 3 列</t>
        </is>
      </c>
      <c r="U2" t="inlineStr"/>
      <c r="V2" t="inlineStr">
        <is>
          <t>2026-05-18</t>
        </is>
      </c>
    </row>
    <row r="3">
      <c r="A3" t="inlineStr">
        <is>
          <t>inv_e4a38a5ff9ba</t>
        </is>
      </c>
      <c r="B3" t="inlineStr"/>
      <c r="C3" t="inlineStr">
        <is>
          <t>2019-07-25</t>
        </is>
      </c>
      <c r="D3" t="inlineStr"/>
      <c r="E3" t="inlineStr"/>
      <c r="F3" t="inlineStr">
        <is>
          <t>2019-06-14</t>
        </is>
      </c>
      <c r="G3" t="inlineStr">
        <is>
          <t>PS05490143</t>
        </is>
      </c>
      <c r="H3" t="inlineStr">
        <is>
          <t>cus_bcad520b3837</t>
        </is>
      </c>
      <c r="I3" t="inlineStr">
        <is>
          <t>金尉股份有限公司</t>
        </is>
      </c>
      <c r="J3" t="inlineStr">
        <is>
          <t>52420159</t>
        </is>
      </c>
      <c r="K3" t="n">
        <v>3049</v>
      </c>
      <c r="L3" t="n">
        <v>3201</v>
      </c>
      <c r="M3" t="inlineStr">
        <is>
          <t>轉售商城商品(詳細如附件)</t>
        </is>
      </c>
      <c r="N3" t="inlineStr">
        <is>
          <t>施瓊茹</t>
        </is>
      </c>
      <c r="O3" t="inlineStr">
        <is>
          <t>新北市板橋區文化路一段268號20樓之2</t>
        </is>
      </c>
      <c r="P3" t="inlineStr"/>
      <c r="Q3" t="inlineStr">
        <is>
          <t>02-2258-5388#6710</t>
        </is>
      </c>
      <c r="R3" t="inlineStr"/>
      <c r="S3" t="inlineStr">
        <is>
          <t>已收款</t>
        </is>
      </c>
      <c r="T3" t="inlineStr">
        <is>
          <t>來源：訂閱型發票及收款紀錄 第 4 列</t>
        </is>
      </c>
      <c r="U3" t="inlineStr"/>
      <c r="V3" t="inlineStr">
        <is>
          <t>2026-05-18</t>
        </is>
      </c>
    </row>
    <row r="4">
      <c r="A4" t="inlineStr">
        <is>
          <t>inv_c3a474742f3b</t>
        </is>
      </c>
      <c r="B4" t="inlineStr"/>
      <c r="C4" t="inlineStr">
        <is>
          <t>2019-08-26</t>
        </is>
      </c>
      <c r="D4" t="inlineStr"/>
      <c r="E4" t="inlineStr"/>
      <c r="F4" t="inlineStr">
        <is>
          <t>2019-07-12</t>
        </is>
      </c>
      <c r="G4" t="inlineStr">
        <is>
          <t>RP05462877</t>
        </is>
      </c>
      <c r="H4" t="inlineStr">
        <is>
          <t>cus_bcad520b3837</t>
        </is>
      </c>
      <c r="I4" t="inlineStr">
        <is>
          <t>金尉股份有限公司</t>
        </is>
      </c>
      <c r="J4" t="inlineStr">
        <is>
          <t>52420159</t>
        </is>
      </c>
      <c r="K4" t="n">
        <v>7133</v>
      </c>
      <c r="L4" t="n">
        <v>7490</v>
      </c>
      <c r="M4" t="inlineStr">
        <is>
          <t>轉售商城商品(詳細如附件)</t>
        </is>
      </c>
      <c r="N4" t="inlineStr">
        <is>
          <t>施瓊茹</t>
        </is>
      </c>
      <c r="O4" t="inlineStr">
        <is>
          <t>新北市板橋區文化路一段268號20樓之2</t>
        </is>
      </c>
      <c r="P4" t="inlineStr"/>
      <c r="Q4" t="inlineStr">
        <is>
          <t>02-2258-5388#6710</t>
        </is>
      </c>
      <c r="R4" t="inlineStr"/>
      <c r="S4" t="inlineStr">
        <is>
          <t>已收款</t>
        </is>
      </c>
      <c r="T4" t="inlineStr">
        <is>
          <t>來源：訂閱型發票及收款紀錄 第 5 列</t>
        </is>
      </c>
      <c r="U4" t="inlineStr"/>
      <c r="V4" t="inlineStr">
        <is>
          <t>2026-05-18</t>
        </is>
      </c>
    </row>
    <row r="5">
      <c r="A5" t="inlineStr">
        <is>
          <t>inv_bfffbec26e95</t>
        </is>
      </c>
      <c r="B5" t="inlineStr"/>
      <c r="C5" t="inlineStr">
        <is>
          <t>2019-09-25</t>
        </is>
      </c>
      <c r="D5" t="inlineStr"/>
      <c r="E5" t="inlineStr"/>
      <c r="F5" t="inlineStr">
        <is>
          <t>2019-08-15</t>
        </is>
      </c>
      <c r="G5" t="inlineStr">
        <is>
          <t>RP05462909</t>
        </is>
      </c>
      <c r="H5" t="inlineStr">
        <is>
          <t>cus_bcc35ee5752e</t>
        </is>
      </c>
      <c r="I5" t="inlineStr">
        <is>
          <t>在線科技股份有限公司</t>
        </is>
      </c>
      <c r="J5" t="inlineStr">
        <is>
          <t>24388805</t>
        </is>
      </c>
      <c r="K5" t="n">
        <v>27837</v>
      </c>
      <c r="L5" t="n">
        <v>29229</v>
      </c>
      <c r="M5" t="inlineStr">
        <is>
          <t>廣告分潤費（六、七月）</t>
        </is>
      </c>
      <c r="N5" t="inlineStr">
        <is>
          <t>朱柔均</t>
        </is>
      </c>
      <c r="O5" t="inlineStr">
        <is>
          <t>新北市三重區重新路五段609巷12號2樓之11</t>
        </is>
      </c>
      <c r="P5" t="inlineStr"/>
      <c r="Q5" t="inlineStr">
        <is>
          <t>02-7716-5147#146(Nancy)</t>
        </is>
      </c>
      <c r="R5" t="inlineStr"/>
      <c r="S5" t="inlineStr">
        <is>
          <t>已收款</t>
        </is>
      </c>
      <c r="T5" t="inlineStr">
        <is>
          <t>對方需在8/20前收到發票
來源：訂閱型發票及收款紀錄 第 6 列</t>
        </is>
      </c>
      <c r="U5" t="inlineStr"/>
      <c r="V5" t="inlineStr">
        <is>
          <t>2026-05-18</t>
        </is>
      </c>
    </row>
    <row r="6">
      <c r="A6" t="inlineStr">
        <is>
          <t>inv_001daa92534c</t>
        </is>
      </c>
      <c r="B6" t="inlineStr"/>
      <c r="C6" t="inlineStr">
        <is>
          <t>2019-09-05</t>
        </is>
      </c>
      <c r="D6" t="inlineStr"/>
      <c r="E6" t="inlineStr"/>
      <c r="F6" t="inlineStr">
        <is>
          <t>2019-08-15</t>
        </is>
      </c>
      <c r="G6" t="inlineStr">
        <is>
          <t>RP05462910</t>
        </is>
      </c>
      <c r="H6" t="inlineStr">
        <is>
          <t>cus_8fcb8b0072e6</t>
        </is>
      </c>
      <c r="I6" t="inlineStr">
        <is>
          <t>成果行銷有限公司</t>
        </is>
      </c>
      <c r="J6" t="inlineStr">
        <is>
          <t>24355261</t>
        </is>
      </c>
      <c r="K6" t="n">
        <v>107440</v>
      </c>
      <c r="L6" t="n">
        <v>112812</v>
      </c>
      <c r="M6" t="inlineStr">
        <is>
          <t>廣告費（六月）</t>
        </is>
      </c>
      <c r="N6" t="inlineStr">
        <is>
          <t>江宗霖</t>
        </is>
      </c>
      <c r="O6" t="inlineStr">
        <is>
          <t>台北市大安區光復南路102號7樓（華視光復大樓）</t>
        </is>
      </c>
      <c r="P6" t="inlineStr"/>
      <c r="Q6" t="inlineStr">
        <is>
          <t>02-2711-8835 # 219（ Nick Chiang）</t>
        </is>
      </c>
      <c r="R6" t="inlineStr"/>
      <c r="S6" t="inlineStr">
        <is>
          <t>已收款</t>
        </is>
      </c>
      <c r="T6" t="inlineStr">
        <is>
          <t>對方需在8/25前收到發票
來源：訂閱型發票及收款紀錄 第 7 列</t>
        </is>
      </c>
      <c r="U6" t="inlineStr"/>
      <c r="V6" t="inlineStr">
        <is>
          <t>2026-05-18</t>
        </is>
      </c>
    </row>
    <row r="7">
      <c r="A7" t="inlineStr">
        <is>
          <t>inv_a54903d5d80a</t>
        </is>
      </c>
      <c r="B7" t="inlineStr"/>
      <c r="C7" t="inlineStr">
        <is>
          <t>2019-09-25</t>
        </is>
      </c>
      <c r="D7" t="inlineStr"/>
      <c r="E7" t="inlineStr"/>
      <c r="F7" t="inlineStr">
        <is>
          <t>2019-08-15</t>
        </is>
      </c>
      <c r="G7" t="inlineStr">
        <is>
          <t>RP05462911</t>
        </is>
      </c>
      <c r="H7" t="inlineStr">
        <is>
          <t>cus_bcad520b3837</t>
        </is>
      </c>
      <c r="I7" t="inlineStr">
        <is>
          <t>金尉股份有限公司</t>
        </is>
      </c>
      <c r="J7" t="inlineStr">
        <is>
          <t>52420159</t>
        </is>
      </c>
      <c r="K7" t="n">
        <v>3524</v>
      </c>
      <c r="L7" t="n">
        <v>3700</v>
      </c>
      <c r="M7" t="inlineStr">
        <is>
          <t>轉售商城商品(詳細如附件)</t>
        </is>
      </c>
      <c r="N7" t="inlineStr">
        <is>
          <t>施瓊茹</t>
        </is>
      </c>
      <c r="O7" t="inlineStr">
        <is>
          <t>新北市板橋區文化路一段268號20樓之2</t>
        </is>
      </c>
      <c r="P7" t="inlineStr"/>
      <c r="Q7" t="inlineStr">
        <is>
          <t>02-2258-5388#6710</t>
        </is>
      </c>
      <c r="R7" t="inlineStr"/>
      <c r="S7" t="inlineStr">
        <is>
          <t>已收款</t>
        </is>
      </c>
      <c r="T7" t="inlineStr">
        <is>
          <t>來源：訂閱型發票及收款紀錄 第 8 列</t>
        </is>
      </c>
      <c r="U7" t="inlineStr"/>
      <c r="V7" t="inlineStr">
        <is>
          <t>2026-05-18</t>
        </is>
      </c>
    </row>
    <row r="8">
      <c r="A8" t="inlineStr">
        <is>
          <t>inv_19a81214b566</t>
        </is>
      </c>
      <c r="B8" t="inlineStr"/>
      <c r="C8" t="inlineStr">
        <is>
          <t>2019-10-05</t>
        </is>
      </c>
      <c r="D8" t="inlineStr"/>
      <c r="E8" t="inlineStr"/>
      <c r="F8" t="inlineStr">
        <is>
          <t>2019-09-17</t>
        </is>
      </c>
      <c r="G8" t="inlineStr">
        <is>
          <t>TL05458069</t>
        </is>
      </c>
      <c r="H8" t="inlineStr">
        <is>
          <t>cus_8fcb8b0072e6</t>
        </is>
      </c>
      <c r="I8" t="inlineStr">
        <is>
          <t>成果行銷有限公司</t>
        </is>
      </c>
      <c r="J8" t="inlineStr">
        <is>
          <t>24355261</t>
        </is>
      </c>
      <c r="K8" t="n">
        <v>134012</v>
      </c>
      <c r="L8" t="n">
        <v>140713</v>
      </c>
      <c r="M8" t="inlineStr">
        <is>
          <t>廣告費（七月）</t>
        </is>
      </c>
      <c r="N8" t="inlineStr">
        <is>
          <t>江宗霖</t>
        </is>
      </c>
      <c r="O8" t="inlineStr">
        <is>
          <t>台北市大安區光復南路102號7樓（華視光復大樓）</t>
        </is>
      </c>
      <c r="P8" t="inlineStr"/>
      <c r="Q8" t="inlineStr">
        <is>
          <t>02-2711-8835 # 219（ Nick Chiang）</t>
        </is>
      </c>
      <c r="R8" t="inlineStr"/>
      <c r="S8" t="inlineStr">
        <is>
          <t>已收款</t>
        </is>
      </c>
      <c r="T8" t="inlineStr">
        <is>
          <t>對方需在9/25前收到發票
來源：訂閱型發票及收款紀錄 第 9 列</t>
        </is>
      </c>
      <c r="U8" t="inlineStr"/>
      <c r="V8" t="inlineStr">
        <is>
          <t>2026-05-18</t>
        </is>
      </c>
    </row>
    <row r="9">
      <c r="A9" t="inlineStr">
        <is>
          <t>inv_ae93f2e3513d</t>
        </is>
      </c>
      <c r="B9" t="inlineStr"/>
      <c r="C9" t="inlineStr">
        <is>
          <t>2019-12-26</t>
        </is>
      </c>
      <c r="D9" t="inlineStr"/>
      <c r="E9" t="inlineStr"/>
      <c r="F9" t="inlineStr">
        <is>
          <t>2019-11-14</t>
        </is>
      </c>
      <c r="G9" t="inlineStr">
        <is>
          <t>VH05468327</t>
        </is>
      </c>
      <c r="H9" t="inlineStr">
        <is>
          <t>cus_bcad520b3837</t>
        </is>
      </c>
      <c r="I9" t="inlineStr">
        <is>
          <t>金尉股份有限公司</t>
        </is>
      </c>
      <c r="J9" t="inlineStr">
        <is>
          <t>52420159</t>
        </is>
      </c>
      <c r="K9" t="n">
        <v>2097</v>
      </c>
      <c r="L9" t="n">
        <v>2202</v>
      </c>
      <c r="M9" t="inlineStr">
        <is>
          <t>轉售商城商品(詳細如附件)</t>
        </is>
      </c>
      <c r="N9" t="inlineStr">
        <is>
          <t>施瓊茹</t>
        </is>
      </c>
      <c r="O9" t="inlineStr">
        <is>
          <t>新北市板橋區文化路一段268號20樓之2</t>
        </is>
      </c>
      <c r="P9" t="inlineStr"/>
      <c r="Q9" t="inlineStr">
        <is>
          <t>02-2258-5388#6710</t>
        </is>
      </c>
      <c r="R9" t="inlineStr"/>
      <c r="S9" t="inlineStr">
        <is>
          <t>已收款</t>
        </is>
      </c>
      <c r="T9" t="inlineStr">
        <is>
          <t>來源：訂閱型發票及收款紀錄 第 10 列</t>
        </is>
      </c>
      <c r="U9" t="inlineStr"/>
      <c r="V9" t="inlineStr">
        <is>
          <t>2026-05-18</t>
        </is>
      </c>
    </row>
    <row r="10">
      <c r="A10" t="inlineStr">
        <is>
          <t>inv_e91f52665fd0</t>
        </is>
      </c>
      <c r="B10" t="inlineStr"/>
      <c r="C10" t="inlineStr">
        <is>
          <t>2019-12-05</t>
        </is>
      </c>
      <c r="D10" t="inlineStr"/>
      <c r="E10" t="inlineStr"/>
      <c r="F10" t="inlineStr">
        <is>
          <t>2019-11-14</t>
        </is>
      </c>
      <c r="G10" t="inlineStr">
        <is>
          <t>VH05468328</t>
        </is>
      </c>
      <c r="H10" t="inlineStr">
        <is>
          <t>cus_8fcb8b0072e6</t>
        </is>
      </c>
      <c r="I10" t="inlineStr">
        <is>
          <t>成果行銷有限公司</t>
        </is>
      </c>
      <c r="J10" t="inlineStr">
        <is>
          <t>24355261</t>
        </is>
      </c>
      <c r="K10" t="n">
        <v>137027</v>
      </c>
      <c r="L10" t="n">
        <v>143878</v>
      </c>
      <c r="M10" t="inlineStr">
        <is>
          <t>廣告費（八月）</t>
        </is>
      </c>
      <c r="N10" t="inlineStr">
        <is>
          <t>江宗霖</t>
        </is>
      </c>
      <c r="O10" t="inlineStr">
        <is>
          <t>台北市大安區光復南路102號7樓（華視光復大樓）</t>
        </is>
      </c>
      <c r="P10" t="inlineStr"/>
      <c r="Q10" t="inlineStr">
        <is>
          <t>02-2711-8835 # 219（ Nick Chiang）</t>
        </is>
      </c>
      <c r="R10" t="inlineStr"/>
      <c r="S10" t="inlineStr">
        <is>
          <t>已收款</t>
        </is>
      </c>
      <c r="T10" t="inlineStr">
        <is>
          <t>對方需在11/25前收到發票
來源：訂閱型發票及收款紀錄 第 11 列</t>
        </is>
      </c>
      <c r="U10" t="inlineStr"/>
      <c r="V10" t="inlineStr">
        <is>
          <t>2026-05-18</t>
        </is>
      </c>
    </row>
    <row r="11">
      <c r="A11" t="inlineStr">
        <is>
          <t>inv_58a7927879bd</t>
        </is>
      </c>
      <c r="B11" t="inlineStr"/>
      <c r="C11" t="inlineStr">
        <is>
          <t>2020-02-17</t>
        </is>
      </c>
      <c r="D11" t="inlineStr"/>
      <c r="E11" t="inlineStr"/>
      <c r="F11" t="inlineStr">
        <is>
          <t>2019-11-14</t>
        </is>
      </c>
      <c r="G11" t="inlineStr">
        <is>
          <t>VH05468330</t>
        </is>
      </c>
      <c r="H11" t="inlineStr">
        <is>
          <t>cus_7880af1bd682</t>
        </is>
      </c>
      <c r="I11" t="inlineStr">
        <is>
          <t>威朋大數據股份有限公司</t>
        </is>
      </c>
      <c r="J11" t="inlineStr">
        <is>
          <t>28892170</t>
        </is>
      </c>
      <c r="K11" t="n">
        <v>15162</v>
      </c>
      <c r="L11" t="n">
        <v>15920</v>
      </c>
      <c r="M11" t="inlineStr">
        <is>
          <t>APP廣告發佈分潤</t>
        </is>
      </c>
      <c r="N11" t="inlineStr">
        <is>
          <t>楊雅筑</t>
        </is>
      </c>
      <c r="O11" t="inlineStr">
        <is>
          <t>台北市松山區復興北路337號7樓</t>
        </is>
      </c>
      <c r="P11" t="inlineStr"/>
      <c r="Q11" t="inlineStr">
        <is>
          <t>02-7730-8328 # 209（ Hester Yang）</t>
        </is>
      </c>
      <c r="R11" t="inlineStr"/>
      <c r="S11" t="inlineStr">
        <is>
          <t>已收款</t>
        </is>
      </c>
      <c r="T11" t="inlineStr">
        <is>
          <t>對方需在12/5前收到發票
來源：訂閱型發票及收款紀錄 第 12 列</t>
        </is>
      </c>
      <c r="U11" t="inlineStr">
        <is>
          <t>此筆請款金額是從六月到八月的廣告收入</t>
        </is>
      </c>
      <c r="V11" t="inlineStr">
        <is>
          <t>2026-05-18</t>
        </is>
      </c>
    </row>
    <row r="12">
      <c r="A12" t="inlineStr">
        <is>
          <t>inv_64fe07ca7670</t>
        </is>
      </c>
      <c r="B12" t="inlineStr"/>
      <c r="C12" t="inlineStr">
        <is>
          <t>2020-09-15</t>
        </is>
      </c>
      <c r="D12" t="inlineStr"/>
      <c r="E12" t="inlineStr"/>
      <c r="F12" t="inlineStr">
        <is>
          <t>2020-06-17</t>
        </is>
      </c>
      <c r="G12" t="inlineStr">
        <is>
          <t>AV11834458</t>
        </is>
      </c>
      <c r="H12" t="inlineStr">
        <is>
          <t>cus_7880af1bd682</t>
        </is>
      </c>
      <c r="I12" t="inlineStr">
        <is>
          <t>威朋大數據股份有限公司</t>
        </is>
      </c>
      <c r="J12" t="inlineStr">
        <is>
          <t>28892170</t>
        </is>
      </c>
      <c r="K12" t="n">
        <v>85796</v>
      </c>
      <c r="L12" t="n">
        <v>90086</v>
      </c>
      <c r="M12" t="inlineStr">
        <is>
          <t>APP廣告發佈分潤</t>
        </is>
      </c>
      <c r="N12" t="inlineStr">
        <is>
          <t>產品發展部</t>
        </is>
      </c>
      <c r="O12" t="inlineStr">
        <is>
          <t>105台北市松山區復興北路337號7樓</t>
        </is>
      </c>
      <c r="P12" t="inlineStr"/>
      <c r="Q12" t="inlineStr">
        <is>
          <t>02-7730-8328</t>
        </is>
      </c>
      <c r="R12" t="inlineStr"/>
      <c r="S12" t="inlineStr">
        <is>
          <t>已收款</t>
        </is>
      </c>
      <c r="T12" t="inlineStr">
        <is>
          <t>對方需在7/10前收到發票
來源：訂閱型發票及收款紀錄 第 13 列</t>
        </is>
      </c>
      <c r="U12" t="inlineStr">
        <is>
          <t>請款金額是從2019年9月~2020年5月的廣告收入，預計9/15會收到款項。(我們向威朋請款後，金尉會再來向我們請款。)</t>
        </is>
      </c>
      <c r="V12" t="inlineStr">
        <is>
          <t>2026-05-18</t>
        </is>
      </c>
    </row>
    <row r="13">
      <c r="A13" t="inlineStr">
        <is>
          <t>inv_a8c1a511f8e7</t>
        </is>
      </c>
      <c r="B13" t="inlineStr">
        <is>
          <t>慶文</t>
        </is>
      </c>
      <c r="C13" t="inlineStr">
        <is>
          <t>2021-06-15</t>
        </is>
      </c>
      <c r="D13" t="inlineStr">
        <is>
          <t>B00015</t>
        </is>
      </c>
      <c r="E13" t="inlineStr">
        <is>
          <t>2021-03-15 00:00:00</t>
        </is>
      </c>
      <c r="F13" t="inlineStr">
        <is>
          <t>2021-05-05</t>
        </is>
      </c>
      <c r="G13" t="inlineStr">
        <is>
          <t>PD78121764</t>
        </is>
      </c>
      <c r="H13" t="inlineStr">
        <is>
          <t>cus_253c0ef1fab2</t>
        </is>
      </c>
      <c r="I13" t="inlineStr">
        <is>
          <t>東方線上股份有限公司</t>
        </is>
      </c>
      <c r="J13" t="inlineStr">
        <is>
          <t>70570643</t>
        </is>
      </c>
      <c r="K13" t="n">
        <v>215238</v>
      </c>
      <c r="L13" t="n">
        <v>226000</v>
      </c>
      <c r="M13" t="inlineStr">
        <is>
          <t>數據收益</t>
        </is>
      </c>
      <c r="N13" t="inlineStr">
        <is>
          <t>蘇湘婷</t>
        </is>
      </c>
      <c r="O13" t="inlineStr">
        <is>
          <t>106台北市大安區信義路四段306號7樓</t>
        </is>
      </c>
      <c r="P13" t="inlineStr">
        <is>
          <t>graceting@isurvey.com.tw</t>
        </is>
      </c>
      <c r="Q13" t="inlineStr">
        <is>
          <t>02-27064865#818</t>
        </is>
      </c>
      <c r="R13" t="inlineStr"/>
      <c r="S13" t="inlineStr">
        <is>
          <t>已收款</t>
        </is>
      </c>
      <c r="T13" t="inlineStr">
        <is>
          <t>可開立電子發票
來源：訂閱型發票及收款紀錄 第 14 列</t>
        </is>
      </c>
      <c r="U13" t="inlineStr">
        <is>
          <t>預計6/15入帳</t>
        </is>
      </c>
      <c r="V13" t="inlineStr">
        <is>
          <t>2026-05-18</t>
        </is>
      </c>
    </row>
    <row r="14">
      <c r="A14" t="inlineStr">
        <is>
          <t>inv_84cc57017974</t>
        </is>
      </c>
      <c r="B14" t="inlineStr">
        <is>
          <t>慶文</t>
        </is>
      </c>
      <c r="C14" t="inlineStr">
        <is>
          <t>2021-09-15</t>
        </is>
      </c>
      <c r="D14" t="inlineStr">
        <is>
          <t>B00063</t>
        </is>
      </c>
      <c r="E14" t="inlineStr">
        <is>
          <t>2021-05-15 00:00:00</t>
        </is>
      </c>
      <c r="F14" t="inlineStr">
        <is>
          <t>2021-07-16</t>
        </is>
      </c>
      <c r="G14" t="inlineStr">
        <is>
          <t>QY78133364</t>
        </is>
      </c>
      <c r="H14" t="inlineStr">
        <is>
          <t>cus_253c0ef1fab2</t>
        </is>
      </c>
      <c r="I14" t="inlineStr">
        <is>
          <t>東方線上股份有限公司</t>
        </is>
      </c>
      <c r="J14" t="inlineStr">
        <is>
          <t>70570643</t>
        </is>
      </c>
      <c r="K14" t="n">
        <v>215238</v>
      </c>
      <c r="L14" t="n">
        <v>226000</v>
      </c>
      <c r="M14" t="inlineStr">
        <is>
          <t>數據收益</t>
        </is>
      </c>
      <c r="N14" t="inlineStr">
        <is>
          <t>蘇湘婷</t>
        </is>
      </c>
      <c r="O14" t="inlineStr">
        <is>
          <t>106台北市大安區信義路四段306號7樓</t>
        </is>
      </c>
      <c r="P14" t="inlineStr">
        <is>
          <t>graceting@isurvey.com.tw</t>
        </is>
      </c>
      <c r="Q14" t="inlineStr">
        <is>
          <t>02-27064865#818</t>
        </is>
      </c>
      <c r="R14" t="inlineStr"/>
      <c r="S14" t="inlineStr">
        <is>
          <t>已收款</t>
        </is>
      </c>
      <c r="T14" t="inlineStr">
        <is>
          <t>可開立電子發票
來源：訂閱型發票及收款紀錄 第 15 列</t>
        </is>
      </c>
      <c r="U14" t="inlineStr">
        <is>
          <t>預計7/15入帳</t>
        </is>
      </c>
      <c r="V14" t="inlineStr">
        <is>
          <t>2026-05-18</t>
        </is>
      </c>
    </row>
    <row r="15">
      <c r="A15" t="inlineStr">
        <is>
          <t>inv_8e1f4f3e8921</t>
        </is>
      </c>
      <c r="B15" t="inlineStr">
        <is>
          <t>慶文</t>
        </is>
      </c>
      <c r="C15" t="inlineStr">
        <is>
          <t>2021-11-15</t>
        </is>
      </c>
      <c r="D15" t="inlineStr">
        <is>
          <t>B00101</t>
        </is>
      </c>
      <c r="E15" t="inlineStr">
        <is>
          <t>2021-07-15 00:00:00</t>
        </is>
      </c>
      <c r="F15" t="inlineStr">
        <is>
          <t>2021-09-02</t>
        </is>
      </c>
      <c r="G15" t="inlineStr">
        <is>
          <t>ST78118640</t>
        </is>
      </c>
      <c r="H15" t="inlineStr">
        <is>
          <t>cus_253c0ef1fab2</t>
        </is>
      </c>
      <c r="I15" t="inlineStr">
        <is>
          <t>東方線上股份有限公司</t>
        </is>
      </c>
      <c r="J15" t="inlineStr">
        <is>
          <t>70570643</t>
        </is>
      </c>
      <c r="K15" t="n">
        <v>215238</v>
      </c>
      <c r="L15" t="n">
        <v>226000</v>
      </c>
      <c r="M15" t="inlineStr">
        <is>
          <t>數據收益</t>
        </is>
      </c>
      <c r="N15" t="inlineStr">
        <is>
          <t>蘇湘婷</t>
        </is>
      </c>
      <c r="O15" t="inlineStr">
        <is>
          <t>106台北市大安區信義路四段306號7樓</t>
        </is>
      </c>
      <c r="P15" t="inlineStr">
        <is>
          <t>graceting@isurvey.com.tw</t>
        </is>
      </c>
      <c r="Q15" t="inlineStr">
        <is>
          <t>02-27064865#818</t>
        </is>
      </c>
      <c r="R15" t="inlineStr"/>
      <c r="S15" t="inlineStr">
        <is>
          <t>已收款</t>
        </is>
      </c>
      <c r="T15" t="inlineStr">
        <is>
          <t>可開立電子發票
來源：訂閱型發票及收款紀錄 第 16 列</t>
        </is>
      </c>
      <c r="U15" t="inlineStr">
        <is>
          <t>預計9/15入帳</t>
        </is>
      </c>
      <c r="V15" t="inlineStr">
        <is>
          <t>2026-05-18</t>
        </is>
      </c>
    </row>
    <row r="16">
      <c r="A16" t="inlineStr">
        <is>
          <t>inv_db1501f80873</t>
        </is>
      </c>
      <c r="B16" t="inlineStr">
        <is>
          <t>慶文</t>
        </is>
      </c>
      <c r="C16" t="inlineStr">
        <is>
          <t>2021-11-30</t>
        </is>
      </c>
      <c r="D16" t="inlineStr">
        <is>
          <t>1043911</t>
        </is>
      </c>
      <c r="E16" t="inlineStr">
        <is>
          <t>2021-09-15 00:00:00</t>
        </is>
      </c>
      <c r="F16" t="inlineStr">
        <is>
          <t>2021-09-18</t>
        </is>
      </c>
      <c r="G16" t="inlineStr">
        <is>
          <t>ST78135214</t>
        </is>
      </c>
      <c r="H16" t="inlineStr">
        <is>
          <t>cus_253c0ef1fab2</t>
        </is>
      </c>
      <c r="I16" t="inlineStr">
        <is>
          <t>東方線上股份有限公司</t>
        </is>
      </c>
      <c r="J16" t="inlineStr">
        <is>
          <t>70570643</t>
        </is>
      </c>
      <c r="K16" t="n">
        <v>215238</v>
      </c>
      <c r="L16" t="n">
        <v>226000</v>
      </c>
      <c r="M16" t="inlineStr">
        <is>
          <t>數據收益</t>
        </is>
      </c>
      <c r="N16" t="inlineStr">
        <is>
          <t>蘇湘婷</t>
        </is>
      </c>
      <c r="O16" t="inlineStr">
        <is>
          <t>106台北市大安區信義路四段306號7樓</t>
        </is>
      </c>
      <c r="P16" t="inlineStr">
        <is>
          <t>graceting@isurvey.com.tw</t>
        </is>
      </c>
      <c r="Q16" t="inlineStr">
        <is>
          <t>02-27064865#818</t>
        </is>
      </c>
      <c r="R16" t="inlineStr"/>
      <c r="S16" t="inlineStr">
        <is>
          <t>已收款</t>
        </is>
      </c>
      <c r="T16" t="inlineStr">
        <is>
          <t>可開立電子發票
來源：訂閱型發票及收款紀錄 第 17 列</t>
        </is>
      </c>
      <c r="U16" t="inlineStr">
        <is>
          <t>預計11/15入帳</t>
        </is>
      </c>
      <c r="V16" t="inlineStr">
        <is>
          <t>2026-05-18</t>
        </is>
      </c>
    </row>
    <row r="17">
      <c r="A17" t="inlineStr">
        <is>
          <t>inv_17a238a60f52</t>
        </is>
      </c>
      <c r="B17" t="inlineStr">
        <is>
          <t>慶文</t>
        </is>
      </c>
      <c r="C17" t="inlineStr">
        <is>
          <t>2022-01-19</t>
        </is>
      </c>
      <c r="D17" t="inlineStr">
        <is>
          <t>1116375</t>
        </is>
      </c>
      <c r="E17" t="inlineStr">
        <is>
          <t>2021-11-15 00:00:00</t>
        </is>
      </c>
      <c r="F17" t="inlineStr">
        <is>
          <t>2021-11-18</t>
        </is>
      </c>
      <c r="G17" t="inlineStr">
        <is>
          <t>UN78146275</t>
        </is>
      </c>
      <c r="H17" t="inlineStr">
        <is>
          <t>cus_253c0ef1fab2</t>
        </is>
      </c>
      <c r="I17" t="inlineStr">
        <is>
          <t>東方線上股份有限公司</t>
        </is>
      </c>
      <c r="J17" t="inlineStr">
        <is>
          <t>70570643</t>
        </is>
      </c>
      <c r="K17" t="n">
        <v>215238</v>
      </c>
      <c r="L17" t="n">
        <v>226000</v>
      </c>
      <c r="M17" t="inlineStr">
        <is>
          <t>數據收益</t>
        </is>
      </c>
      <c r="N17" t="inlineStr">
        <is>
          <t>蘇湘婷</t>
        </is>
      </c>
      <c r="O17" t="inlineStr">
        <is>
          <t>106台北市大安區信義路四段306號7樓</t>
        </is>
      </c>
      <c r="P17" t="inlineStr">
        <is>
          <t>graceting@isurvey.com.tw</t>
        </is>
      </c>
      <c r="Q17" t="inlineStr">
        <is>
          <t>02-27064865#818</t>
        </is>
      </c>
      <c r="R17" t="inlineStr"/>
      <c r="S17" t="inlineStr">
        <is>
          <t>已收款</t>
        </is>
      </c>
      <c r="T17" t="inlineStr">
        <is>
          <t>可開立電子發票
來源：訂閱型發票及收款紀錄 第 18 列</t>
        </is>
      </c>
      <c r="U17" t="inlineStr">
        <is>
          <t>預計2022/1/15入帳</t>
        </is>
      </c>
      <c r="V17" t="inlineStr">
        <is>
          <t>2026-05-18</t>
        </is>
      </c>
    </row>
    <row r="18">
      <c r="A18" t="inlineStr">
        <is>
          <t>inv_37ff04aafc2e</t>
        </is>
      </c>
      <c r="B18" t="inlineStr">
        <is>
          <t>慶文</t>
        </is>
      </c>
      <c r="C18" t="inlineStr">
        <is>
          <t>2022-04-14</t>
        </is>
      </c>
      <c r="D18" t="inlineStr">
        <is>
          <t>1232597</t>
        </is>
      </c>
      <c r="E18" t="inlineStr">
        <is>
          <t>2022-01-15 00:00:00</t>
        </is>
      </c>
      <c r="F18" t="inlineStr">
        <is>
          <t>2022-02-14</t>
        </is>
      </c>
      <c r="G18" t="inlineStr">
        <is>
          <t>WS70170075</t>
        </is>
      </c>
      <c r="H18" t="inlineStr">
        <is>
          <t>cus_253c0ef1fab2</t>
        </is>
      </c>
      <c r="I18" t="inlineStr">
        <is>
          <t>東方線上股份有限公司</t>
        </is>
      </c>
      <c r="J18" t="inlineStr">
        <is>
          <t>70570643</t>
        </is>
      </c>
      <c r="K18" t="n">
        <v>215238</v>
      </c>
      <c r="L18" t="n">
        <v>226000</v>
      </c>
      <c r="M18" t="inlineStr">
        <is>
          <t>數據收益</t>
        </is>
      </c>
      <c r="N18" t="inlineStr">
        <is>
          <t>蘇湘婷</t>
        </is>
      </c>
      <c r="O18" t="inlineStr">
        <is>
          <t>106台北市大安區信義路四段306號7樓</t>
        </is>
      </c>
      <c r="P18" t="inlineStr">
        <is>
          <t>graceting@isurvey.com.tw</t>
        </is>
      </c>
      <c r="Q18" t="inlineStr">
        <is>
          <t>02-27064865#818</t>
        </is>
      </c>
      <c r="R18" t="inlineStr"/>
      <c r="S18" t="inlineStr">
        <is>
          <t>已收款</t>
        </is>
      </c>
      <c r="T18" t="inlineStr">
        <is>
          <t>可開立電子發票
來源：訂閱型發票及收款紀錄 第 19 列</t>
        </is>
      </c>
      <c r="U18" t="inlineStr">
        <is>
          <t>預計2022/3/15入帳</t>
        </is>
      </c>
      <c r="V18" t="inlineStr">
        <is>
          <t>2026-05-18</t>
        </is>
      </c>
    </row>
    <row r="19">
      <c r="A19" t="inlineStr">
        <is>
          <t>inv_fd2b066bf49c</t>
        </is>
      </c>
      <c r="B19" t="inlineStr">
        <is>
          <t>慶文</t>
        </is>
      </c>
      <c r="C19" t="inlineStr">
        <is>
          <t>2022-05-13</t>
        </is>
      </c>
      <c r="D19" t="inlineStr">
        <is>
          <t>1270257</t>
        </is>
      </c>
      <c r="E19" t="inlineStr">
        <is>
          <t>2022-03-15 00:00:00</t>
        </is>
      </c>
      <c r="F19" t="inlineStr">
        <is>
          <t>2022-03-22</t>
        </is>
      </c>
      <c r="G19" t="inlineStr">
        <is>
          <t>YU70141743</t>
        </is>
      </c>
      <c r="H19" t="inlineStr">
        <is>
          <t>cus_253c0ef1fab2</t>
        </is>
      </c>
      <c r="I19" t="inlineStr">
        <is>
          <t>東方線上股份有限公司</t>
        </is>
      </c>
      <c r="J19" t="inlineStr">
        <is>
          <t>70570643</t>
        </is>
      </c>
      <c r="K19" t="n">
        <v>215238</v>
      </c>
      <c r="L19" t="n">
        <v>226000</v>
      </c>
      <c r="M19" t="inlineStr">
        <is>
          <t>數據收益</t>
        </is>
      </c>
      <c r="N19" t="inlineStr">
        <is>
          <t>蘇湘婷</t>
        </is>
      </c>
      <c r="O19" t="inlineStr">
        <is>
          <t>106台北市大安區信義路四段306號7樓</t>
        </is>
      </c>
      <c r="P19" t="inlineStr">
        <is>
          <t>graceting@isurvey.com.tw</t>
        </is>
      </c>
      <c r="Q19" t="inlineStr">
        <is>
          <t>02-27064865#818</t>
        </is>
      </c>
      <c r="R19" t="inlineStr"/>
      <c r="S19" t="inlineStr">
        <is>
          <t>已收款</t>
        </is>
      </c>
      <c r="T19" t="inlineStr">
        <is>
          <t>可開立電子發票
來源：訂閱型發票及收款紀錄 第 20 列</t>
        </is>
      </c>
      <c r="U19" t="inlineStr">
        <is>
          <t>預計2022/5/15入帳</t>
        </is>
      </c>
      <c r="V19" t="inlineStr">
        <is>
          <t>2026-05-18</t>
        </is>
      </c>
    </row>
    <row r="20">
      <c r="A20" t="inlineStr">
        <is>
          <t>inv_3bce8ede89f3</t>
        </is>
      </c>
      <c r="B20" t="inlineStr">
        <is>
          <t>慶文</t>
        </is>
      </c>
      <c r="C20" t="inlineStr">
        <is>
          <t>2022-07-18</t>
        </is>
      </c>
      <c r="D20" t="inlineStr">
        <is>
          <t>1323692</t>
        </is>
      </c>
      <c r="E20" t="inlineStr">
        <is>
          <t>2022-05-15 00:00:00</t>
        </is>
      </c>
      <c r="F20" t="inlineStr">
        <is>
          <t>2022-05-12</t>
        </is>
      </c>
      <c r="G20" t="inlineStr">
        <is>
          <t>AZ70131315</t>
        </is>
      </c>
      <c r="H20" t="inlineStr">
        <is>
          <t>cus_253c0ef1fab2</t>
        </is>
      </c>
      <c r="I20" t="inlineStr">
        <is>
          <t>東方線上股份有限公司</t>
        </is>
      </c>
      <c r="J20" t="inlineStr">
        <is>
          <t>70570643</t>
        </is>
      </c>
      <c r="K20" t="n">
        <v>215238</v>
      </c>
      <c r="L20" t="n">
        <v>226000</v>
      </c>
      <c r="M20" t="inlineStr">
        <is>
          <t>數據收益</t>
        </is>
      </c>
      <c r="N20" t="inlineStr">
        <is>
          <t>蘇湘婷</t>
        </is>
      </c>
      <c r="O20" t="inlineStr">
        <is>
          <t>106台北市大安區信義路四段306號7樓</t>
        </is>
      </c>
      <c r="P20" t="inlineStr">
        <is>
          <t>graceting@isurvey.com.tw</t>
        </is>
      </c>
      <c r="Q20" t="inlineStr">
        <is>
          <t>02-27064865#818</t>
        </is>
      </c>
      <c r="R20" t="inlineStr"/>
      <c r="S20" t="inlineStr">
        <is>
          <t>已收款</t>
        </is>
      </c>
      <c r="T20" t="inlineStr">
        <is>
          <t>可開立電子發票
來源：訂閱型發票及收款紀錄 第 21 列</t>
        </is>
      </c>
      <c r="U20" t="inlineStr">
        <is>
          <t>預計2022/7/15入帳</t>
        </is>
      </c>
      <c r="V20" t="inlineStr">
        <is>
          <t>2026-05-18</t>
        </is>
      </c>
    </row>
    <row r="21">
      <c r="A21" t="inlineStr">
        <is>
          <t>inv_57819bc46090</t>
        </is>
      </c>
      <c r="B21" t="inlineStr">
        <is>
          <t>慶文</t>
        </is>
      </c>
      <c r="C21" t="inlineStr">
        <is>
          <t>2022-09-19</t>
        </is>
      </c>
      <c r="D21" t="inlineStr">
        <is>
          <t>1404103</t>
        </is>
      </c>
      <c r="E21" t="inlineStr">
        <is>
          <t>2022-07-15 00:00:00</t>
        </is>
      </c>
      <c r="F21" t="inlineStr">
        <is>
          <t>2022-07-20</t>
        </is>
      </c>
      <c r="G21" t="inlineStr">
        <is>
          <t>CZ70139943</t>
        </is>
      </c>
      <c r="H21" t="inlineStr">
        <is>
          <t>cus_253c0ef1fab2</t>
        </is>
      </c>
      <c r="I21" t="inlineStr">
        <is>
          <t>東方線上股份有限公司</t>
        </is>
      </c>
      <c r="J21" t="inlineStr">
        <is>
          <t>70570643</t>
        </is>
      </c>
      <c r="K21" t="n">
        <v>215238</v>
      </c>
      <c r="L21" t="n">
        <v>226000</v>
      </c>
      <c r="M21" t="inlineStr">
        <is>
          <t>數據收益</t>
        </is>
      </c>
      <c r="N21" t="inlineStr">
        <is>
          <t>蘇湘婷</t>
        </is>
      </c>
      <c r="O21" t="inlineStr">
        <is>
          <t>106台北市大安區信義路四段306號7樓</t>
        </is>
      </c>
      <c r="P21" t="inlineStr">
        <is>
          <t>graceting@isurvey.com.tw</t>
        </is>
      </c>
      <c r="Q21" t="inlineStr">
        <is>
          <t>02-27064865#818</t>
        </is>
      </c>
      <c r="R21" t="inlineStr"/>
      <c r="S21" t="inlineStr">
        <is>
          <t>已收款</t>
        </is>
      </c>
      <c r="T21" t="inlineStr">
        <is>
          <t>可開立電子發票
來源：訂閱型發票及收款紀錄 第 22 列</t>
        </is>
      </c>
      <c r="U21" t="inlineStr">
        <is>
          <t>預計2022/9/15入帳</t>
        </is>
      </c>
      <c r="V21" t="inlineStr">
        <is>
          <t>2026-05-18</t>
        </is>
      </c>
    </row>
    <row r="22">
      <c r="A22" t="inlineStr">
        <is>
          <t>inv_65b979a59f2d</t>
        </is>
      </c>
      <c r="B22" t="inlineStr">
        <is>
          <t>慶文</t>
        </is>
      </c>
      <c r="C22" t="inlineStr">
        <is>
          <t>2022-11-15</t>
        </is>
      </c>
      <c r="D22" t="inlineStr">
        <is>
          <t>1474376</t>
        </is>
      </c>
      <c r="E22" t="inlineStr">
        <is>
          <t>2022-09-15 00:00:00</t>
        </is>
      </c>
      <c r="F22" t="inlineStr">
        <is>
          <t>2022-09-16</t>
        </is>
      </c>
      <c r="G22" t="inlineStr">
        <is>
          <t>FB7013858</t>
        </is>
      </c>
      <c r="H22" t="inlineStr">
        <is>
          <t>cus_253c0ef1fab2</t>
        </is>
      </c>
      <c r="I22" t="inlineStr">
        <is>
          <t>東方線上股份有限公司</t>
        </is>
      </c>
      <c r="J22" t="inlineStr">
        <is>
          <t>70570643</t>
        </is>
      </c>
      <c r="K22" t="n">
        <v>215238</v>
      </c>
      <c r="L22" t="n">
        <v>226000</v>
      </c>
      <c r="M22" t="inlineStr">
        <is>
          <t>數據收益</t>
        </is>
      </c>
      <c r="N22" t="inlineStr">
        <is>
          <t>蘇湘婷</t>
        </is>
      </c>
      <c r="O22" t="inlineStr">
        <is>
          <t>106台北市大安區信義路四段306號7樓</t>
        </is>
      </c>
      <c r="P22" t="inlineStr">
        <is>
          <t>graceting@isurvey.com.tw</t>
        </is>
      </c>
      <c r="Q22" t="inlineStr">
        <is>
          <t>02-27064865#818</t>
        </is>
      </c>
      <c r="R22" t="inlineStr"/>
      <c r="S22" t="inlineStr">
        <is>
          <t>已收款</t>
        </is>
      </c>
      <c r="T22" t="inlineStr">
        <is>
          <t>可開立電子發票
來源：訂閱型發票及收款紀錄 第 23 列</t>
        </is>
      </c>
      <c r="U22" t="inlineStr">
        <is>
          <t>預計2022/11/15入帳</t>
        </is>
      </c>
      <c r="V22" t="inlineStr">
        <is>
          <t>2026-05-18</t>
        </is>
      </c>
    </row>
    <row r="23">
      <c r="A23" t="inlineStr">
        <is>
          <t>inv_bea63a506abc</t>
        </is>
      </c>
      <c r="B23" t="inlineStr">
        <is>
          <t>慶文</t>
        </is>
      </c>
      <c r="C23" t="inlineStr">
        <is>
          <t>2023-01-13</t>
        </is>
      </c>
      <c r="D23" t="inlineStr">
        <is>
          <t>1546832</t>
        </is>
      </c>
      <c r="E23" t="inlineStr">
        <is>
          <t>2022-11-15 00:00:00</t>
        </is>
      </c>
      <c r="F23" t="inlineStr">
        <is>
          <t>2022-11-17</t>
        </is>
      </c>
      <c r="G23" t="inlineStr">
        <is>
          <t>HD70138037</t>
        </is>
      </c>
      <c r="H23" t="inlineStr">
        <is>
          <t>cus_253c0ef1fab2</t>
        </is>
      </c>
      <c r="I23" t="inlineStr">
        <is>
          <t>東方線上股份有限公司</t>
        </is>
      </c>
      <c r="J23" t="inlineStr">
        <is>
          <t>70570643</t>
        </is>
      </c>
      <c r="K23" t="n">
        <v>215238</v>
      </c>
      <c r="L23" t="n">
        <v>226000</v>
      </c>
      <c r="M23" t="inlineStr">
        <is>
          <t>數據收益</t>
        </is>
      </c>
      <c r="N23" t="inlineStr">
        <is>
          <t>蘇湘婷</t>
        </is>
      </c>
      <c r="O23" t="inlineStr">
        <is>
          <t>106台北市大安區信義路四段306號7樓</t>
        </is>
      </c>
      <c r="P23" t="inlineStr">
        <is>
          <t>graceting@isurvey.com.tw</t>
        </is>
      </c>
      <c r="Q23" t="inlineStr">
        <is>
          <t>02-27064865#818</t>
        </is>
      </c>
      <c r="R23" t="inlineStr"/>
      <c r="S23" t="inlineStr">
        <is>
          <t>已收款</t>
        </is>
      </c>
      <c r="T23" t="inlineStr">
        <is>
          <t>可開立電子發票
來源：訂閱型發票及收款紀錄 第 24 列</t>
        </is>
      </c>
      <c r="U23" t="inlineStr">
        <is>
          <t>預計2023/1/15入帳</t>
        </is>
      </c>
      <c r="V23" t="inlineStr">
        <is>
          <t>2026-05-18</t>
        </is>
      </c>
    </row>
    <row r="24">
      <c r="A24" t="inlineStr">
        <is>
          <t>inv_01503557a8f5</t>
        </is>
      </c>
      <c r="B24" t="inlineStr">
        <is>
          <t>思睿</t>
        </is>
      </c>
      <c r="C24" t="inlineStr">
        <is>
          <t>2023-05-15</t>
        </is>
      </c>
      <c r="D24" t="inlineStr">
        <is>
          <t>1700184</t>
        </is>
      </c>
      <c r="E24" t="inlineStr">
        <is>
          <t>2023-01-15 00:00:00</t>
        </is>
      </c>
      <c r="F24" t="inlineStr">
        <is>
          <t>2024-03-23</t>
        </is>
      </c>
      <c r="G24" t="inlineStr">
        <is>
          <t>MC44742985</t>
        </is>
      </c>
      <c r="H24" t="inlineStr">
        <is>
          <t>cus_253c0ef1fab2</t>
        </is>
      </c>
      <c r="I24" t="inlineStr">
        <is>
          <t>東方線上股份有限公司</t>
        </is>
      </c>
      <c r="J24" t="inlineStr">
        <is>
          <t>70570643</t>
        </is>
      </c>
      <c r="K24" t="n">
        <v>215238</v>
      </c>
      <c r="L24" t="n">
        <v>226000</v>
      </c>
      <c r="M24" t="inlineStr">
        <is>
          <t>數據收益</t>
        </is>
      </c>
      <c r="N24" t="inlineStr">
        <is>
          <t>蘇湘婷</t>
        </is>
      </c>
      <c r="O24" t="inlineStr">
        <is>
          <t>106台北市大安區信義路四段306號7樓</t>
        </is>
      </c>
      <c r="P24" t="inlineStr">
        <is>
          <t>graceting@isurvey.com.tw</t>
        </is>
      </c>
      <c r="Q24" t="inlineStr">
        <is>
          <t>02-27064865#818</t>
        </is>
      </c>
      <c r="R24" t="inlineStr"/>
      <c r="S24" t="inlineStr">
        <is>
          <t>已收款</t>
        </is>
      </c>
      <c r="T24" t="inlineStr">
        <is>
          <t>可開立電子發票
來源：訂閱型發票及收款紀錄 第 25 列</t>
        </is>
      </c>
      <c r="U24" t="inlineStr"/>
      <c r="V24" t="inlineStr">
        <is>
          <t>2026-05-18</t>
        </is>
      </c>
    </row>
    <row r="25">
      <c r="A25" t="inlineStr">
        <is>
          <t>inv_b92832fe4fa1</t>
        </is>
      </c>
      <c r="B25" t="inlineStr">
        <is>
          <t>思睿</t>
        </is>
      </c>
      <c r="C25" t="inlineStr">
        <is>
          <t>2023-06-15</t>
        </is>
      </c>
      <c r="D25" t="inlineStr">
        <is>
          <t>1722283</t>
        </is>
      </c>
      <c r="E25" t="inlineStr">
        <is>
          <t>2023-03-15 00:00:00</t>
        </is>
      </c>
      <c r="F25" t="inlineStr">
        <is>
          <t>2023-04-12</t>
        </is>
      </c>
      <c r="G25" t="inlineStr">
        <is>
          <t>MC44764744</t>
        </is>
      </c>
      <c r="H25" t="inlineStr">
        <is>
          <t>cus_253c0ef1fab2</t>
        </is>
      </c>
      <c r="I25" t="inlineStr">
        <is>
          <t>東方線上股份有限公司</t>
        </is>
      </c>
      <c r="J25" t="inlineStr">
        <is>
          <t>70570643</t>
        </is>
      </c>
      <c r="K25" t="n">
        <v>215238</v>
      </c>
      <c r="L25" t="n">
        <v>226000</v>
      </c>
      <c r="M25" t="inlineStr">
        <is>
          <t>數據收益</t>
        </is>
      </c>
      <c r="N25" t="inlineStr">
        <is>
          <t>蘇湘婷</t>
        </is>
      </c>
      <c r="O25" t="inlineStr">
        <is>
          <t>106台北市大安區信義路四段306號7樓</t>
        </is>
      </c>
      <c r="P25" t="inlineStr">
        <is>
          <t>graceting@isurvey.com.tw</t>
        </is>
      </c>
      <c r="Q25" t="inlineStr">
        <is>
          <t>02-27064865#818</t>
        </is>
      </c>
      <c r="R25" t="inlineStr"/>
      <c r="S25" t="inlineStr">
        <is>
          <t>已收款</t>
        </is>
      </c>
      <c r="T25" t="inlineStr">
        <is>
          <t>可開立電子發票
來源：訂閱型發票及收款紀錄 第 26 列</t>
        </is>
      </c>
      <c r="U25" t="inlineStr"/>
      <c r="V25" t="inlineStr">
        <is>
          <t>2026-05-18</t>
        </is>
      </c>
    </row>
    <row r="26">
      <c r="A26" t="inlineStr">
        <is>
          <t>inv_7c0b36470ccb</t>
        </is>
      </c>
      <c r="B26" t="inlineStr">
        <is>
          <t>思睿</t>
        </is>
      </c>
      <c r="C26" t="inlineStr">
        <is>
          <t>2023-07-18</t>
        </is>
      </c>
      <c r="D26" t="inlineStr">
        <is>
          <t>1761720</t>
        </is>
      </c>
      <c r="E26" t="inlineStr">
        <is>
          <t>2023-05-15 00:00:00</t>
        </is>
      </c>
      <c r="F26" t="inlineStr">
        <is>
          <t>2023-05-16</t>
        </is>
      </c>
      <c r="G26" t="inlineStr">
        <is>
          <t>PC44732994</t>
        </is>
      </c>
      <c r="H26" t="inlineStr">
        <is>
          <t>cus_253c0ef1fab2</t>
        </is>
      </c>
      <c r="I26" t="inlineStr">
        <is>
          <t>東方線上股份有限公司</t>
        </is>
      </c>
      <c r="J26" t="inlineStr">
        <is>
          <t>70570643</t>
        </is>
      </c>
      <c r="K26" t="n">
        <v>215238</v>
      </c>
      <c r="L26" t="n">
        <v>226000</v>
      </c>
      <c r="M26" t="inlineStr">
        <is>
          <t>數據收益</t>
        </is>
      </c>
      <c r="N26" t="inlineStr">
        <is>
          <t>蘇湘婷</t>
        </is>
      </c>
      <c r="O26" t="inlineStr">
        <is>
          <t>106台北市大安區信義路四段306號7樓</t>
        </is>
      </c>
      <c r="P26" t="inlineStr">
        <is>
          <t>graceting@isurvey.com.tw</t>
        </is>
      </c>
      <c r="Q26" t="inlineStr">
        <is>
          <t>02-27064865#818</t>
        </is>
      </c>
      <c r="R26" t="inlineStr"/>
      <c r="S26" t="inlineStr">
        <is>
          <t>已收款</t>
        </is>
      </c>
      <c r="T26" t="inlineStr">
        <is>
          <t>可開立電子發票
來源：訂閱型發票及收款紀錄 第 27 列</t>
        </is>
      </c>
      <c r="U26" t="inlineStr"/>
      <c r="V26" t="inlineStr">
        <is>
          <t>2026-05-18</t>
        </is>
      </c>
    </row>
    <row r="27">
      <c r="A27" t="inlineStr">
        <is>
          <t>inv_8ee8573f6f8e</t>
        </is>
      </c>
      <c r="B27" t="inlineStr">
        <is>
          <t>思睿</t>
        </is>
      </c>
      <c r="C27" t="inlineStr">
        <is>
          <t>2023-09-23</t>
        </is>
      </c>
      <c r="D27" t="inlineStr">
        <is>
          <t>1829723</t>
        </is>
      </c>
      <c r="E27" t="inlineStr">
        <is>
          <t>2023-07-15 00:00:00</t>
        </is>
      </c>
      <c r="F27" t="inlineStr">
        <is>
          <t>2023-07-11</t>
        </is>
      </c>
      <c r="G27" t="inlineStr">
        <is>
          <t>RC44726925</t>
        </is>
      </c>
      <c r="H27" t="inlineStr">
        <is>
          <t>cus_253c0ef1fab2</t>
        </is>
      </c>
      <c r="I27" t="inlineStr">
        <is>
          <t>東方線上股份有限公司</t>
        </is>
      </c>
      <c r="J27" t="inlineStr">
        <is>
          <t>70570643</t>
        </is>
      </c>
      <c r="K27" t="n">
        <v>215238</v>
      </c>
      <c r="L27" t="n">
        <v>226000</v>
      </c>
      <c r="M27" t="inlineStr">
        <is>
          <t>數據收益</t>
        </is>
      </c>
      <c r="N27" t="inlineStr">
        <is>
          <t>蘇湘婷</t>
        </is>
      </c>
      <c r="O27" t="inlineStr">
        <is>
          <t>106台北市大安區信義路四段306號7樓</t>
        </is>
      </c>
      <c r="P27" t="inlineStr">
        <is>
          <t>graceting@isurvey.com.tw</t>
        </is>
      </c>
      <c r="Q27" t="inlineStr">
        <is>
          <t>02-27064865#818</t>
        </is>
      </c>
      <c r="R27" t="inlineStr"/>
      <c r="S27" t="inlineStr">
        <is>
          <t>已收款</t>
        </is>
      </c>
      <c r="T27" t="inlineStr">
        <is>
          <t>可開立電子發票
來源：訂閱型發票及收款紀錄 第 28 列</t>
        </is>
      </c>
      <c r="U27" t="inlineStr">
        <is>
          <t>收到發票隔月起算45天</t>
        </is>
      </c>
      <c r="V27" t="inlineStr">
        <is>
          <t>2026-05-18</t>
        </is>
      </c>
    </row>
    <row r="28">
      <c r="A28" t="inlineStr">
        <is>
          <t>inv_ea38b47cc2c4</t>
        </is>
      </c>
      <c r="B28" t="inlineStr">
        <is>
          <t>思睿</t>
        </is>
      </c>
      <c r="C28" t="inlineStr">
        <is>
          <t>2023-11-15</t>
        </is>
      </c>
      <c r="D28" t="inlineStr">
        <is>
          <t>1913621</t>
        </is>
      </c>
      <c r="E28" t="inlineStr">
        <is>
          <t>2023-09-15 00:00:00</t>
        </is>
      </c>
      <c r="F28" t="inlineStr">
        <is>
          <t>2023-09-22</t>
        </is>
      </c>
      <c r="G28" t="inlineStr">
        <is>
          <t>TC44736065</t>
        </is>
      </c>
      <c r="H28" t="inlineStr">
        <is>
          <t>cus_253c0ef1fab2</t>
        </is>
      </c>
      <c r="I28" t="inlineStr">
        <is>
          <t>東方線上股份有限公司</t>
        </is>
      </c>
      <c r="J28" t="inlineStr">
        <is>
          <t>70570643</t>
        </is>
      </c>
      <c r="K28" t="n">
        <v>215238</v>
      </c>
      <c r="L28" t="n">
        <v>226000</v>
      </c>
      <c r="M28" t="inlineStr">
        <is>
          <t>數據收益</t>
        </is>
      </c>
      <c r="N28" t="inlineStr">
        <is>
          <t>蘇湘婷</t>
        </is>
      </c>
      <c r="O28" t="inlineStr">
        <is>
          <t>106台北市大安區信義路四段306號7樓</t>
        </is>
      </c>
      <c r="P28" t="inlineStr">
        <is>
          <t>graceting@isurvey.com.tw</t>
        </is>
      </c>
      <c r="Q28" t="inlineStr">
        <is>
          <t>02-27064865#818</t>
        </is>
      </c>
      <c r="R28" t="inlineStr"/>
      <c r="S28" t="inlineStr">
        <is>
          <t>已收款</t>
        </is>
      </c>
      <c r="T28" t="inlineStr">
        <is>
          <t>可開立電子發票
來源：訂閱型發票及收款紀錄 第 29 列</t>
        </is>
      </c>
      <c r="U28" t="inlineStr">
        <is>
          <t>收到發票隔月起算45天</t>
        </is>
      </c>
      <c r="V28" t="inlineStr">
        <is>
          <t>2026-05-18</t>
        </is>
      </c>
    </row>
    <row r="29">
      <c r="A29" t="inlineStr">
        <is>
          <t>inv_7c0875dec546</t>
        </is>
      </c>
      <c r="B29" t="inlineStr">
        <is>
          <t>思睿</t>
        </is>
      </c>
      <c r="C29" t="inlineStr">
        <is>
          <t>2024-01-15</t>
        </is>
      </c>
      <c r="D29" t="inlineStr">
        <is>
          <t>1967009</t>
        </is>
      </c>
      <c r="E29" t="inlineStr">
        <is>
          <t>2023/011/15</t>
        </is>
      </c>
      <c r="F29" t="inlineStr">
        <is>
          <t>2023-11-09</t>
        </is>
      </c>
      <c r="G29" t="inlineStr">
        <is>
          <t>VC44725459</t>
        </is>
      </c>
      <c r="H29" t="inlineStr">
        <is>
          <t>cus_253c0ef1fab2</t>
        </is>
      </c>
      <c r="I29" t="inlineStr">
        <is>
          <t>東方線上股份有限公司</t>
        </is>
      </c>
      <c r="J29" t="inlineStr">
        <is>
          <t>70570643</t>
        </is>
      </c>
      <c r="K29" t="n">
        <v>215238</v>
      </c>
      <c r="L29" t="n">
        <v>226000</v>
      </c>
      <c r="M29" t="inlineStr">
        <is>
          <t>數據收益</t>
        </is>
      </c>
      <c r="N29" t="inlineStr">
        <is>
          <t>蘇湘婷</t>
        </is>
      </c>
      <c r="O29" t="inlineStr">
        <is>
          <t>106台北市大安區信義路四段306號7樓</t>
        </is>
      </c>
      <c r="P29" t="inlineStr">
        <is>
          <t>graceting@isurvey.com.tw</t>
        </is>
      </c>
      <c r="Q29" t="inlineStr">
        <is>
          <t>02-27064865#818</t>
        </is>
      </c>
      <c r="R29" t="inlineStr"/>
      <c r="S29" t="inlineStr">
        <is>
          <t>已收款</t>
        </is>
      </c>
      <c r="T29" t="inlineStr">
        <is>
          <t>可開立電子發票
來源：訂閱型發票及收款紀錄 第 30 列</t>
        </is>
      </c>
      <c r="U29" t="inlineStr">
        <is>
          <t>收到發票隔月起算45天</t>
        </is>
      </c>
      <c r="V29" t="inlineStr">
        <is>
          <t>2026-05-18</t>
        </is>
      </c>
    </row>
    <row r="30">
      <c r="A30" t="inlineStr">
        <is>
          <t>inv_754989b83381</t>
        </is>
      </c>
      <c r="B30" t="inlineStr">
        <is>
          <t>Cobi</t>
        </is>
      </c>
      <c r="C30" t="inlineStr">
        <is>
          <t>2024-03-15</t>
        </is>
      </c>
      <c r="D30" t="inlineStr">
        <is>
          <t>2053504</t>
        </is>
      </c>
      <c r="E30" t="inlineStr">
        <is>
          <t>2024-01-15 00:00:00</t>
        </is>
      </c>
      <c r="F30" t="inlineStr">
        <is>
          <t>2024-01-16</t>
        </is>
      </c>
      <c r="G30" t="inlineStr">
        <is>
          <t>XE03662938</t>
        </is>
      </c>
      <c r="H30" t="inlineStr">
        <is>
          <t>cus_253c0ef1fab2</t>
        </is>
      </c>
      <c r="I30" t="inlineStr">
        <is>
          <t>東方線上股份有限公司</t>
        </is>
      </c>
      <c r="J30" t="inlineStr">
        <is>
          <t>70570643</t>
        </is>
      </c>
      <c r="K30" t="n">
        <v>215238</v>
      </c>
      <c r="L30" t="n">
        <v>226000</v>
      </c>
      <c r="M30" t="inlineStr">
        <is>
          <t>數據收益</t>
        </is>
      </c>
      <c r="N30" t="inlineStr">
        <is>
          <t>蘇湘婷</t>
        </is>
      </c>
      <c r="O30" t="inlineStr">
        <is>
          <t>106台北市大安區信義路四段306號7樓</t>
        </is>
      </c>
      <c r="P30" t="inlineStr">
        <is>
          <t>graceting@isurvey.com.tw</t>
        </is>
      </c>
      <c r="Q30" t="inlineStr">
        <is>
          <t>02-27064865#818</t>
        </is>
      </c>
      <c r="R30" t="inlineStr"/>
      <c r="S30" t="inlineStr">
        <is>
          <t>已收款</t>
        </is>
      </c>
      <c r="T30" t="inlineStr">
        <is>
          <t>可開立電子發票
來源：訂閱型發票及收款紀錄 第 31 列</t>
        </is>
      </c>
      <c r="U30" t="inlineStr">
        <is>
          <t>收到發票隔月起算45天</t>
        </is>
      </c>
      <c r="V30" t="inlineStr">
        <is>
          <t>2026-05-18</t>
        </is>
      </c>
    </row>
    <row r="31">
      <c r="A31" t="inlineStr">
        <is>
          <t>inv_3e9ad2630f49</t>
        </is>
      </c>
      <c r="B31" t="inlineStr">
        <is>
          <t>Cobi</t>
        </is>
      </c>
      <c r="C31" t="inlineStr">
        <is>
          <t>2024-05-15</t>
        </is>
      </c>
      <c r="D31" t="inlineStr">
        <is>
          <t>2131291</t>
        </is>
      </c>
      <c r="E31" t="inlineStr">
        <is>
          <t>2024-03-15 00:00:00</t>
        </is>
      </c>
      <c r="F31" t="inlineStr">
        <is>
          <t>2024-03-18</t>
        </is>
      </c>
      <c r="G31" t="inlineStr">
        <is>
          <t>ZD03667387</t>
        </is>
      </c>
      <c r="H31" t="inlineStr">
        <is>
          <t>cus_253c0ef1fab2</t>
        </is>
      </c>
      <c r="I31" t="inlineStr">
        <is>
          <t>東方線上股份有限公司</t>
        </is>
      </c>
      <c r="J31" t="inlineStr">
        <is>
          <t>70570643</t>
        </is>
      </c>
      <c r="K31" t="n">
        <v>285714</v>
      </c>
      <c r="L31" t="n">
        <v>300000</v>
      </c>
      <c r="M31" t="inlineStr">
        <is>
          <t>數據收益</t>
        </is>
      </c>
      <c r="N31" t="inlineStr">
        <is>
          <t>蘇湘婷</t>
        </is>
      </c>
      <c r="O31" t="inlineStr">
        <is>
          <t>106台北市大安區信義路四段306號7樓</t>
        </is>
      </c>
      <c r="P31" t="inlineStr">
        <is>
          <t>graceting@isurvey.com.tw</t>
        </is>
      </c>
      <c r="Q31" t="inlineStr">
        <is>
          <t>02-27064865#818</t>
        </is>
      </c>
      <c r="R31" t="inlineStr"/>
      <c r="S31" t="inlineStr">
        <is>
          <t>已收款</t>
        </is>
      </c>
      <c r="T31" t="inlineStr">
        <is>
          <t>可開立電子發票
來源：訂閱型發票及收款紀錄 第 32 列</t>
        </is>
      </c>
      <c r="U31" t="inlineStr">
        <is>
          <t>收到發票隔月起算45天</t>
        </is>
      </c>
      <c r="V31" t="inlineStr">
        <is>
          <t>2026-05-18</t>
        </is>
      </c>
    </row>
    <row r="32">
      <c r="A32" t="inlineStr">
        <is>
          <t>inv_f6b9d8758311</t>
        </is>
      </c>
      <c r="B32" t="inlineStr">
        <is>
          <t>Cobi</t>
        </is>
      </c>
      <c r="C32" t="inlineStr">
        <is>
          <t>2024-07-15</t>
        </is>
      </c>
      <c r="D32" t="inlineStr">
        <is>
          <t>2210841</t>
        </is>
      </c>
      <c r="E32" t="inlineStr">
        <is>
          <t>2024-05-15 00:00:00</t>
        </is>
      </c>
      <c r="F32" t="inlineStr">
        <is>
          <t>2024-05-15</t>
        </is>
      </c>
      <c r="G32" t="inlineStr">
        <is>
          <t>BD03662761</t>
        </is>
      </c>
      <c r="H32" t="inlineStr">
        <is>
          <t>cus_253c0ef1fab2</t>
        </is>
      </c>
      <c r="I32" t="inlineStr">
        <is>
          <t>東方線上股份有限公司</t>
        </is>
      </c>
      <c r="J32" t="inlineStr">
        <is>
          <t>70570643</t>
        </is>
      </c>
      <c r="K32" t="n">
        <v>285714</v>
      </c>
      <c r="L32" t="n">
        <v>300000</v>
      </c>
      <c r="M32" t="inlineStr">
        <is>
          <t>數據收益</t>
        </is>
      </c>
      <c r="N32" t="inlineStr">
        <is>
          <t>蘇湘婷</t>
        </is>
      </c>
      <c r="O32" t="inlineStr">
        <is>
          <t>106台北市大安區信義路四段306號7樓</t>
        </is>
      </c>
      <c r="P32" t="inlineStr">
        <is>
          <t>graceting@isurvey.com.tw</t>
        </is>
      </c>
      <c r="Q32" t="inlineStr">
        <is>
          <t>02-27064865#818</t>
        </is>
      </c>
      <c r="R32" t="inlineStr"/>
      <c r="S32" t="inlineStr">
        <is>
          <t>已收款</t>
        </is>
      </c>
      <c r="T32" t="inlineStr">
        <is>
          <t>可開立電子發票/2024年起合約價格調漲為180萬(含稅)/年, 於2025年底重新審視(可參考新約內容)
來源：訂閱型發票及收款紀錄 第 33 列</t>
        </is>
      </c>
      <c r="U32" t="inlineStr">
        <is>
          <t>收到發票隔月起算45天</t>
        </is>
      </c>
      <c r="V32" t="inlineStr">
        <is>
          <t>2026-05-18</t>
        </is>
      </c>
    </row>
    <row r="33">
      <c r="A33" t="inlineStr">
        <is>
          <t>inv_0764a54461cf</t>
        </is>
      </c>
      <c r="B33" t="inlineStr">
        <is>
          <t>Cobi</t>
        </is>
      </c>
      <c r="C33" t="inlineStr">
        <is>
          <t>2024-09-16</t>
        </is>
      </c>
      <c r="D33" t="inlineStr">
        <is>
          <t>2302159</t>
        </is>
      </c>
      <c r="E33" t="inlineStr">
        <is>
          <t>2024-07-15 00:00:00</t>
        </is>
      </c>
      <c r="F33" t="inlineStr">
        <is>
          <t>2024-07-17</t>
        </is>
      </c>
      <c r="G33" t="inlineStr">
        <is>
          <t>DC03665229</t>
        </is>
      </c>
      <c r="H33" t="inlineStr">
        <is>
          <t>cus_253c0ef1fab2</t>
        </is>
      </c>
      <c r="I33" t="inlineStr">
        <is>
          <t>東方線上股份有限公司</t>
        </is>
      </c>
      <c r="J33" t="inlineStr">
        <is>
          <t>70570643</t>
        </is>
      </c>
      <c r="K33" t="n">
        <v>285714</v>
      </c>
      <c r="L33" t="n">
        <v>300000</v>
      </c>
      <c r="M33" t="inlineStr">
        <is>
          <t>數據收益</t>
        </is>
      </c>
      <c r="N33" t="inlineStr">
        <is>
          <t>蘇湘婷</t>
        </is>
      </c>
      <c r="O33" t="inlineStr">
        <is>
          <t>106台北市大安區信義路四段306號7樓</t>
        </is>
      </c>
      <c r="P33" t="inlineStr">
        <is>
          <t>graceting@isurvey.com.tw</t>
        </is>
      </c>
      <c r="Q33" t="inlineStr">
        <is>
          <t>02-27064865#818</t>
        </is>
      </c>
      <c r="R33" t="inlineStr"/>
      <c r="S33" t="inlineStr">
        <is>
          <t>已收款</t>
        </is>
      </c>
      <c r="T33" t="inlineStr">
        <is>
          <t>可開立電子發票/2024年起合約價格調漲為180萬(含稅)/年, 於2025年底重新審視(可參考新約內容)
來源：訂閱型發票及收款紀錄 第 34 列</t>
        </is>
      </c>
      <c r="U33" t="inlineStr">
        <is>
          <t>收到發票隔月起算45天</t>
        </is>
      </c>
      <c r="V33" t="inlineStr">
        <is>
          <t>2026-05-18</t>
        </is>
      </c>
    </row>
    <row r="34">
      <c r="A34" t="inlineStr">
        <is>
          <t>inv_4495e2d29af3</t>
        </is>
      </c>
      <c r="B34" t="inlineStr">
        <is>
          <t>Cobi</t>
        </is>
      </c>
      <c r="C34" t="inlineStr">
        <is>
          <t>2024-11-15</t>
        </is>
      </c>
      <c r="D34" t="inlineStr">
        <is>
          <t>2369235</t>
        </is>
      </c>
      <c r="E34" t="inlineStr">
        <is>
          <t>2024-09-15 00:00:00</t>
        </is>
      </c>
      <c r="F34" t="inlineStr">
        <is>
          <t>2024-09-13</t>
        </is>
      </c>
      <c r="G34" t="inlineStr">
        <is>
          <t>FB03658177</t>
        </is>
      </c>
      <c r="H34" t="inlineStr">
        <is>
          <t>cus_253c0ef1fab2</t>
        </is>
      </c>
      <c r="I34" t="inlineStr">
        <is>
          <t>東方線上股份有限公司</t>
        </is>
      </c>
      <c r="J34" t="inlineStr">
        <is>
          <t>70570643</t>
        </is>
      </c>
      <c r="K34" t="n">
        <v>285714</v>
      </c>
      <c r="L34" t="n">
        <v>300000</v>
      </c>
      <c r="M34" t="inlineStr">
        <is>
          <t>數據收益</t>
        </is>
      </c>
      <c r="N34" t="inlineStr">
        <is>
          <t>蘇湘婷</t>
        </is>
      </c>
      <c r="O34" t="inlineStr">
        <is>
          <t>106台北市大安區信義路四段306號7樓</t>
        </is>
      </c>
      <c r="P34" t="inlineStr">
        <is>
          <t>graceting@isurvey.com.tw</t>
        </is>
      </c>
      <c r="Q34" t="inlineStr">
        <is>
          <t>02-27064865#818</t>
        </is>
      </c>
      <c r="R34" t="inlineStr"/>
      <c r="S34" t="inlineStr">
        <is>
          <t>已收款</t>
        </is>
      </c>
      <c r="T34" t="inlineStr">
        <is>
          <t>可開立電子發票/2024年起合約價格調漲為180萬(含稅)/年, 於2025年底重新審視(可參考新約內容)
來源：訂閱型發票及收款紀錄 第 35 列</t>
        </is>
      </c>
      <c r="U34" t="inlineStr">
        <is>
          <t>收到發票隔月起算45天</t>
        </is>
      </c>
      <c r="V34" t="inlineStr">
        <is>
          <t>2026-05-18</t>
        </is>
      </c>
    </row>
    <row r="35">
      <c r="A35" t="inlineStr">
        <is>
          <t>inv_61c1c705f61a</t>
        </is>
      </c>
      <c r="B35" t="inlineStr">
        <is>
          <t>Cobi</t>
        </is>
      </c>
      <c r="C35" t="inlineStr">
        <is>
          <t>2024-12-13</t>
        </is>
      </c>
      <c r="D35" t="inlineStr">
        <is>
          <t>2438779</t>
        </is>
      </c>
      <c r="E35" t="inlineStr">
        <is>
          <t>2024-11-15 00:00:00</t>
        </is>
      </c>
      <c r="F35" t="inlineStr">
        <is>
          <t>2024-11-15</t>
        </is>
      </c>
      <c r="G35" t="inlineStr">
        <is>
          <t>HA03664246</t>
        </is>
      </c>
      <c r="H35" t="inlineStr">
        <is>
          <t>cus_253c0ef1fab2</t>
        </is>
      </c>
      <c r="I35" t="inlineStr">
        <is>
          <t>東方線上股份有限公司</t>
        </is>
      </c>
      <c r="J35" t="inlineStr">
        <is>
          <t>70570643</t>
        </is>
      </c>
      <c r="K35" t="n">
        <v>285714</v>
      </c>
      <c r="L35" t="n">
        <v>300000</v>
      </c>
      <c r="M35" t="inlineStr">
        <is>
          <t>數據收益</t>
        </is>
      </c>
      <c r="N35" t="inlineStr">
        <is>
          <t>蘇湘婷</t>
        </is>
      </c>
      <c r="O35" t="inlineStr">
        <is>
          <t>106台北市大安區信義路四段306號7樓</t>
        </is>
      </c>
      <c r="P35" t="inlineStr">
        <is>
          <t>graceting@isurvey.com.tw</t>
        </is>
      </c>
      <c r="Q35" t="inlineStr">
        <is>
          <t>02-27064865#818</t>
        </is>
      </c>
      <c r="R35" t="inlineStr"/>
      <c r="S35" t="inlineStr">
        <is>
          <t>已收款</t>
        </is>
      </c>
      <c r="T35" t="inlineStr">
        <is>
          <t>可開立電子發票/2024年起合約價格調漲為180萬(含稅)/年, 於2025年底重新審視(可參考新約內容)
來源：訂閱型發票及收款紀錄 第 36 列</t>
        </is>
      </c>
      <c r="U35" t="inlineStr">
        <is>
          <t>收到發票隔月起算45天</t>
        </is>
      </c>
      <c r="V35" t="inlineStr">
        <is>
          <t>2026-05-18</t>
        </is>
      </c>
    </row>
    <row r="36">
      <c r="A36" t="inlineStr">
        <is>
          <t>inv_7f78d5f22743</t>
        </is>
      </c>
      <c r="B36" t="inlineStr">
        <is>
          <t>許瀞鍶</t>
        </is>
      </c>
      <c r="C36" t="inlineStr">
        <is>
          <t>2025-03-14</t>
        </is>
      </c>
      <c r="D36" t="inlineStr">
        <is>
          <t>2501903</t>
        </is>
      </c>
      <c r="E36" t="inlineStr">
        <is>
          <t>2025-01-13 00:00:00</t>
        </is>
      </c>
      <c r="F36" t="inlineStr">
        <is>
          <t>2025-01-13</t>
        </is>
      </c>
      <c r="G36" t="inlineStr">
        <is>
          <t>JY43833655</t>
        </is>
      </c>
      <c r="H36" t="inlineStr">
        <is>
          <t>cus_253c0ef1fab2</t>
        </is>
      </c>
      <c r="I36" t="inlineStr">
        <is>
          <t>東方線上股份有限公司</t>
        </is>
      </c>
      <c r="J36" t="inlineStr">
        <is>
          <t>70570643</t>
        </is>
      </c>
      <c r="K36" t="n">
        <v>285714</v>
      </c>
      <c r="L36" t="n">
        <v>300000</v>
      </c>
      <c r="M36" t="inlineStr">
        <is>
          <t>數據收益</t>
        </is>
      </c>
      <c r="N36" t="inlineStr">
        <is>
          <t>蘇湘婷</t>
        </is>
      </c>
      <c r="O36" t="inlineStr">
        <is>
          <t>106台北市大安區信義路四段306號7樓</t>
        </is>
      </c>
      <c r="P36" t="inlineStr">
        <is>
          <t>graceting@isurvey.com.tw</t>
        </is>
      </c>
      <c r="Q36" t="inlineStr">
        <is>
          <t>02-27064865#818</t>
        </is>
      </c>
      <c r="R36" t="inlineStr"/>
      <c r="S36" t="inlineStr">
        <is>
          <t>已收款</t>
        </is>
      </c>
      <c r="T36" t="inlineStr">
        <is>
          <t>可開立電子發票/2024年起合約價格調漲為180萬(含稅)/年, 於2025年底重新審視(可參考新約內容)
來源：訂閱型發票及收款紀錄 第 37 列</t>
        </is>
      </c>
      <c r="U36" t="inlineStr">
        <is>
          <t>收到發票隔月起算45天</t>
        </is>
      </c>
      <c r="V36" t="inlineStr">
        <is>
          <t>2026-05-18</t>
        </is>
      </c>
    </row>
    <row r="37">
      <c r="A37" t="inlineStr">
        <is>
          <t>inv_75eef31a187e</t>
        </is>
      </c>
      <c r="B37" t="inlineStr">
        <is>
          <t>許瀞鍶</t>
        </is>
      </c>
      <c r="C37" t="inlineStr">
        <is>
          <t>2025-05-15</t>
        </is>
      </c>
      <c r="D37" t="inlineStr">
        <is>
          <t>2565604</t>
        </is>
      </c>
      <c r="E37" t="inlineStr">
        <is>
          <t>2025-03-01 00:00:00</t>
        </is>
      </c>
      <c r="F37" t="inlineStr">
        <is>
          <t>2025-03-17</t>
        </is>
      </c>
      <c r="G37" t="inlineStr">
        <is>
          <t>LY43836519</t>
        </is>
      </c>
      <c r="H37" t="inlineStr">
        <is>
          <t>cus_253c0ef1fab2</t>
        </is>
      </c>
      <c r="I37" t="inlineStr">
        <is>
          <t>東方線上股份有限公司</t>
        </is>
      </c>
      <c r="J37" t="inlineStr">
        <is>
          <t>70570643</t>
        </is>
      </c>
      <c r="K37" t="n">
        <v>285714</v>
      </c>
      <c r="L37" t="n">
        <v>300000</v>
      </c>
      <c r="M37" t="inlineStr">
        <is>
          <t>數據收益</t>
        </is>
      </c>
      <c r="N37" t="inlineStr">
        <is>
          <t>蘇湘婷</t>
        </is>
      </c>
      <c r="O37" t="inlineStr">
        <is>
          <t>106台北市大安區信義路四段306號7樓</t>
        </is>
      </c>
      <c r="P37" t="inlineStr">
        <is>
          <t>graceting@isurvey.com.tw</t>
        </is>
      </c>
      <c r="Q37" t="inlineStr">
        <is>
          <t>02-27064865#818</t>
        </is>
      </c>
      <c r="R37" t="inlineStr"/>
      <c r="S37" t="inlineStr">
        <is>
          <t>已收款</t>
        </is>
      </c>
      <c r="T37" t="inlineStr">
        <is>
          <t>可開立電子發票/2024年起合約價格調漲為180萬(含稅)/年, 於2025年底重新審視(可參考新約內容)
來源：訂閱型發票及收款紀錄 第 38 列</t>
        </is>
      </c>
      <c r="U37" t="inlineStr">
        <is>
          <t>收到發票隔月起算45天</t>
        </is>
      </c>
      <c r="V37" t="inlineStr">
        <is>
          <t>2026-05-18</t>
        </is>
      </c>
    </row>
    <row r="38">
      <c r="A38" t="inlineStr">
        <is>
          <t>inv_93841b541559</t>
        </is>
      </c>
      <c r="B38" t="inlineStr">
        <is>
          <t>許瀞鍶</t>
        </is>
      </c>
      <c r="C38" t="inlineStr">
        <is>
          <t>2025-06-16</t>
        </is>
      </c>
      <c r="D38" t="inlineStr">
        <is>
          <t>2627668</t>
        </is>
      </c>
      <c r="E38" t="inlineStr">
        <is>
          <t>2025-05-01 00:00:00</t>
        </is>
      </c>
      <c r="F38" t="inlineStr">
        <is>
          <t>2025-05-15</t>
        </is>
      </c>
      <c r="G38" t="inlineStr">
        <is>
          <t>NY43836274</t>
        </is>
      </c>
      <c r="H38" t="inlineStr">
        <is>
          <t>cus_253c0ef1fab2</t>
        </is>
      </c>
      <c r="I38" t="inlineStr">
        <is>
          <t>東方線上股份有限公司</t>
        </is>
      </c>
      <c r="J38" t="inlineStr">
        <is>
          <t>70570643</t>
        </is>
      </c>
      <c r="K38" t="n">
        <v>285714</v>
      </c>
      <c r="L38" t="n">
        <v>300000</v>
      </c>
      <c r="M38" t="inlineStr">
        <is>
          <t>數據收益</t>
        </is>
      </c>
      <c r="N38" t="inlineStr">
        <is>
          <t>蘇湘婷</t>
        </is>
      </c>
      <c r="O38" t="inlineStr">
        <is>
          <t>106台北市大安區信義路四段306號7樓</t>
        </is>
      </c>
      <c r="P38" t="inlineStr">
        <is>
          <t>graceting@isurvey.com.tw</t>
        </is>
      </c>
      <c r="Q38" t="inlineStr">
        <is>
          <t>02-27064865#818</t>
        </is>
      </c>
      <c r="R38" t="inlineStr"/>
      <c r="S38" t="inlineStr">
        <is>
          <t>已收款</t>
        </is>
      </c>
      <c r="T38" t="inlineStr">
        <is>
          <t>可開立電子發票/2024年起合約價格調漲為180萬(含稅)/年, 於2025年底重新審視(可參考新約內容)
來源：訂閱型發票及收款紀錄 第 39 列</t>
        </is>
      </c>
      <c r="U38" t="inlineStr">
        <is>
          <t>收到發票隔月起算45天</t>
        </is>
      </c>
      <c r="V38" t="inlineStr">
        <is>
          <t>2026-05-18</t>
        </is>
      </c>
    </row>
    <row r="39">
      <c r="A39" t="inlineStr">
        <is>
          <t>inv_2d419e1d0cef</t>
        </is>
      </c>
      <c r="B39" t="inlineStr">
        <is>
          <t>許瀞鍶</t>
        </is>
      </c>
      <c r="C39" t="inlineStr">
        <is>
          <t>2025-08-15</t>
        </is>
      </c>
      <c r="D39" t="inlineStr">
        <is>
          <t>2698640</t>
        </is>
      </c>
      <c r="E39" t="inlineStr">
        <is>
          <t>2025-07-01 00:00:00</t>
        </is>
      </c>
      <c r="F39" t="inlineStr">
        <is>
          <t>2025-07-15</t>
        </is>
      </c>
      <c r="G39" t="inlineStr"/>
      <c r="H39" t="inlineStr">
        <is>
          <t>cus_253c0ef1fab2</t>
        </is>
      </c>
      <c r="I39" t="inlineStr">
        <is>
          <t>東方線上股份有限公司</t>
        </is>
      </c>
      <c r="J39" t="inlineStr">
        <is>
          <t>70570643</t>
        </is>
      </c>
      <c r="K39" t="n">
        <v>285714</v>
      </c>
      <c r="L39" t="n">
        <v>300000</v>
      </c>
      <c r="M39" t="inlineStr">
        <is>
          <t>數據收益</t>
        </is>
      </c>
      <c r="N39" t="inlineStr">
        <is>
          <t>蘇湘婷</t>
        </is>
      </c>
      <c r="O39" t="inlineStr">
        <is>
          <t>106台北市大安區信義路四段306號7樓</t>
        </is>
      </c>
      <c r="P39" t="inlineStr">
        <is>
          <t>graceting@isurvey.com.tw</t>
        </is>
      </c>
      <c r="Q39" t="inlineStr">
        <is>
          <t>02-27064865#818</t>
        </is>
      </c>
      <c r="R39" t="inlineStr"/>
      <c r="S39" t="inlineStr">
        <is>
          <t>已收款</t>
        </is>
      </c>
      <c r="T39" t="inlineStr">
        <is>
          <t>可開立電子發票/2024年起合約價格調漲為180萬(含稅)/年, 於2025年底重新審視(可參考新約內容)
來源：訂閱型發票及收款紀錄 第 40 列</t>
        </is>
      </c>
      <c r="U39" t="inlineStr">
        <is>
          <t>收到發票隔月起算45天</t>
        </is>
      </c>
      <c r="V39" t="inlineStr">
        <is>
          <t>2026-05-18</t>
        </is>
      </c>
    </row>
    <row r="40">
      <c r="A40" t="inlineStr">
        <is>
          <t>inv_02a8facfcb70</t>
        </is>
      </c>
      <c r="B40" t="inlineStr">
        <is>
          <t>許瀞鍶</t>
        </is>
      </c>
      <c r="C40" t="inlineStr">
        <is>
          <t>2025-10-15</t>
        </is>
      </c>
      <c r="D40" t="inlineStr">
        <is>
          <t>2735153</t>
        </is>
      </c>
      <c r="E40" t="inlineStr">
        <is>
          <t>2025-08-01 00:00:00</t>
        </is>
      </c>
      <c r="F40" t="inlineStr">
        <is>
          <t>2025-08-15</t>
        </is>
      </c>
      <c r="G40" t="inlineStr"/>
      <c r="H40" t="inlineStr">
        <is>
          <t>cus_253c0ef1fab2</t>
        </is>
      </c>
      <c r="I40" t="inlineStr">
        <is>
          <t>東方線上股份有限公司</t>
        </is>
      </c>
      <c r="J40" t="inlineStr">
        <is>
          <t>70570643</t>
        </is>
      </c>
      <c r="K40" t="n">
        <v>285714</v>
      </c>
      <c r="L40" t="n">
        <v>300000</v>
      </c>
      <c r="M40" t="inlineStr">
        <is>
          <t>數據收益</t>
        </is>
      </c>
      <c r="N40" t="inlineStr">
        <is>
          <t>蘇湘婷</t>
        </is>
      </c>
      <c r="O40" t="inlineStr">
        <is>
          <t>106台北市大安區信義路四段306號7樓</t>
        </is>
      </c>
      <c r="P40" t="inlineStr">
        <is>
          <t>graceting@isurvey.com.tw</t>
        </is>
      </c>
      <c r="Q40" t="inlineStr">
        <is>
          <t>02-27064865#818</t>
        </is>
      </c>
      <c r="R40" t="inlineStr"/>
      <c r="S40" t="inlineStr">
        <is>
          <t>已收款</t>
        </is>
      </c>
      <c r="T40" t="inlineStr">
        <is>
          <t>可開立電子發票/2024年起合約價格調漲為180萬(含稅)/年, 於2025年底重新審視(可參考新約內容)
來源：訂閱型發票及收款紀錄 第 41 列</t>
        </is>
      </c>
      <c r="U40" t="inlineStr">
        <is>
          <t>收到發票隔月起算45天</t>
        </is>
      </c>
      <c r="V40" t="inlineStr">
        <is>
          <t>2026-05-18</t>
        </is>
      </c>
    </row>
    <row r="41">
      <c r="A41" t="inlineStr">
        <is>
          <t>inv_0287ed41a1ed</t>
        </is>
      </c>
      <c r="B41" t="inlineStr">
        <is>
          <t>許瀞鍶</t>
        </is>
      </c>
      <c r="C41" t="inlineStr">
        <is>
          <t>2026-01-16</t>
        </is>
      </c>
      <c r="D41" t="inlineStr">
        <is>
          <t>2844621</t>
        </is>
      </c>
      <c r="E41" t="inlineStr">
        <is>
          <t>2025-11-01 00:00:00</t>
        </is>
      </c>
      <c r="F41" t="inlineStr">
        <is>
          <t>2025-11-15</t>
        </is>
      </c>
      <c r="G41" t="inlineStr"/>
      <c r="H41" t="inlineStr">
        <is>
          <t>cus_253c0ef1fab2</t>
        </is>
      </c>
      <c r="I41" t="inlineStr">
        <is>
          <t>東方線上股份有限公司</t>
        </is>
      </c>
      <c r="J41" t="inlineStr">
        <is>
          <t>70570643</t>
        </is>
      </c>
      <c r="K41" t="n">
        <v>285714</v>
      </c>
      <c r="L41" t="n">
        <v>300000</v>
      </c>
      <c r="M41" t="inlineStr">
        <is>
          <t>數據收益</t>
        </is>
      </c>
      <c r="N41" t="inlineStr">
        <is>
          <t>蘇湘婷</t>
        </is>
      </c>
      <c r="O41" t="inlineStr">
        <is>
          <t>106台北市大安區信義路四段306號7樓</t>
        </is>
      </c>
      <c r="P41" t="inlineStr">
        <is>
          <t>graceting@isurvey.com.tw</t>
        </is>
      </c>
      <c r="Q41" t="inlineStr">
        <is>
          <t>02-27064865#818</t>
        </is>
      </c>
      <c r="R41" t="inlineStr"/>
      <c r="S41" t="inlineStr">
        <is>
          <t>已收款</t>
        </is>
      </c>
      <c r="T41" t="inlineStr">
        <is>
          <t>可開立電子發票/2024年起合約價格調漲為180萬(含稅)/年, 於2026年初重新審視(可參考新約內容)
來源：訂閱型發票及收款紀錄 第 42 列</t>
        </is>
      </c>
      <c r="U41" t="inlineStr">
        <is>
          <t>收到發票隔月起算45天</t>
        </is>
      </c>
      <c r="V41" t="inlineStr">
        <is>
          <t>2026-05-18</t>
        </is>
      </c>
    </row>
    <row r="42">
      <c r="A42" t="inlineStr">
        <is>
          <t>inv_70066f7b49aa</t>
        </is>
      </c>
      <c r="B42" t="inlineStr">
        <is>
          <t>許瀞鍶</t>
        </is>
      </c>
      <c r="C42" t="inlineStr">
        <is>
          <t>2026-03-16</t>
        </is>
      </c>
      <c r="D42" t="inlineStr">
        <is>
          <t>2916257</t>
        </is>
      </c>
      <c r="E42" t="inlineStr">
        <is>
          <t>2026-01-01 00:00:00</t>
        </is>
      </c>
      <c r="F42" t="inlineStr">
        <is>
          <t>2026-01-15</t>
        </is>
      </c>
      <c r="G42" t="inlineStr"/>
      <c r="H42" t="inlineStr">
        <is>
          <t>cus_253c0ef1fab2</t>
        </is>
      </c>
      <c r="I42" t="inlineStr">
        <is>
          <t>東方線上股份有限公司</t>
        </is>
      </c>
      <c r="J42" t="inlineStr">
        <is>
          <t>70570643</t>
        </is>
      </c>
      <c r="K42" t="n">
        <v>285714</v>
      </c>
      <c r="L42" t="n">
        <v>300000</v>
      </c>
      <c r="M42" t="inlineStr">
        <is>
          <t>數據收益</t>
        </is>
      </c>
      <c r="N42" t="inlineStr">
        <is>
          <t>蘇湘婷</t>
        </is>
      </c>
      <c r="O42" t="inlineStr">
        <is>
          <t>106台北市大安區信義路四段306號7樓</t>
        </is>
      </c>
      <c r="P42" t="inlineStr">
        <is>
          <t>graceting@isurvey.com.tw</t>
        </is>
      </c>
      <c r="Q42" t="inlineStr">
        <is>
          <t>02-27064865#818</t>
        </is>
      </c>
      <c r="R42" t="inlineStr"/>
      <c r="S42" t="inlineStr">
        <is>
          <t>已收款</t>
        </is>
      </c>
      <c r="T42" t="inlineStr">
        <is>
          <t>可開立電子發票/2024年起合約價格調漲為180萬(含稅)/年, 於2026年初重新審視(可參考新約內容)
202511-202512
來源：訂閱型發票及收款紀錄 第 43 列</t>
        </is>
      </c>
      <c r="U42" t="inlineStr">
        <is>
          <t>收到發票隔月起算45天</t>
        </is>
      </c>
      <c r="V42" t="inlineStr">
        <is>
          <t>2026-05-18</t>
        </is>
      </c>
    </row>
    <row r="43">
      <c r="A43" t="inlineStr">
        <is>
          <t>inv_1af2505caf8c</t>
        </is>
      </c>
      <c r="B43" t="inlineStr">
        <is>
          <t>許瀞鍶</t>
        </is>
      </c>
      <c r="C43" t="inlineStr">
        <is>
          <t>2026-04-15</t>
        </is>
      </c>
      <c r="D43" t="inlineStr">
        <is>
          <t>2978925</t>
        </is>
      </c>
      <c r="E43" t="inlineStr">
        <is>
          <t>2026-03-01 00:00:00</t>
        </is>
      </c>
      <c r="F43" t="inlineStr">
        <is>
          <t>2026-03-13</t>
        </is>
      </c>
      <c r="G43" t="inlineStr"/>
      <c r="H43" t="inlineStr">
        <is>
          <t>cus_253c0ef1fab2</t>
        </is>
      </c>
      <c r="I43" t="inlineStr">
        <is>
          <t>東方線上股份有限公司</t>
        </is>
      </c>
      <c r="J43" t="inlineStr">
        <is>
          <t>70570643</t>
        </is>
      </c>
      <c r="K43" t="n">
        <v>285714</v>
      </c>
      <c r="L43" t="n">
        <v>300000</v>
      </c>
      <c r="M43" t="inlineStr">
        <is>
          <t>數據收益</t>
        </is>
      </c>
      <c r="N43" t="inlineStr">
        <is>
          <t>蘇湘婷</t>
        </is>
      </c>
      <c r="O43" t="inlineStr">
        <is>
          <t>106台北市大安區信義路四段306號7樓</t>
        </is>
      </c>
      <c r="P43" t="inlineStr">
        <is>
          <t>graceting@isurvey.com.tw</t>
        </is>
      </c>
      <c r="Q43" t="inlineStr">
        <is>
          <t>02-27064865#818</t>
        </is>
      </c>
      <c r="R43" t="inlineStr"/>
      <c r="S43" t="inlineStr">
        <is>
          <t>已收款</t>
        </is>
      </c>
      <c r="T43" t="inlineStr">
        <is>
          <t>可開立電子發票/2024年起合約價格調漲為180萬(含稅)/年, 於2026年初重新審視(可參考新約內容)
202601-202602
來源：訂閱型發票及收款紀錄 第 44 列</t>
        </is>
      </c>
      <c r="U43" t="inlineStr">
        <is>
          <t>收到發票隔月起算45天</t>
        </is>
      </c>
      <c r="V43" t="inlineStr">
        <is>
          <t>2026-05-18</t>
        </is>
      </c>
    </row>
    <row r="44">
      <c r="A44" t="inlineStr">
        <is>
          <t>inv_31145328f19f</t>
        </is>
      </c>
      <c r="B44" t="inlineStr">
        <is>
          <t>Cobi</t>
        </is>
      </c>
      <c r="C44" t="inlineStr"/>
      <c r="D44" t="inlineStr"/>
      <c r="E44" t="inlineStr">
        <is>
          <t>2026-05-01 00:00:00</t>
        </is>
      </c>
      <c r="F44" t="inlineStr"/>
      <c r="G44" t="inlineStr"/>
      <c r="H44" t="inlineStr">
        <is>
          <t>cus_253c0ef1fab2</t>
        </is>
      </c>
      <c r="I44" t="inlineStr">
        <is>
          <t>東方線上股份有限公司</t>
        </is>
      </c>
      <c r="J44" t="inlineStr">
        <is>
          <t>70570643</t>
        </is>
      </c>
      <c r="K44" t="n">
        <v>285714</v>
      </c>
      <c r="L44" t="n">
        <v>300000</v>
      </c>
      <c r="M44" t="inlineStr">
        <is>
          <t>數據收益</t>
        </is>
      </c>
      <c r="N44" t="inlineStr">
        <is>
          <t>蘇湘婷</t>
        </is>
      </c>
      <c r="O44" t="inlineStr">
        <is>
          <t>106台北市大安區信義路四段306號7樓</t>
        </is>
      </c>
      <c r="P44" t="inlineStr">
        <is>
          <t>graceting@isurvey.com.tw</t>
        </is>
      </c>
      <c r="Q44" t="inlineStr">
        <is>
          <t>02-27064865#818</t>
        </is>
      </c>
      <c r="R44" t="inlineStr"/>
      <c r="S44" t="inlineStr">
        <is>
          <t>未收款</t>
        </is>
      </c>
      <c r="T44" t="inlineStr">
        <is>
          <t>可開立電子發票/2024年起合約價格調漲為180萬(含稅)/年, 於2026年初重新審視(可參考新約內容)
202601-202602
來源：訂閱型發票及收款紀錄 第 45 列</t>
        </is>
      </c>
      <c r="U44" t="inlineStr">
        <is>
          <t>收到發票隔月起算45天</t>
        </is>
      </c>
      <c r="V44" t="inlineStr">
        <is>
          <t>2026-05-18</t>
        </is>
      </c>
    </row>
    <row r="45">
      <c r="A45" t="inlineStr">
        <is>
          <t>inv_cefeae786005</t>
        </is>
      </c>
      <c r="B45" t="inlineStr">
        <is>
          <t>Cobi</t>
        </is>
      </c>
      <c r="C45" t="inlineStr"/>
      <c r="D45" t="inlineStr"/>
      <c r="E45" t="inlineStr">
        <is>
          <t>2026-07-01 00:00:00</t>
        </is>
      </c>
      <c r="F45" t="inlineStr"/>
      <c r="G45" t="inlineStr"/>
      <c r="H45" t="inlineStr">
        <is>
          <t>cus_253c0ef1fab2</t>
        </is>
      </c>
      <c r="I45" t="inlineStr">
        <is>
          <t>東方線上股份有限公司</t>
        </is>
      </c>
      <c r="J45" t="inlineStr">
        <is>
          <t>70570643</t>
        </is>
      </c>
      <c r="K45" t="n">
        <v>285714</v>
      </c>
      <c r="L45" t="n">
        <v>300000</v>
      </c>
      <c r="M45" t="inlineStr">
        <is>
          <t>數據收益</t>
        </is>
      </c>
      <c r="N45" t="inlineStr">
        <is>
          <t>蘇湘婷</t>
        </is>
      </c>
      <c r="O45" t="inlineStr">
        <is>
          <t>106台北市大安區信義路四段306號7樓</t>
        </is>
      </c>
      <c r="P45" t="inlineStr">
        <is>
          <t>graceting@isurvey.com.tw</t>
        </is>
      </c>
      <c r="Q45" t="inlineStr">
        <is>
          <t>02-27064865#818</t>
        </is>
      </c>
      <c r="R45" t="inlineStr"/>
      <c r="S45" t="inlineStr">
        <is>
          <t>未收款</t>
        </is>
      </c>
      <c r="T45" t="inlineStr">
        <is>
          <t>可開立電子發票/2024年起合約價格調漲為180萬(含稅)/年, 於2026年初重新審視(可參考新約內容)
202601-202602
來源：訂閱型發票及收款紀錄 第 46 列</t>
        </is>
      </c>
      <c r="U45" t="inlineStr">
        <is>
          <t>收到發票隔月起算45天</t>
        </is>
      </c>
      <c r="V45" t="inlineStr">
        <is>
          <t>2026-05-18</t>
        </is>
      </c>
    </row>
    <row r="46">
      <c r="A46" t="inlineStr">
        <is>
          <t>inv_b869c3c8513e</t>
        </is>
      </c>
      <c r="B46" t="inlineStr">
        <is>
          <t>慶文</t>
        </is>
      </c>
      <c r="C46" t="inlineStr">
        <is>
          <t>2021-08-25</t>
        </is>
      </c>
      <c r="D46" t="inlineStr">
        <is>
          <t>B00064</t>
        </is>
      </c>
      <c r="E46" t="inlineStr">
        <is>
          <t>2021-07-15 00:00:00</t>
        </is>
      </c>
      <c r="F46" t="inlineStr">
        <is>
          <t>2021-07-16</t>
        </is>
      </c>
      <c r="G46" t="inlineStr">
        <is>
          <t>QY78133365</t>
        </is>
      </c>
      <c r="H46" t="inlineStr">
        <is>
          <t>cus_96ae9740e12a</t>
        </is>
      </c>
      <c r="I46" t="inlineStr">
        <is>
          <t>紅門互動股份有限公司</t>
        </is>
      </c>
      <c r="J46" t="inlineStr">
        <is>
          <t>53278454</t>
        </is>
      </c>
      <c r="K46" t="n">
        <v>100000</v>
      </c>
      <c r="L46" t="n">
        <v>105000</v>
      </c>
      <c r="M46" t="inlineStr">
        <is>
          <t>數據收益</t>
        </is>
      </c>
      <c r="N46" t="inlineStr">
        <is>
          <t>游子昀(Lilyan)</t>
        </is>
      </c>
      <c r="O46" t="inlineStr">
        <is>
          <t>105407台北市松山區南京東路四段126號11 樓之1</t>
        </is>
      </c>
      <c r="P46" t="inlineStr">
        <is>
          <t>finance@reddoor.com.tw</t>
        </is>
      </c>
      <c r="Q46" t="inlineStr">
        <is>
          <t>(02) 2570-8111#2801</t>
        </is>
      </c>
      <c r="R46" t="inlineStr"/>
      <c r="S46" t="inlineStr">
        <is>
          <t>已收款</t>
        </is>
      </c>
      <c r="T46" t="inlineStr">
        <is>
          <t>202106.0
來源：訂閱型發票及收款紀錄 第 48 列</t>
        </is>
      </c>
      <c r="U46" t="inlineStr">
        <is>
          <t>預計8/25入帳</t>
        </is>
      </c>
      <c r="V46" t="inlineStr">
        <is>
          <t>2026-05-18</t>
        </is>
      </c>
    </row>
    <row r="47">
      <c r="A47" t="inlineStr">
        <is>
          <t>inv_d589d1ac8ea5</t>
        </is>
      </c>
      <c r="B47" t="inlineStr">
        <is>
          <t>慶文</t>
        </is>
      </c>
      <c r="C47" t="inlineStr">
        <is>
          <t>2021-09-27</t>
        </is>
      </c>
      <c r="D47" t="inlineStr">
        <is>
          <t>1020567</t>
        </is>
      </c>
      <c r="E47" t="inlineStr">
        <is>
          <t>2021-08-15 00:00:00</t>
        </is>
      </c>
      <c r="F47" t="inlineStr">
        <is>
          <t>2021-08-26</t>
        </is>
      </c>
      <c r="G47" t="inlineStr">
        <is>
          <t>QY78175180</t>
        </is>
      </c>
      <c r="H47" t="inlineStr">
        <is>
          <t>cus_96ae9740e12a</t>
        </is>
      </c>
      <c r="I47" t="inlineStr">
        <is>
          <t>紅門互動股份有限公司</t>
        </is>
      </c>
      <c r="J47" t="inlineStr">
        <is>
          <t>53278454</t>
        </is>
      </c>
      <c r="K47" t="n">
        <v>100000</v>
      </c>
      <c r="L47" t="n">
        <v>105000</v>
      </c>
      <c r="M47" t="inlineStr">
        <is>
          <t>數據收益</t>
        </is>
      </c>
      <c r="N47" t="inlineStr">
        <is>
          <t>游子昀(Lilyan)</t>
        </is>
      </c>
      <c r="O47" t="inlineStr">
        <is>
          <t>105407台北市松山區南京東路四段126號11 樓之1</t>
        </is>
      </c>
      <c r="P47" t="inlineStr">
        <is>
          <t>finance@reddoor.com.tw</t>
        </is>
      </c>
      <c r="Q47" t="inlineStr">
        <is>
          <t>(02) 2570-8111#2801</t>
        </is>
      </c>
      <c r="R47" t="inlineStr"/>
      <c r="S47" t="inlineStr">
        <is>
          <t>已收款</t>
        </is>
      </c>
      <c r="T47" t="inlineStr">
        <is>
          <t>202107.0
來源：訂閱型發票及收款紀錄 第 49 列</t>
        </is>
      </c>
      <c r="U47" t="inlineStr">
        <is>
          <t>預計9/25入帳</t>
        </is>
      </c>
      <c r="V47" t="inlineStr">
        <is>
          <t>2026-05-18</t>
        </is>
      </c>
    </row>
    <row r="48">
      <c r="A48" t="inlineStr">
        <is>
          <t>inv_dd9b06f2228e</t>
        </is>
      </c>
      <c r="B48" t="inlineStr">
        <is>
          <t>慶文</t>
        </is>
      </c>
      <c r="C48" t="inlineStr">
        <is>
          <t>2021-10-25</t>
        </is>
      </c>
      <c r="D48" t="inlineStr">
        <is>
          <t>1043912</t>
        </is>
      </c>
      <c r="E48" t="inlineStr">
        <is>
          <t>2021-09-15 00:00:00</t>
        </is>
      </c>
      <c r="F48" t="inlineStr">
        <is>
          <t>2021-09-18</t>
        </is>
      </c>
      <c r="G48" t="inlineStr">
        <is>
          <t>ST78135215</t>
        </is>
      </c>
      <c r="H48" t="inlineStr">
        <is>
          <t>cus_96ae9740e12a</t>
        </is>
      </c>
      <c r="I48" t="inlineStr">
        <is>
          <t>紅門互動股份有限公司</t>
        </is>
      </c>
      <c r="J48" t="inlineStr">
        <is>
          <t>53278454</t>
        </is>
      </c>
      <c r="K48" t="n">
        <v>100000</v>
      </c>
      <c r="L48" t="n">
        <v>105000</v>
      </c>
      <c r="M48" t="inlineStr">
        <is>
          <t>數據收益</t>
        </is>
      </c>
      <c r="N48" t="inlineStr">
        <is>
          <t>游子昀(Lilyan)</t>
        </is>
      </c>
      <c r="O48" t="inlineStr">
        <is>
          <t>105407台北市松山區南京東路四段126號11 樓之1</t>
        </is>
      </c>
      <c r="P48" t="inlineStr">
        <is>
          <t>finance@reddoor.com.tw</t>
        </is>
      </c>
      <c r="Q48" t="inlineStr">
        <is>
          <t>(02) 2570-8111#2801</t>
        </is>
      </c>
      <c r="R48" t="inlineStr"/>
      <c r="S48" t="inlineStr">
        <is>
          <t>已收款</t>
        </is>
      </c>
      <c r="T48" t="inlineStr">
        <is>
          <t>202108.0
來源：訂閱型發票及收款紀錄 第 50 列</t>
        </is>
      </c>
      <c r="U48" t="inlineStr">
        <is>
          <t>預計10/25入帳</t>
        </is>
      </c>
      <c r="V48" t="inlineStr">
        <is>
          <t>2026-05-18</t>
        </is>
      </c>
    </row>
    <row r="49">
      <c r="A49" t="inlineStr">
        <is>
          <t>inv_acacbf1baec1</t>
        </is>
      </c>
      <c r="B49" t="inlineStr">
        <is>
          <t>慶文</t>
        </is>
      </c>
      <c r="C49" t="inlineStr">
        <is>
          <t>2021-11-25</t>
        </is>
      </c>
      <c r="D49" t="inlineStr">
        <is>
          <t>1074750</t>
        </is>
      </c>
      <c r="E49" t="inlineStr">
        <is>
          <t>2021-10-15 00:00:00</t>
        </is>
      </c>
      <c r="F49" t="inlineStr">
        <is>
          <t>2021-10-19</t>
        </is>
      </c>
      <c r="G49" t="inlineStr">
        <is>
          <t>ST78163008</t>
        </is>
      </c>
      <c r="H49" t="inlineStr">
        <is>
          <t>cus_96ae9740e12a</t>
        </is>
      </c>
      <c r="I49" t="inlineStr">
        <is>
          <t>紅門互動股份有限公司</t>
        </is>
      </c>
      <c r="J49" t="inlineStr">
        <is>
          <t>53278454</t>
        </is>
      </c>
      <c r="K49" t="n">
        <v>100000</v>
      </c>
      <c r="L49" t="n">
        <v>105000</v>
      </c>
      <c r="M49" t="inlineStr">
        <is>
          <t>數據收益</t>
        </is>
      </c>
      <c r="N49" t="inlineStr">
        <is>
          <t>游子昀(Lilyan)</t>
        </is>
      </c>
      <c r="O49" t="inlineStr">
        <is>
          <t>105407台北市松山區南京東路四段126號11 樓之1</t>
        </is>
      </c>
      <c r="P49" t="inlineStr">
        <is>
          <t>finance@reddoor.com.tw</t>
        </is>
      </c>
      <c r="Q49" t="inlineStr">
        <is>
          <t>(02) 2570-8111#2801</t>
        </is>
      </c>
      <c r="R49" t="inlineStr"/>
      <c r="S49" t="inlineStr">
        <is>
          <t>已收款</t>
        </is>
      </c>
      <c r="T49" t="inlineStr">
        <is>
          <t>202109.0
來源：訂閱型發票及收款紀錄 第 51 列</t>
        </is>
      </c>
      <c r="U49" t="inlineStr">
        <is>
          <t>預計11/25入帳</t>
        </is>
      </c>
      <c r="V49" t="inlineStr">
        <is>
          <t>2026-05-18</t>
        </is>
      </c>
    </row>
    <row r="50">
      <c r="A50" t="inlineStr">
        <is>
          <t>inv_f49f2bd102b3</t>
        </is>
      </c>
      <c r="B50" t="inlineStr">
        <is>
          <t>慶文</t>
        </is>
      </c>
      <c r="C50" t="inlineStr">
        <is>
          <t>2021-12-27</t>
        </is>
      </c>
      <c r="D50" t="inlineStr">
        <is>
          <t>1116376</t>
        </is>
      </c>
      <c r="E50" t="inlineStr">
        <is>
          <t>2021-11-15 00:00:00</t>
        </is>
      </c>
      <c r="F50" t="inlineStr">
        <is>
          <t>2021-11-18</t>
        </is>
      </c>
      <c r="G50" t="inlineStr">
        <is>
          <t>UN78146276</t>
        </is>
      </c>
      <c r="H50" t="inlineStr">
        <is>
          <t>cus_96ae9740e12a</t>
        </is>
      </c>
      <c r="I50" t="inlineStr">
        <is>
          <t>紅門互動股份有限公司</t>
        </is>
      </c>
      <c r="J50" t="inlineStr">
        <is>
          <t>53278454</t>
        </is>
      </c>
      <c r="K50" t="n">
        <v>100000</v>
      </c>
      <c r="L50" t="n">
        <v>105000</v>
      </c>
      <c r="M50" t="inlineStr">
        <is>
          <t>數據收益</t>
        </is>
      </c>
      <c r="N50" t="inlineStr">
        <is>
          <t>游子昀(Lilyan)</t>
        </is>
      </c>
      <c r="O50" t="inlineStr">
        <is>
          <t>105407台北市松山區南京東路四段126號11 樓之1</t>
        </is>
      </c>
      <c r="P50" t="inlineStr">
        <is>
          <t>finance@reddoor.com.tw</t>
        </is>
      </c>
      <c r="Q50" t="inlineStr">
        <is>
          <t>(02) 2570-8111#2801</t>
        </is>
      </c>
      <c r="R50" t="inlineStr"/>
      <c r="S50" t="inlineStr">
        <is>
          <t>已收款</t>
        </is>
      </c>
      <c r="T50" t="inlineStr">
        <is>
          <t>202110.0
來源：訂閱型發票及收款紀錄 第 52 列</t>
        </is>
      </c>
      <c r="U50" t="inlineStr">
        <is>
          <t>預計12/25入帳</t>
        </is>
      </c>
      <c r="V50" t="inlineStr">
        <is>
          <t>2026-05-18</t>
        </is>
      </c>
    </row>
    <row r="51">
      <c r="A51" t="inlineStr">
        <is>
          <t>inv_547898363031</t>
        </is>
      </c>
      <c r="B51" t="inlineStr">
        <is>
          <t>慶文</t>
        </is>
      </c>
      <c r="C51" t="inlineStr">
        <is>
          <t>2022-01-25</t>
        </is>
      </c>
      <c r="D51" t="inlineStr">
        <is>
          <t>1132393</t>
        </is>
      </c>
      <c r="E51" t="inlineStr">
        <is>
          <t>2021-12-15 00:00:00</t>
        </is>
      </c>
      <c r="F51" t="inlineStr">
        <is>
          <t>2021-12-02</t>
        </is>
      </c>
      <c r="G51" t="inlineStr">
        <is>
          <t>UN78160906</t>
        </is>
      </c>
      <c r="H51" t="inlineStr">
        <is>
          <t>cus_96ae9740e12a</t>
        </is>
      </c>
      <c r="I51" t="inlineStr">
        <is>
          <t>紅門互動股份有限公司</t>
        </is>
      </c>
      <c r="J51" t="inlineStr">
        <is>
          <t>53278454</t>
        </is>
      </c>
      <c r="K51" t="n">
        <v>100000</v>
      </c>
      <c r="L51" t="n">
        <v>105000</v>
      </c>
      <c r="M51" t="inlineStr">
        <is>
          <t>數據收益</t>
        </is>
      </c>
      <c r="N51" t="inlineStr">
        <is>
          <t>游子昀(Lilyan)</t>
        </is>
      </c>
      <c r="O51" t="inlineStr">
        <is>
          <t>105407台北市松山區南京東路四段126號11 樓之1</t>
        </is>
      </c>
      <c r="P51" t="inlineStr">
        <is>
          <t>finance@reddoor.com.tw</t>
        </is>
      </c>
      <c r="Q51" t="inlineStr">
        <is>
          <t>(02) 2570-8111#2801</t>
        </is>
      </c>
      <c r="R51" t="inlineStr"/>
      <c r="S51" t="inlineStr">
        <is>
          <t>已收款</t>
        </is>
      </c>
      <c r="T51" t="inlineStr">
        <is>
          <t>202111.0
來源：訂閱型發票及收款紀錄 第 53 列</t>
        </is>
      </c>
      <c r="U51" t="inlineStr">
        <is>
          <t>預計2022/1/25入帳</t>
        </is>
      </c>
      <c r="V51" t="inlineStr">
        <is>
          <t>2026-05-18</t>
        </is>
      </c>
    </row>
    <row r="52">
      <c r="A52" t="inlineStr">
        <is>
          <t>inv_8fb401425a6a</t>
        </is>
      </c>
      <c r="B52" t="inlineStr">
        <is>
          <t>慶文</t>
        </is>
      </c>
      <c r="C52" t="inlineStr">
        <is>
          <t>2022-02-25</t>
        </is>
      </c>
      <c r="D52" t="inlineStr">
        <is>
          <t>1232598</t>
        </is>
      </c>
      <c r="E52" t="inlineStr">
        <is>
          <t>2022-01-15 00:00:00</t>
        </is>
      </c>
      <c r="F52" t="inlineStr">
        <is>
          <t>2022-02-15</t>
        </is>
      </c>
      <c r="G52" t="inlineStr">
        <is>
          <t>WS70170076</t>
        </is>
      </c>
      <c r="H52" t="inlineStr">
        <is>
          <t>cus_96ae9740e12a</t>
        </is>
      </c>
      <c r="I52" t="inlineStr">
        <is>
          <t>紅門互動股份有限公司</t>
        </is>
      </c>
      <c r="J52" t="inlineStr">
        <is>
          <t>53278454</t>
        </is>
      </c>
      <c r="K52" t="n">
        <v>100000</v>
      </c>
      <c r="L52" t="n">
        <v>105000</v>
      </c>
      <c r="M52" t="inlineStr">
        <is>
          <t>數據收益</t>
        </is>
      </c>
      <c r="N52" t="inlineStr">
        <is>
          <t>游子昀(Lilyan)</t>
        </is>
      </c>
      <c r="O52" t="inlineStr">
        <is>
          <t>105407台北市松山區南京東路四段126號11 樓之1</t>
        </is>
      </c>
      <c r="P52" t="inlineStr">
        <is>
          <t>finance@reddoor.com.tw</t>
        </is>
      </c>
      <c r="Q52" t="inlineStr">
        <is>
          <t>(02) 2570-8111#2801</t>
        </is>
      </c>
      <c r="R52" t="inlineStr"/>
      <c r="S52" t="inlineStr">
        <is>
          <t>已收款</t>
        </is>
      </c>
      <c r="T52" t="inlineStr">
        <is>
          <t>202112.0
來源：訂閱型發票及收款紀錄 第 54 列</t>
        </is>
      </c>
      <c r="U52" t="inlineStr">
        <is>
          <t>預計2022/2/25入帳</t>
        </is>
      </c>
      <c r="V52" t="inlineStr">
        <is>
          <t>2026-05-18</t>
        </is>
      </c>
    </row>
    <row r="53">
      <c r="A53" t="inlineStr">
        <is>
          <t>inv_a02c0dd58b10</t>
        </is>
      </c>
      <c r="B53" t="inlineStr">
        <is>
          <t>慶文</t>
        </is>
      </c>
      <c r="C53" t="inlineStr">
        <is>
          <t>2022-03-25</t>
        </is>
      </c>
      <c r="D53" t="inlineStr">
        <is>
          <t>1232599</t>
        </is>
      </c>
      <c r="E53" t="inlineStr">
        <is>
          <t>2022-02-15 00:00:00</t>
        </is>
      </c>
      <c r="F53" t="inlineStr">
        <is>
          <t>2022-02-15</t>
        </is>
      </c>
      <c r="G53" t="inlineStr">
        <is>
          <t>WS70170077</t>
        </is>
      </c>
      <c r="H53" t="inlineStr">
        <is>
          <t>cus_96ae9740e12a</t>
        </is>
      </c>
      <c r="I53" t="inlineStr">
        <is>
          <t>紅門互動股份有限公司</t>
        </is>
      </c>
      <c r="J53" t="inlineStr">
        <is>
          <t>53278454</t>
        </is>
      </c>
      <c r="K53" t="n">
        <v>100000</v>
      </c>
      <c r="L53" t="n">
        <v>105000</v>
      </c>
      <c r="M53" t="inlineStr">
        <is>
          <t>數據收益</t>
        </is>
      </c>
      <c r="N53" t="inlineStr">
        <is>
          <t>游子昀(Lilyan)</t>
        </is>
      </c>
      <c r="O53" t="inlineStr">
        <is>
          <t>105407台北市松山區南京東路四段126號11 樓之1</t>
        </is>
      </c>
      <c r="P53" t="inlineStr">
        <is>
          <t>finance@reddoor.com.tw</t>
        </is>
      </c>
      <c r="Q53" t="inlineStr">
        <is>
          <t>(02) 2570-8111#2801</t>
        </is>
      </c>
      <c r="R53" t="inlineStr"/>
      <c r="S53" t="inlineStr">
        <is>
          <t>已收款</t>
        </is>
      </c>
      <c r="T53" t="inlineStr">
        <is>
          <t>202201.0
來源：訂閱型發票及收款紀錄 第 55 列</t>
        </is>
      </c>
      <c r="U53" t="inlineStr">
        <is>
          <t>預計2022/3/25入帳</t>
        </is>
      </c>
      <c r="V53" t="inlineStr">
        <is>
          <t>2026-05-18</t>
        </is>
      </c>
    </row>
    <row r="54">
      <c r="A54" t="inlineStr">
        <is>
          <t>inv_66b53f32a7e5</t>
        </is>
      </c>
      <c r="B54" t="inlineStr">
        <is>
          <t>慶文</t>
        </is>
      </c>
      <c r="C54" t="inlineStr">
        <is>
          <t>2022-04-25</t>
        </is>
      </c>
      <c r="D54" t="inlineStr">
        <is>
          <t>1270258</t>
        </is>
      </c>
      <c r="E54" t="inlineStr">
        <is>
          <t>2022-03-15 00:00:00</t>
        </is>
      </c>
      <c r="F54" t="inlineStr">
        <is>
          <t>2022-03-22</t>
        </is>
      </c>
      <c r="G54" t="inlineStr">
        <is>
          <t>YU70141744</t>
        </is>
      </c>
      <c r="H54" t="inlineStr">
        <is>
          <t>cus_96ae9740e12a</t>
        </is>
      </c>
      <c r="I54" t="inlineStr">
        <is>
          <t>紅門互動股份有限公司</t>
        </is>
      </c>
      <c r="J54" t="inlineStr">
        <is>
          <t>53278454</t>
        </is>
      </c>
      <c r="K54" t="n">
        <v>100000</v>
      </c>
      <c r="L54" t="n">
        <v>105000</v>
      </c>
      <c r="M54" t="inlineStr">
        <is>
          <t>數據收益</t>
        </is>
      </c>
      <c r="N54" t="inlineStr">
        <is>
          <t>游子昀(Lilyan)</t>
        </is>
      </c>
      <c r="O54" t="inlineStr">
        <is>
          <t>105407台北市松山區南京東路四段126號11 樓之1</t>
        </is>
      </c>
      <c r="P54" t="inlineStr">
        <is>
          <t>finance@reddoor.com.tw</t>
        </is>
      </c>
      <c r="Q54" t="inlineStr">
        <is>
          <t>(02) 2570-8111#2801</t>
        </is>
      </c>
      <c r="R54" t="inlineStr"/>
      <c r="S54" t="inlineStr">
        <is>
          <t>已收款</t>
        </is>
      </c>
      <c r="T54" t="inlineStr">
        <is>
          <t>202202.0
來源：訂閱型發票及收款紀錄 第 56 列</t>
        </is>
      </c>
      <c r="U54" t="inlineStr">
        <is>
          <t>預計2022/4/25入帳</t>
        </is>
      </c>
      <c r="V54" t="inlineStr">
        <is>
          <t>2026-05-18</t>
        </is>
      </c>
    </row>
    <row r="55">
      <c r="A55" t="inlineStr">
        <is>
          <t>inv_a2ee393a5642</t>
        </is>
      </c>
      <c r="B55" t="inlineStr">
        <is>
          <t>慶文</t>
        </is>
      </c>
      <c r="C55" t="inlineStr">
        <is>
          <t>2022-05-25</t>
        </is>
      </c>
      <c r="D55" t="inlineStr">
        <is>
          <t>1299307</t>
        </is>
      </c>
      <c r="E55" t="inlineStr">
        <is>
          <t>2022-04-15 00:00:00</t>
        </is>
      </c>
      <c r="F55" t="inlineStr">
        <is>
          <t>2022-04-18</t>
        </is>
      </c>
      <c r="G55" t="inlineStr">
        <is>
          <t>YU70169847</t>
        </is>
      </c>
      <c r="H55" t="inlineStr">
        <is>
          <t>cus_96ae9740e12a</t>
        </is>
      </c>
      <c r="I55" t="inlineStr">
        <is>
          <t>紅門互動股份有限公司</t>
        </is>
      </c>
      <c r="J55" t="inlineStr">
        <is>
          <t>53278454</t>
        </is>
      </c>
      <c r="K55" t="n">
        <v>100000</v>
      </c>
      <c r="L55" t="n">
        <v>105000</v>
      </c>
      <c r="M55" t="inlineStr">
        <is>
          <t>數據收益</t>
        </is>
      </c>
      <c r="N55" t="inlineStr">
        <is>
          <t>游子昀(Lilyan)</t>
        </is>
      </c>
      <c r="O55" t="inlineStr">
        <is>
          <t>105407台北市松山區南京東路四段126號11 樓之1</t>
        </is>
      </c>
      <c r="P55" t="inlineStr">
        <is>
          <t>finance@reddoor.com.tw</t>
        </is>
      </c>
      <c r="Q55" t="inlineStr">
        <is>
          <t>(02) 2570-8111#2801</t>
        </is>
      </c>
      <c r="R55" t="inlineStr"/>
      <c r="S55" t="inlineStr">
        <is>
          <t>已收款</t>
        </is>
      </c>
      <c r="T55" t="inlineStr">
        <is>
          <t>202203.0
來源：訂閱型發票及收款紀錄 第 57 列</t>
        </is>
      </c>
      <c r="U55" t="inlineStr">
        <is>
          <t>預計2022/5/25入帳</t>
        </is>
      </c>
      <c r="V55" t="inlineStr">
        <is>
          <t>2026-05-18</t>
        </is>
      </c>
    </row>
    <row r="56">
      <c r="A56" t="inlineStr">
        <is>
          <t>inv_2be514178358</t>
        </is>
      </c>
      <c r="B56" t="inlineStr">
        <is>
          <t>慶文</t>
        </is>
      </c>
      <c r="C56" t="inlineStr">
        <is>
          <t>2022-06-27</t>
        </is>
      </c>
      <c r="D56" t="inlineStr">
        <is>
          <t>1323691</t>
        </is>
      </c>
      <c r="E56" t="inlineStr">
        <is>
          <t>2022-05-15 00:00:00</t>
        </is>
      </c>
      <c r="F56" t="inlineStr">
        <is>
          <t>2022-05-12</t>
        </is>
      </c>
      <c r="G56" t="inlineStr">
        <is>
          <t>AZ70131314</t>
        </is>
      </c>
      <c r="H56" t="inlineStr">
        <is>
          <t>cus_96ae9740e12a</t>
        </is>
      </c>
      <c r="I56" t="inlineStr">
        <is>
          <t>紅門互動股份有限公司</t>
        </is>
      </c>
      <c r="J56" t="inlineStr">
        <is>
          <t>53278454</t>
        </is>
      </c>
      <c r="K56" t="n">
        <v>100000</v>
      </c>
      <c r="L56" t="n">
        <v>105000</v>
      </c>
      <c r="M56" t="inlineStr">
        <is>
          <t>數據收益</t>
        </is>
      </c>
      <c r="N56" t="inlineStr">
        <is>
          <t>游子昀(Lilyan)</t>
        </is>
      </c>
      <c r="O56" t="inlineStr">
        <is>
          <t>105407台北市松山區南京東路四段126號11 樓之1</t>
        </is>
      </c>
      <c r="P56" t="inlineStr">
        <is>
          <t>finance@reddoor.com.tw</t>
        </is>
      </c>
      <c r="Q56" t="inlineStr">
        <is>
          <t>(02) 2570-8111#2801</t>
        </is>
      </c>
      <c r="R56" t="inlineStr"/>
      <c r="S56" t="inlineStr">
        <is>
          <t>已收款</t>
        </is>
      </c>
      <c r="T56" t="inlineStr">
        <is>
          <t>202204.0
來源：訂閱型發票及收款紀錄 第 58 列</t>
        </is>
      </c>
      <c r="U56" t="inlineStr">
        <is>
          <t>預計2022/6/25入帳</t>
        </is>
      </c>
      <c r="V56" t="inlineStr">
        <is>
          <t>2026-05-18</t>
        </is>
      </c>
    </row>
    <row r="57">
      <c r="A57" t="inlineStr">
        <is>
          <t>inv_8c10bfb74359</t>
        </is>
      </c>
      <c r="B57" t="inlineStr">
        <is>
          <t>慶文</t>
        </is>
      </c>
      <c r="C57" t="inlineStr">
        <is>
          <t>2022-07-25</t>
        </is>
      </c>
      <c r="D57" t="inlineStr">
        <is>
          <t>1368022</t>
        </is>
      </c>
      <c r="E57" t="inlineStr">
        <is>
          <t>2022-06-15 00:00:00</t>
        </is>
      </c>
      <c r="F57" t="inlineStr">
        <is>
          <t>2022-06-18</t>
        </is>
      </c>
      <c r="G57" t="inlineStr">
        <is>
          <t>AZ70169448</t>
        </is>
      </c>
      <c r="H57" t="inlineStr">
        <is>
          <t>cus_96ae9740e12a</t>
        </is>
      </c>
      <c r="I57" t="inlineStr">
        <is>
          <t>紅門互動股份有限公司</t>
        </is>
      </c>
      <c r="J57" t="inlineStr">
        <is>
          <t>53278454</t>
        </is>
      </c>
      <c r="K57" t="n">
        <v>100000</v>
      </c>
      <c r="L57" t="n">
        <v>105000</v>
      </c>
      <c r="M57" t="inlineStr">
        <is>
          <t>數據收益</t>
        </is>
      </c>
      <c r="N57" t="inlineStr">
        <is>
          <t>游子昀(Lilyan)</t>
        </is>
      </c>
      <c r="O57" t="inlineStr">
        <is>
          <t>105407台北市松山區南京東路四段126號11 樓之1</t>
        </is>
      </c>
      <c r="P57" t="inlineStr">
        <is>
          <t>finance@reddoor.com.tw</t>
        </is>
      </c>
      <c r="Q57" t="inlineStr">
        <is>
          <t>(02) 2570-8111#2801</t>
        </is>
      </c>
      <c r="R57" t="inlineStr"/>
      <c r="S57" t="inlineStr">
        <is>
          <t>已收款</t>
        </is>
      </c>
      <c r="T57" t="inlineStr">
        <is>
          <t>202205.0
來源：訂閱型發票及收款紀錄 第 59 列</t>
        </is>
      </c>
      <c r="U57" t="inlineStr">
        <is>
          <t>預計2022/7/25入帳</t>
        </is>
      </c>
      <c r="V57" t="inlineStr">
        <is>
          <t>2026-05-18</t>
        </is>
      </c>
    </row>
    <row r="58">
      <c r="A58" t="inlineStr">
        <is>
          <t>inv_8daf5c59d032</t>
        </is>
      </c>
      <c r="B58" t="inlineStr">
        <is>
          <t>慶文</t>
        </is>
      </c>
      <c r="C58" t="inlineStr">
        <is>
          <t>2022-08-25</t>
        </is>
      </c>
      <c r="D58" t="inlineStr">
        <is>
          <t>1404104</t>
        </is>
      </c>
      <c r="E58" t="inlineStr">
        <is>
          <t>2022-07-15 00:00:00</t>
        </is>
      </c>
      <c r="F58" t="inlineStr">
        <is>
          <t>2022-07-20</t>
        </is>
      </c>
      <c r="G58" t="inlineStr">
        <is>
          <t>CZ70139944</t>
        </is>
      </c>
      <c r="H58" t="inlineStr">
        <is>
          <t>cus_96ae9740e12a</t>
        </is>
      </c>
      <c r="I58" t="inlineStr">
        <is>
          <t>紅門互動股份有限公司</t>
        </is>
      </c>
      <c r="J58" t="inlineStr">
        <is>
          <t>53278454</t>
        </is>
      </c>
      <c r="K58" t="n">
        <v>0</v>
      </c>
      <c r="L58" t="n">
        <v>0</v>
      </c>
      <c r="M58" t="inlineStr">
        <is>
          <t>數據收益</t>
        </is>
      </c>
      <c r="N58" t="inlineStr">
        <is>
          <t>游子昀(Lilyan)</t>
        </is>
      </c>
      <c r="O58" t="inlineStr">
        <is>
          <t>105407台北市松山區南京東路四段126號11 樓之1</t>
        </is>
      </c>
      <c r="P58" t="inlineStr">
        <is>
          <t>finance@reddoor.com.tw</t>
        </is>
      </c>
      <c r="Q58" t="inlineStr">
        <is>
          <t>(02) 2570-8111#2801</t>
        </is>
      </c>
      <c r="R58" t="inlineStr"/>
      <c r="S58" t="inlineStr">
        <is>
          <t>已收款</t>
        </is>
      </c>
      <c r="T58" t="inlineStr">
        <is>
          <t>2021~202202分潤
來源：訂閱型發票及收款紀錄 第 60 列</t>
        </is>
      </c>
      <c r="U58" t="inlineStr">
        <is>
          <t>預計2022/8/25入帳</t>
        </is>
      </c>
      <c r="V58" t="inlineStr">
        <is>
          <t>2026-05-18</t>
        </is>
      </c>
    </row>
    <row r="59">
      <c r="A59" t="inlineStr">
        <is>
          <t>inv_e812d79766f0</t>
        </is>
      </c>
      <c r="B59" t="inlineStr">
        <is>
          <t>慶文</t>
        </is>
      </c>
      <c r="C59" t="inlineStr">
        <is>
          <t>2022-08-25</t>
        </is>
      </c>
      <c r="D59" t="inlineStr">
        <is>
          <t>1404105</t>
        </is>
      </c>
      <c r="E59" t="inlineStr">
        <is>
          <t>2022-07-15 00:00:00</t>
        </is>
      </c>
      <c r="F59" t="inlineStr">
        <is>
          <t>2022-07-20</t>
        </is>
      </c>
      <c r="G59" t="inlineStr">
        <is>
          <t>CZ70139945</t>
        </is>
      </c>
      <c r="H59" t="inlineStr">
        <is>
          <t>cus_96ae9740e12a</t>
        </is>
      </c>
      <c r="I59" t="inlineStr">
        <is>
          <t>紅門互動股份有限公司</t>
        </is>
      </c>
      <c r="J59" t="inlineStr">
        <is>
          <t>53278454</t>
        </is>
      </c>
      <c r="K59" t="n">
        <v>0</v>
      </c>
      <c r="L59" t="n">
        <v>0</v>
      </c>
      <c r="M59" t="inlineStr">
        <is>
          <t>數據收益</t>
        </is>
      </c>
      <c r="N59" t="inlineStr">
        <is>
          <t>游子昀(Lilyan)</t>
        </is>
      </c>
      <c r="O59" t="inlineStr">
        <is>
          <t>105407台北市松山區南京東路四段126號11 樓之1</t>
        </is>
      </c>
      <c r="P59" t="inlineStr">
        <is>
          <t>finance@reddoor.com.tw</t>
        </is>
      </c>
      <c r="Q59" t="inlineStr">
        <is>
          <t>(02) 2570-8111#2801</t>
        </is>
      </c>
      <c r="R59" t="inlineStr"/>
      <c r="S59" t="inlineStr">
        <is>
          <t>已收款</t>
        </is>
      </c>
      <c r="T59" t="inlineStr">
        <is>
          <t>202206.0
來源：訂閱型發票及收款紀錄 第 61 列</t>
        </is>
      </c>
      <c r="U59" t="inlineStr">
        <is>
          <t>預計2022/8/25入帳</t>
        </is>
      </c>
      <c r="V59" t="inlineStr">
        <is>
          <t>2026-05-18</t>
        </is>
      </c>
    </row>
    <row r="60">
      <c r="A60" t="inlineStr">
        <is>
          <t>inv_93c7f438e883</t>
        </is>
      </c>
      <c r="B60" t="inlineStr">
        <is>
          <t>慶文</t>
        </is>
      </c>
      <c r="C60" t="inlineStr">
        <is>
          <t>2022-09-26</t>
        </is>
      </c>
      <c r="D60" t="inlineStr">
        <is>
          <t>1441296</t>
        </is>
      </c>
      <c r="E60" t="inlineStr">
        <is>
          <t>2022-08-15 00:00:00</t>
        </is>
      </c>
      <c r="F60" t="inlineStr">
        <is>
          <t>2022-08-23</t>
        </is>
      </c>
      <c r="G60" t="inlineStr">
        <is>
          <t>CZ70175863</t>
        </is>
      </c>
      <c r="H60" t="inlineStr">
        <is>
          <t>cus_96ae9740e12a</t>
        </is>
      </c>
      <c r="I60" t="inlineStr">
        <is>
          <t>紅門互動股份有限公司</t>
        </is>
      </c>
      <c r="J60" t="inlineStr">
        <is>
          <t>53278454</t>
        </is>
      </c>
      <c r="K60" t="n">
        <v>0</v>
      </c>
      <c r="L60" t="n">
        <v>0</v>
      </c>
      <c r="M60" t="inlineStr">
        <is>
          <t>數據收益</t>
        </is>
      </c>
      <c r="N60" t="inlineStr">
        <is>
          <t>游子昀(Lilyan)</t>
        </is>
      </c>
      <c r="O60" t="inlineStr">
        <is>
          <t>105407台北市松山區南京東路四段126號11 樓之1</t>
        </is>
      </c>
      <c r="P60" t="inlineStr">
        <is>
          <t>finance@reddoor.com.tw</t>
        </is>
      </c>
      <c r="Q60" t="inlineStr">
        <is>
          <t>(02) 2570-8111#2801</t>
        </is>
      </c>
      <c r="R60" t="inlineStr"/>
      <c r="S60" t="inlineStr">
        <is>
          <t>已收款</t>
        </is>
      </c>
      <c r="T60" t="inlineStr">
        <is>
          <t>202207.0
來源：訂閱型發票及收款紀錄 第 62 列</t>
        </is>
      </c>
      <c r="U60" t="inlineStr">
        <is>
          <t>預計2022/9/25入帳</t>
        </is>
      </c>
      <c r="V60" t="inlineStr">
        <is>
          <t>2026-05-18</t>
        </is>
      </c>
    </row>
    <row r="61">
      <c r="A61" t="inlineStr">
        <is>
          <t>inv_bae84063b8b8</t>
        </is>
      </c>
      <c r="B61" t="inlineStr">
        <is>
          <t>慶文</t>
        </is>
      </c>
      <c r="C61" t="inlineStr">
        <is>
          <t>2022-10-25</t>
        </is>
      </c>
      <c r="D61" t="inlineStr">
        <is>
          <t>1474377</t>
        </is>
      </c>
      <c r="E61" t="inlineStr">
        <is>
          <t>2022-09-15 00:00:00</t>
        </is>
      </c>
      <c r="F61" t="inlineStr">
        <is>
          <t>2022-09-16</t>
        </is>
      </c>
      <c r="G61" t="inlineStr">
        <is>
          <t>FB70138586</t>
        </is>
      </c>
      <c r="H61" t="inlineStr">
        <is>
          <t>cus_96ae9740e12a</t>
        </is>
      </c>
      <c r="I61" t="inlineStr">
        <is>
          <t>紅門互動股份有限公司</t>
        </is>
      </c>
      <c r="J61" t="inlineStr">
        <is>
          <t>53278454</t>
        </is>
      </c>
      <c r="K61" t="n">
        <v>0</v>
      </c>
      <c r="L61" t="n">
        <v>0</v>
      </c>
      <c r="M61" t="inlineStr">
        <is>
          <t>數據收益</t>
        </is>
      </c>
      <c r="N61" t="inlineStr">
        <is>
          <t>游子昀(Lilyan)</t>
        </is>
      </c>
      <c r="O61" t="inlineStr">
        <is>
          <t>105407台北市松山區南京東路四段126號11 樓之1</t>
        </is>
      </c>
      <c r="P61" t="inlineStr">
        <is>
          <t>finance@reddoor.com.tw</t>
        </is>
      </c>
      <c r="Q61" t="inlineStr">
        <is>
          <t>(02) 2570-8111#2801</t>
        </is>
      </c>
      <c r="R61" t="inlineStr"/>
      <c r="S61" t="inlineStr">
        <is>
          <t>已收款</t>
        </is>
      </c>
      <c r="T61" t="inlineStr">
        <is>
          <t>202207.0
來源：訂閱型發票及收款紀錄 第 63 列</t>
        </is>
      </c>
      <c r="U61" t="inlineStr">
        <is>
          <t>預計2022/10/25入帳</t>
        </is>
      </c>
      <c r="V61" t="inlineStr">
        <is>
          <t>2026-05-18</t>
        </is>
      </c>
    </row>
    <row r="62">
      <c r="A62" t="inlineStr">
        <is>
          <t>inv_c6ea96b1c3f7</t>
        </is>
      </c>
      <c r="B62" t="inlineStr">
        <is>
          <t>慶文</t>
        </is>
      </c>
      <c r="C62" t="inlineStr">
        <is>
          <t>2022-10-25</t>
        </is>
      </c>
      <c r="D62" t="inlineStr">
        <is>
          <t>1474378</t>
        </is>
      </c>
      <c r="E62" t="inlineStr">
        <is>
          <t>2022-09-15 00:00:00</t>
        </is>
      </c>
      <c r="F62" t="inlineStr">
        <is>
          <t>2022-09-16</t>
        </is>
      </c>
      <c r="G62" t="inlineStr">
        <is>
          <t>FB70138587</t>
        </is>
      </c>
      <c r="H62" t="inlineStr">
        <is>
          <t>cus_96ae9740e12a</t>
        </is>
      </c>
      <c r="I62" t="inlineStr">
        <is>
          <t>紅門互動股份有限公司</t>
        </is>
      </c>
      <c r="J62" t="inlineStr">
        <is>
          <t>53278454</t>
        </is>
      </c>
      <c r="K62" t="n">
        <v>0</v>
      </c>
      <c r="L62" t="n">
        <v>0</v>
      </c>
      <c r="M62" t="inlineStr">
        <is>
          <t>數據收益</t>
        </is>
      </c>
      <c r="N62" t="inlineStr">
        <is>
          <t>游子昀(Lilyan)</t>
        </is>
      </c>
      <c r="O62" t="inlineStr">
        <is>
          <t>105407台北市松山區南京東路四段126號11 樓之1</t>
        </is>
      </c>
      <c r="P62" t="inlineStr">
        <is>
          <t>finance@reddoor.com.tw</t>
        </is>
      </c>
      <c r="Q62" t="inlineStr">
        <is>
          <t>(02) 2570-8111#2801</t>
        </is>
      </c>
      <c r="R62" t="inlineStr"/>
      <c r="S62" t="inlineStr">
        <is>
          <t>已收款</t>
        </is>
      </c>
      <c r="T62" t="inlineStr">
        <is>
          <t>202208.0
來源：訂閱型發票及收款紀錄 第 64 列</t>
        </is>
      </c>
      <c r="U62" t="inlineStr">
        <is>
          <t>預計2022/10/25入帳</t>
        </is>
      </c>
      <c r="V62" t="inlineStr">
        <is>
          <t>2026-05-18</t>
        </is>
      </c>
    </row>
    <row r="63">
      <c r="A63" t="inlineStr">
        <is>
          <t>inv_42e6016f412c</t>
        </is>
      </c>
      <c r="B63" t="inlineStr">
        <is>
          <t>慶文</t>
        </is>
      </c>
      <c r="C63" t="inlineStr">
        <is>
          <t>2022-11-25</t>
        </is>
      </c>
      <c r="D63" t="inlineStr">
        <is>
          <t>1505226</t>
        </is>
      </c>
      <c r="E63" t="inlineStr">
        <is>
          <t>2022-10-15 00:00:00</t>
        </is>
      </c>
      <c r="F63" t="inlineStr">
        <is>
          <t>2022-10-14</t>
        </is>
      </c>
      <c r="G63" t="inlineStr">
        <is>
          <t>折讓FB70169762
5/13重開BD03660398</t>
        </is>
      </c>
      <c r="H63" t="inlineStr">
        <is>
          <t>cus_96ae9740e12a</t>
        </is>
      </c>
      <c r="I63" t="inlineStr">
        <is>
          <t>紅門互動股份有限公司</t>
        </is>
      </c>
      <c r="J63" t="inlineStr">
        <is>
          <t>53278454</t>
        </is>
      </c>
      <c r="K63" t="n">
        <v>0</v>
      </c>
      <c r="L63" t="n">
        <v>0</v>
      </c>
      <c r="M63" t="inlineStr">
        <is>
          <t>數據收益</t>
        </is>
      </c>
      <c r="N63" t="inlineStr">
        <is>
          <t>游子昀(Lilyan)</t>
        </is>
      </c>
      <c r="O63" t="inlineStr">
        <is>
          <t>105407台北市松山區南京東路四段126號11 樓之1</t>
        </is>
      </c>
      <c r="P63" t="inlineStr">
        <is>
          <t>finance@reddoor.com.tw</t>
        </is>
      </c>
      <c r="Q63" t="inlineStr">
        <is>
          <t>(02) 2570-8111#2801</t>
        </is>
      </c>
      <c r="R63" t="inlineStr"/>
      <c r="S63" t="inlineStr">
        <is>
          <t>已收款</t>
        </is>
      </c>
      <c r="T63" t="inlineStr">
        <is>
          <t>202209.0
來源：訂閱型發票及收款紀錄 第 65 列</t>
        </is>
      </c>
      <c r="U63" t="inlineStr">
        <is>
          <t>預計2022/11/25入帳</t>
        </is>
      </c>
      <c r="V63" t="inlineStr">
        <is>
          <t>2026-05-18</t>
        </is>
      </c>
    </row>
    <row r="64">
      <c r="A64" t="inlineStr">
        <is>
          <t>inv_eb911adc5c27</t>
        </is>
      </c>
      <c r="B64" t="inlineStr">
        <is>
          <t>慶文</t>
        </is>
      </c>
      <c r="C64" t="inlineStr">
        <is>
          <t>2023-01-30</t>
        </is>
      </c>
      <c r="D64" t="inlineStr">
        <is>
          <t>1546833</t>
        </is>
      </c>
      <c r="E64" t="inlineStr">
        <is>
          <t>2022-11-15 00:00:00</t>
        </is>
      </c>
      <c r="F64" t="inlineStr">
        <is>
          <t>2022-11-17</t>
        </is>
      </c>
      <c r="G64" t="inlineStr">
        <is>
          <t>HD70138038</t>
        </is>
      </c>
      <c r="H64" t="inlineStr">
        <is>
          <t>cus_96ae9740e12a</t>
        </is>
      </c>
      <c r="I64" t="inlineStr">
        <is>
          <t>紅門互動股份有限公司</t>
        </is>
      </c>
      <c r="J64" t="inlineStr">
        <is>
          <t>53278454</t>
        </is>
      </c>
      <c r="K64" t="n">
        <v>0</v>
      </c>
      <c r="L64" t="n">
        <v>0</v>
      </c>
      <c r="M64" t="inlineStr">
        <is>
          <t>數據收益</t>
        </is>
      </c>
      <c r="N64" t="inlineStr">
        <is>
          <t>游子昀(Lilyan)</t>
        </is>
      </c>
      <c r="O64" t="inlineStr">
        <is>
          <t>105407台北市松山區南京東路四段126號11 樓之1</t>
        </is>
      </c>
      <c r="P64" t="inlineStr">
        <is>
          <t>finance@reddoor.com.tw</t>
        </is>
      </c>
      <c r="Q64" t="inlineStr">
        <is>
          <t>(02) 2570-8111#2801</t>
        </is>
      </c>
      <c r="R64" t="inlineStr"/>
      <c r="S64" t="inlineStr">
        <is>
          <t>已收款</t>
        </is>
      </c>
      <c r="T64" t="inlineStr">
        <is>
          <t>202210.0
來源：訂閱型發票及收款紀錄 第 66 列</t>
        </is>
      </c>
      <c r="U64" t="inlineStr">
        <is>
          <t>預計2022/12/25入帳</t>
        </is>
      </c>
      <c r="V64" t="inlineStr">
        <is>
          <t>2026-05-18</t>
        </is>
      </c>
    </row>
    <row r="65">
      <c r="A65" t="inlineStr">
        <is>
          <t>inv_230078701fb5</t>
        </is>
      </c>
      <c r="B65" t="inlineStr">
        <is>
          <t>慶文</t>
        </is>
      </c>
      <c r="C65" t="inlineStr">
        <is>
          <t>2023-03-25</t>
        </is>
      </c>
      <c r="D65" t="inlineStr">
        <is>
          <t>1576977</t>
        </is>
      </c>
      <c r="E65" t="inlineStr">
        <is>
          <t>2022-12-15 00:00:00</t>
        </is>
      </c>
      <c r="F65" t="inlineStr">
        <is>
          <t>2022-12-09</t>
        </is>
      </c>
      <c r="G65" t="inlineStr">
        <is>
          <t>HD70167891</t>
        </is>
      </c>
      <c r="H65" t="inlineStr">
        <is>
          <t>cus_96ae9740e12a</t>
        </is>
      </c>
      <c r="I65" t="inlineStr">
        <is>
          <t>紅門互動股份有限公司</t>
        </is>
      </c>
      <c r="J65" t="inlineStr">
        <is>
          <t>53278454</t>
        </is>
      </c>
      <c r="K65" t="n">
        <v>0</v>
      </c>
      <c r="L65" t="n">
        <v>0</v>
      </c>
      <c r="M65" t="inlineStr">
        <is>
          <t>數據收益</t>
        </is>
      </c>
      <c r="N65" t="inlineStr">
        <is>
          <t>游子昀(Lilyan)</t>
        </is>
      </c>
      <c r="O65" t="inlineStr">
        <is>
          <t>105407台北市松山區南京東路四段126號11 樓之1</t>
        </is>
      </c>
      <c r="P65" t="inlineStr">
        <is>
          <t>finance@reddoor.com.tw</t>
        </is>
      </c>
      <c r="Q65" t="inlineStr">
        <is>
          <t>(02) 2570-8111#2801</t>
        </is>
      </c>
      <c r="R65" t="inlineStr"/>
      <c r="S65" t="inlineStr">
        <is>
          <t>已收款</t>
        </is>
      </c>
      <c r="T65" t="inlineStr">
        <is>
          <t>202211.0
來源：訂閱型發票及收款紀錄 第 67 列</t>
        </is>
      </c>
      <c r="U65" t="inlineStr">
        <is>
          <t>預計2023/1/25入帳</t>
        </is>
      </c>
      <c r="V65" t="inlineStr">
        <is>
          <t>2026-05-18</t>
        </is>
      </c>
    </row>
    <row r="66">
      <c r="A66" t="inlineStr">
        <is>
          <t>inv_cc6bd0ef3fab</t>
        </is>
      </c>
      <c r="B66" t="inlineStr">
        <is>
          <t>思睿</t>
        </is>
      </c>
      <c r="C66" t="inlineStr">
        <is>
          <t>2023-04-25</t>
        </is>
      </c>
      <c r="D66" t="inlineStr">
        <is>
          <t>1700185</t>
        </is>
      </c>
      <c r="E66" t="inlineStr">
        <is>
          <t>2023-01-15 00:00:00</t>
        </is>
      </c>
      <c r="F66" t="inlineStr">
        <is>
          <t>2023-03-23</t>
        </is>
      </c>
      <c r="G66" t="inlineStr">
        <is>
          <t>MC44742986</t>
        </is>
      </c>
      <c r="H66" t="inlineStr">
        <is>
          <t>cus_96ae9740e12a</t>
        </is>
      </c>
      <c r="I66" t="inlineStr">
        <is>
          <t>紅門互動股份有限公司</t>
        </is>
      </c>
      <c r="J66" t="inlineStr">
        <is>
          <t>53278454</t>
        </is>
      </c>
      <c r="K66" t="n">
        <v>0</v>
      </c>
      <c r="L66" t="n">
        <v>0</v>
      </c>
      <c r="M66" t="inlineStr">
        <is>
          <t>數據收益</t>
        </is>
      </c>
      <c r="N66" t="inlineStr">
        <is>
          <t>游子昀(Lilyan)</t>
        </is>
      </c>
      <c r="O66" t="inlineStr">
        <is>
          <t>105407台北市松山區南京東路四段126號11 樓之1</t>
        </is>
      </c>
      <c r="P66" t="inlineStr">
        <is>
          <t>finance@reddoor.com.tw</t>
        </is>
      </c>
      <c r="Q66" t="inlineStr">
        <is>
          <t>(02) 2570-8111#2801</t>
        </is>
      </c>
      <c r="R66" t="inlineStr"/>
      <c r="S66" t="inlineStr">
        <is>
          <t>已收款</t>
        </is>
      </c>
      <c r="T66" t="inlineStr">
        <is>
          <t>202212.0
來源：訂閱型發票及收款紀錄 第 68 列</t>
        </is>
      </c>
      <c r="U66" t="inlineStr"/>
      <c r="V66" t="inlineStr">
        <is>
          <t>2026-05-18</t>
        </is>
      </c>
    </row>
    <row r="67">
      <c r="A67" t="inlineStr">
        <is>
          <t>inv_14e0371382ab</t>
        </is>
      </c>
      <c r="B67" t="inlineStr">
        <is>
          <t>思睿</t>
        </is>
      </c>
      <c r="C67" t="inlineStr">
        <is>
          <t>2023-05-25</t>
        </is>
      </c>
      <c r="D67" t="inlineStr">
        <is>
          <t>1722284</t>
        </is>
      </c>
      <c r="E67" t="inlineStr">
        <is>
          <t>2023-02-15 00:00:00</t>
        </is>
      </c>
      <c r="F67" t="inlineStr">
        <is>
          <t>2023-04-12</t>
        </is>
      </c>
      <c r="G67" t="inlineStr">
        <is>
          <t>MC44764745</t>
        </is>
      </c>
      <c r="H67" t="inlineStr">
        <is>
          <t>cus_96ae9740e12a</t>
        </is>
      </c>
      <c r="I67" t="inlineStr">
        <is>
          <t>紅門互動股份有限公司</t>
        </is>
      </c>
      <c r="J67" t="inlineStr">
        <is>
          <t>53278454</t>
        </is>
      </c>
      <c r="K67" t="n">
        <v>0</v>
      </c>
      <c r="L67" t="n">
        <v>0</v>
      </c>
      <c r="M67" t="inlineStr">
        <is>
          <t>數據收益</t>
        </is>
      </c>
      <c r="N67" t="inlineStr">
        <is>
          <t>游子昀(Lilyan)</t>
        </is>
      </c>
      <c r="O67" t="inlineStr">
        <is>
          <t>105407台北市松山區南京東路四段126號11 樓之1</t>
        </is>
      </c>
      <c r="P67" t="inlineStr">
        <is>
          <t>finance@reddoor.com.tw</t>
        </is>
      </c>
      <c r="Q67" t="inlineStr">
        <is>
          <t>(02) 2570-8111#2801</t>
        </is>
      </c>
      <c r="R67" t="inlineStr"/>
      <c r="S67" t="inlineStr">
        <is>
          <t>已收款</t>
        </is>
      </c>
      <c r="T67" t="inlineStr">
        <is>
          <t>202301.0
來源：訂閱型發票及收款紀錄 第 69 列</t>
        </is>
      </c>
      <c r="U67" t="inlineStr"/>
      <c r="V67" t="inlineStr">
        <is>
          <t>2026-05-18</t>
        </is>
      </c>
    </row>
    <row r="68">
      <c r="A68" t="inlineStr">
        <is>
          <t>inv_76c677d08e56</t>
        </is>
      </c>
      <c r="B68" t="inlineStr">
        <is>
          <t>思睿</t>
        </is>
      </c>
      <c r="C68" t="inlineStr">
        <is>
          <t>2023-06-25</t>
        </is>
      </c>
      <c r="D68" t="inlineStr">
        <is>
          <t>1746288</t>
        </is>
      </c>
      <c r="E68" t="inlineStr">
        <is>
          <t>2023-03-15 00:00:00</t>
        </is>
      </c>
      <c r="F68" t="inlineStr">
        <is>
          <t>2023-05-05</t>
        </is>
      </c>
      <c r="G68" t="inlineStr">
        <is>
          <t>PC44720143</t>
        </is>
      </c>
      <c r="H68" t="inlineStr">
        <is>
          <t>cus_96ae9740e12a</t>
        </is>
      </c>
      <c r="I68" t="inlineStr">
        <is>
          <t>紅門互動股份有限公司</t>
        </is>
      </c>
      <c r="J68" t="inlineStr">
        <is>
          <t>53278454</t>
        </is>
      </c>
      <c r="K68" t="n">
        <v>0</v>
      </c>
      <c r="L68" t="n">
        <v>0</v>
      </c>
      <c r="M68" t="inlineStr">
        <is>
          <t>數據收益</t>
        </is>
      </c>
      <c r="N68" t="inlineStr">
        <is>
          <t>游子昀(Lilyan)</t>
        </is>
      </c>
      <c r="O68" t="inlineStr">
        <is>
          <t>105407台北市松山區南京東路四段126號11 樓之1</t>
        </is>
      </c>
      <c r="P68" t="inlineStr">
        <is>
          <t>finance@reddoor.com.tw</t>
        </is>
      </c>
      <c r="Q68" t="inlineStr">
        <is>
          <t>(02) 2570-8111#2801</t>
        </is>
      </c>
      <c r="R68" t="inlineStr"/>
      <c r="S68" t="inlineStr">
        <is>
          <t>已收款</t>
        </is>
      </c>
      <c r="T68" t="inlineStr">
        <is>
          <t>202302.0
來源：訂閱型發票及收款紀錄 第 70 列</t>
        </is>
      </c>
      <c r="U68" t="inlineStr"/>
      <c r="V68" t="inlineStr">
        <is>
          <t>2026-05-18</t>
        </is>
      </c>
    </row>
    <row r="69">
      <c r="A69" t="inlineStr">
        <is>
          <t>inv_1a4b0deaa243</t>
        </is>
      </c>
      <c r="B69" t="inlineStr">
        <is>
          <t>思睿</t>
        </is>
      </c>
      <c r="C69" t="inlineStr">
        <is>
          <t>2023-07-25</t>
        </is>
      </c>
      <c r="D69" t="inlineStr">
        <is>
          <t>1761721</t>
        </is>
      </c>
      <c r="E69" t="inlineStr">
        <is>
          <t>2023-04-15 00:00:00</t>
        </is>
      </c>
      <c r="F69" t="inlineStr">
        <is>
          <t>2023-05-16</t>
        </is>
      </c>
      <c r="G69" t="inlineStr">
        <is>
          <t>PC44732995</t>
        </is>
      </c>
      <c r="H69" t="inlineStr">
        <is>
          <t>cus_96ae9740e12a</t>
        </is>
      </c>
      <c r="I69" t="inlineStr">
        <is>
          <t>紅門互動股份有限公司</t>
        </is>
      </c>
      <c r="J69" t="inlineStr">
        <is>
          <t>53278454</t>
        </is>
      </c>
      <c r="K69" t="n">
        <v>0</v>
      </c>
      <c r="L69" t="n">
        <v>0</v>
      </c>
      <c r="M69" t="inlineStr">
        <is>
          <t>數據收益</t>
        </is>
      </c>
      <c r="N69" t="inlineStr">
        <is>
          <t>游子昀(Lilyan)</t>
        </is>
      </c>
      <c r="O69" t="inlineStr">
        <is>
          <t>105407台北市松山區南京東路四段126號11 樓之1</t>
        </is>
      </c>
      <c r="P69" t="inlineStr">
        <is>
          <t>finance@reddoor.com.tw</t>
        </is>
      </c>
      <c r="Q69" t="inlineStr">
        <is>
          <t>(02) 2570-8111#2801</t>
        </is>
      </c>
      <c r="R69" t="inlineStr"/>
      <c r="S69" t="inlineStr">
        <is>
          <t>已收款</t>
        </is>
      </c>
      <c r="T69" t="inlineStr">
        <is>
          <t>202303.0
來源：訂閱型發票及收款紀錄 第 71 列</t>
        </is>
      </c>
      <c r="U69" t="inlineStr"/>
      <c r="V69" t="inlineStr">
        <is>
          <t>2026-05-18</t>
        </is>
      </c>
    </row>
    <row r="70">
      <c r="A70" t="inlineStr">
        <is>
          <t>inv_9ad117c2588b</t>
        </is>
      </c>
      <c r="B70" t="inlineStr">
        <is>
          <t>思睿</t>
        </is>
      </c>
      <c r="C70" t="inlineStr">
        <is>
          <t>2023-08-25</t>
        </is>
      </c>
      <c r="D70" t="inlineStr">
        <is>
          <t>1799551</t>
        </is>
      </c>
      <c r="E70" t="inlineStr">
        <is>
          <t>2023-05-15 00:00:00</t>
        </is>
      </c>
      <c r="F70" t="inlineStr">
        <is>
          <t>2023-06-14</t>
        </is>
      </c>
      <c r="G70" t="inlineStr">
        <is>
          <t>PC44767983</t>
        </is>
      </c>
      <c r="H70" t="inlineStr">
        <is>
          <t>cus_96ae9740e12a</t>
        </is>
      </c>
      <c r="I70" t="inlineStr">
        <is>
          <t>紅門互動股份有限公司</t>
        </is>
      </c>
      <c r="J70" t="inlineStr">
        <is>
          <t>53278454</t>
        </is>
      </c>
      <c r="K70" t="n">
        <v>0</v>
      </c>
      <c r="L70" t="n">
        <v>0</v>
      </c>
      <c r="M70" t="inlineStr">
        <is>
          <t>數據收益</t>
        </is>
      </c>
      <c r="N70" t="inlineStr">
        <is>
          <t>游子昀(Lilyan)</t>
        </is>
      </c>
      <c r="O70" t="inlineStr">
        <is>
          <t>105407台北市松山區南京東路四段126號11 樓之1</t>
        </is>
      </c>
      <c r="P70" t="inlineStr">
        <is>
          <t>finance@reddoor.com.tw</t>
        </is>
      </c>
      <c r="Q70" t="inlineStr">
        <is>
          <t>(02) 2570-8111#2801</t>
        </is>
      </c>
      <c r="R70" t="inlineStr"/>
      <c r="S70" t="inlineStr">
        <is>
          <t>已收款</t>
        </is>
      </c>
      <c r="T70" t="inlineStr">
        <is>
          <t>202304.0
來源：訂閱型發票及收款紀錄 第 72 列</t>
        </is>
      </c>
      <c r="U70" t="inlineStr">
        <is>
          <t>每月15日前開立發票隔月25日前匯款</t>
        </is>
      </c>
      <c r="V70" t="inlineStr">
        <is>
          <t>2026-05-18</t>
        </is>
      </c>
    </row>
    <row r="71">
      <c r="A71" t="inlineStr">
        <is>
          <t>inv_8c0853b36ab5</t>
        </is>
      </c>
      <c r="B71" t="inlineStr">
        <is>
          <t>陳柏任</t>
        </is>
      </c>
      <c r="C71" t="inlineStr">
        <is>
          <t>2021-11-30</t>
        </is>
      </c>
      <c r="D71" t="inlineStr">
        <is>
          <t>1048575</t>
        </is>
      </c>
      <c r="E71" t="inlineStr">
        <is>
          <t>2021-09-07 00:00:00</t>
        </is>
      </c>
      <c r="F71" t="inlineStr">
        <is>
          <t>2021-09-23</t>
        </is>
      </c>
      <c r="G71" t="inlineStr">
        <is>
          <t>ST78139732</t>
        </is>
      </c>
      <c r="H71" t="inlineStr">
        <is>
          <t>cus_5576b5481873</t>
        </is>
      </c>
      <c r="I71" t="inlineStr">
        <is>
          <t>康軒文教事業股份有限公司</t>
        </is>
      </c>
      <c r="J71" t="inlineStr">
        <is>
          <t>23142092</t>
        </is>
      </c>
      <c r="K71" t="n">
        <v>4533</v>
      </c>
      <c r="L71" t="n">
        <v>4760</v>
      </c>
      <c r="M71" t="inlineStr">
        <is>
          <t>廣告收益</t>
        </is>
      </c>
      <c r="N71" t="inlineStr">
        <is>
          <t>林佳妮</t>
        </is>
      </c>
      <c r="O71" t="inlineStr">
        <is>
          <t>23146 新北市新店區中興路二段218巷11號</t>
        </is>
      </c>
      <c r="P71" t="inlineStr">
        <is>
          <t>nadia_lin@knsh.com.tw</t>
        </is>
      </c>
      <c r="Q71" t="inlineStr">
        <is>
          <t>02-8665-1341</t>
        </is>
      </c>
      <c r="R71" t="inlineStr"/>
      <c r="S71" t="inlineStr">
        <is>
          <t>已收款</t>
        </is>
      </c>
      <c r="T71" t="inlineStr">
        <is>
          <t>202305.0
來源：訂閱型發票及收款紀錄 第 73 列</t>
        </is>
      </c>
      <c r="U71" t="inlineStr">
        <is>
          <t>每月15日前開立發票隔月25日前匯款</t>
        </is>
      </c>
      <c r="V71" t="inlineStr">
        <is>
          <t>2026-05-18</t>
        </is>
      </c>
    </row>
    <row r="72">
      <c r="A72" t="inlineStr">
        <is>
          <t>inv_8786605924f9</t>
        </is>
      </c>
      <c r="B72" t="inlineStr">
        <is>
          <t>林哲瑄</t>
        </is>
      </c>
      <c r="C72" t="inlineStr">
        <is>
          <t>2022-02-15</t>
        </is>
      </c>
      <c r="D72" t="inlineStr">
        <is>
          <t>1148438</t>
        </is>
      </c>
      <c r="E72" t="inlineStr">
        <is>
          <t>2021-09-01 00:00:00</t>
        </is>
      </c>
      <c r="F72" t="inlineStr">
        <is>
          <t>2021-12-14</t>
        </is>
      </c>
      <c r="G72" t="inlineStr">
        <is>
          <t>UN78173888</t>
        </is>
      </c>
      <c r="H72" t="inlineStr">
        <is>
          <t>cus_7880af1bd682</t>
        </is>
      </c>
      <c r="I72" t="inlineStr">
        <is>
          <t>威朋大數據股份有限公司</t>
        </is>
      </c>
      <c r="J72" t="inlineStr">
        <is>
          <t>28892170</t>
        </is>
      </c>
      <c r="K72" t="n">
        <v>285714</v>
      </c>
      <c r="L72" t="n">
        <v>300000</v>
      </c>
      <c r="M72" t="inlineStr">
        <is>
          <t>數據收益</t>
        </is>
      </c>
      <c r="N72" t="inlineStr">
        <is>
          <t>蔡宜甄 Sonia</t>
        </is>
      </c>
      <c r="O72" t="inlineStr">
        <is>
          <t>105台北市松山區復興北路337號7樓</t>
        </is>
      </c>
      <c r="P72" t="inlineStr">
        <is>
          <t>sonia.tsai@vpon.com, 收電子發票 twbilling@vpon.com</t>
        </is>
      </c>
      <c r="Q72" t="inlineStr">
        <is>
          <t>02-7730-8328</t>
        </is>
      </c>
      <c r="R72" t="inlineStr"/>
      <c r="S72" t="inlineStr">
        <is>
          <t>已收款</t>
        </is>
      </c>
      <c r="T72" t="inlineStr">
        <is>
          <t>202306.0
來源：訂閱型發票及收款紀錄 第 74 列</t>
        </is>
      </c>
      <c r="U72" t="inlineStr">
        <is>
          <t>每月15日前開立發票隔月25日前匯款</t>
        </is>
      </c>
      <c r="V72" t="inlineStr">
        <is>
          <t>2026-05-18</t>
        </is>
      </c>
    </row>
    <row r="73">
      <c r="A73" t="inlineStr">
        <is>
          <t>inv_591e91ab91ab</t>
        </is>
      </c>
      <c r="B73" t="inlineStr">
        <is>
          <t>林哲瑄</t>
        </is>
      </c>
      <c r="C73" t="inlineStr">
        <is>
          <t>2022-03-01</t>
        </is>
      </c>
      <c r="D73" t="inlineStr">
        <is>
          <t>1148438</t>
        </is>
      </c>
      <c r="E73" t="inlineStr">
        <is>
          <t>2021-11-01 00:00:00</t>
        </is>
      </c>
      <c r="F73" t="inlineStr">
        <is>
          <t>2021-12-14</t>
        </is>
      </c>
      <c r="G73" t="inlineStr">
        <is>
          <t>UN78173889</t>
        </is>
      </c>
      <c r="H73" t="inlineStr">
        <is>
          <t>cus_7880af1bd682</t>
        </is>
      </c>
      <c r="I73" t="inlineStr">
        <is>
          <t>威朋大數據股份有限公司</t>
        </is>
      </c>
      <c r="J73" t="inlineStr">
        <is>
          <t>28892170</t>
        </is>
      </c>
      <c r="K73" t="n">
        <v>285714</v>
      </c>
      <c r="L73" t="n">
        <v>300000</v>
      </c>
      <c r="M73" t="inlineStr">
        <is>
          <t>數據收益</t>
        </is>
      </c>
      <c r="N73" t="inlineStr">
        <is>
          <t>蔡宜甄 Sonia</t>
        </is>
      </c>
      <c r="O73" t="inlineStr">
        <is>
          <t>105台北市松山區復興北路337號7樓</t>
        </is>
      </c>
      <c r="P73" t="inlineStr">
        <is>
          <t>sonia.tsai@vpon.com, 收電子發票 twbilling@vpon.com</t>
        </is>
      </c>
      <c r="Q73" t="inlineStr">
        <is>
          <t>02-7730-8328</t>
        </is>
      </c>
      <c r="R73" t="inlineStr"/>
      <c r="S73" t="inlineStr">
        <is>
          <t>已收款</t>
        </is>
      </c>
      <c r="T73" t="inlineStr">
        <is>
          <t>202307.0
來源：訂閱型發票及收款紀錄 第 75 列</t>
        </is>
      </c>
      <c r="U73" t="inlineStr">
        <is>
          <t>每月15日前開立發票隔月25日前匯款</t>
        </is>
      </c>
      <c r="V73" t="inlineStr">
        <is>
          <t>2026-05-18</t>
        </is>
      </c>
    </row>
    <row r="74">
      <c r="A74" t="inlineStr">
        <is>
          <t>inv_3f3c9900565f</t>
        </is>
      </c>
      <c r="B74" t="inlineStr">
        <is>
          <t>楊育承</t>
        </is>
      </c>
      <c r="C74" t="inlineStr">
        <is>
          <t>2022-05-06</t>
        </is>
      </c>
      <c r="D74" t="inlineStr">
        <is>
          <t>B00188</t>
        </is>
      </c>
      <c r="E74" t="inlineStr">
        <is>
          <t>2022-01-01 00:00:00</t>
        </is>
      </c>
      <c r="F74" t="inlineStr">
        <is>
          <t>2022-03-07</t>
        </is>
      </c>
      <c r="G74" t="inlineStr">
        <is>
          <t>YU70123298</t>
        </is>
      </c>
      <c r="H74" t="inlineStr">
        <is>
          <t>cus_7880af1bd682</t>
        </is>
      </c>
      <c r="I74" t="inlineStr">
        <is>
          <t>威朋大數據股份有限公司</t>
        </is>
      </c>
      <c r="J74" t="inlineStr">
        <is>
          <t>28892170</t>
        </is>
      </c>
      <c r="K74" t="n">
        <v>328571</v>
      </c>
      <c r="L74" t="n">
        <v>345000</v>
      </c>
      <c r="M74" t="inlineStr">
        <is>
          <t>數據收益</t>
        </is>
      </c>
      <c r="N74" t="inlineStr">
        <is>
          <t>蔡宜甄 Sonia</t>
        </is>
      </c>
      <c r="O74" t="inlineStr">
        <is>
          <t>105台北市松山區復興北路337號7樓</t>
        </is>
      </c>
      <c r="P74" t="inlineStr">
        <is>
          <t>sonia.tsai@vpon.com, 收電子發票 twbilling@vpon.com</t>
        </is>
      </c>
      <c r="Q74" t="inlineStr">
        <is>
          <t>02-7730-8328</t>
        </is>
      </c>
      <c r="R74" t="inlineStr"/>
      <c r="S74" t="inlineStr">
        <is>
          <t>已收款</t>
        </is>
      </c>
      <c r="T74" t="inlineStr">
        <is>
          <t>202308.0
來源：訂閱型發票及收款紀錄 第 76 列</t>
        </is>
      </c>
      <c r="U74" t="inlineStr">
        <is>
          <t>每月15日前開立發票隔月25日前匯款</t>
        </is>
      </c>
      <c r="V74" t="inlineStr">
        <is>
          <t>2026-05-18</t>
        </is>
      </c>
    </row>
    <row r="75">
      <c r="A75" t="inlineStr">
        <is>
          <t>inv_19b19b405842</t>
        </is>
      </c>
      <c r="B75" t="inlineStr">
        <is>
          <t>思睿</t>
        </is>
      </c>
      <c r="C75" t="inlineStr">
        <is>
          <t>2023-09-23</t>
        </is>
      </c>
      <c r="D75" t="inlineStr">
        <is>
          <t>1829724</t>
        </is>
      </c>
      <c r="E75" t="inlineStr">
        <is>
          <t>2023-06-15 00:00:00</t>
        </is>
      </c>
      <c r="F75" t="inlineStr">
        <is>
          <t>2023-07-11</t>
        </is>
      </c>
      <c r="G75" t="inlineStr">
        <is>
          <t>RC44726926</t>
        </is>
      </c>
      <c r="H75" t="inlineStr">
        <is>
          <t>cus_96ae9740e12a</t>
        </is>
      </c>
      <c r="I75" t="inlineStr">
        <is>
          <t>紅門互動股份有限公司</t>
        </is>
      </c>
      <c r="J75" t="inlineStr">
        <is>
          <t>53278454</t>
        </is>
      </c>
      <c r="K75" t="n">
        <v>0</v>
      </c>
      <c r="L75" t="n">
        <v>0</v>
      </c>
      <c r="M75" t="inlineStr">
        <is>
          <t>數據收益</t>
        </is>
      </c>
      <c r="N75" t="inlineStr">
        <is>
          <t>游子昀(Lilyan)</t>
        </is>
      </c>
      <c r="O75" t="inlineStr">
        <is>
          <t>105407台北市松山區南京東路四段126號11 樓之1</t>
        </is>
      </c>
      <c r="P75" t="inlineStr">
        <is>
          <t>finance@reddoor.com.tw</t>
        </is>
      </c>
      <c r="Q75" t="inlineStr">
        <is>
          <t>(02) 2570-8111#2801</t>
        </is>
      </c>
      <c r="R75" t="inlineStr"/>
      <c r="S75" t="inlineStr">
        <is>
          <t>已收款</t>
        </is>
      </c>
      <c r="T75" t="inlineStr">
        <is>
          <t>202305.0
來源：訂閱型發票及收款紀錄 第 77 列</t>
        </is>
      </c>
      <c r="U75" t="inlineStr">
        <is>
          <t>每月15日前開立發票隔月25日前匯款</t>
        </is>
      </c>
      <c r="V75" t="inlineStr">
        <is>
          <t>2026-05-18</t>
        </is>
      </c>
    </row>
    <row r="76">
      <c r="A76" t="inlineStr">
        <is>
          <t>inv_6881f1f497ca</t>
        </is>
      </c>
      <c r="B76" t="inlineStr">
        <is>
          <t>思睿</t>
        </is>
      </c>
      <c r="C76" t="inlineStr">
        <is>
          <t>2023-10-25</t>
        </is>
      </c>
      <c r="D76" t="inlineStr">
        <is>
          <t>1865955</t>
        </is>
      </c>
      <c r="E76" t="inlineStr">
        <is>
          <t>2023-07-15 00:00:00</t>
        </is>
      </c>
      <c r="F76" t="inlineStr">
        <is>
          <t>2023-08-11</t>
        </is>
      </c>
      <c r="G76" t="inlineStr">
        <is>
          <t>RC44765784</t>
        </is>
      </c>
      <c r="H76" t="inlineStr">
        <is>
          <t>cus_96ae9740e12a</t>
        </is>
      </c>
      <c r="I76" t="inlineStr">
        <is>
          <t>紅門互動股份有限公司</t>
        </is>
      </c>
      <c r="J76" t="inlineStr">
        <is>
          <t>53278454</t>
        </is>
      </c>
      <c r="K76" t="n">
        <v>0</v>
      </c>
      <c r="L76" t="n">
        <v>0</v>
      </c>
      <c r="M76" t="inlineStr">
        <is>
          <t>數據收益</t>
        </is>
      </c>
      <c r="N76" t="inlineStr">
        <is>
          <t>游子昀(Lilyan)</t>
        </is>
      </c>
      <c r="O76" t="inlineStr">
        <is>
          <t>105407台北市松山區南京東路四段126號11 樓之1</t>
        </is>
      </c>
      <c r="P76" t="inlineStr">
        <is>
          <t>finance@reddoor.com.tw</t>
        </is>
      </c>
      <c r="Q76" t="inlineStr">
        <is>
          <t>(02) 2570-8111#2801</t>
        </is>
      </c>
      <c r="R76" t="inlineStr"/>
      <c r="S76" t="inlineStr">
        <is>
          <t>已收款</t>
        </is>
      </c>
      <c r="T76" t="inlineStr">
        <is>
          <t>202306.0
來源：訂閱型發票及收款紀錄 第 78 列</t>
        </is>
      </c>
      <c r="U76" t="inlineStr">
        <is>
          <t>每月15日前開立發票隔月25日前匯款</t>
        </is>
      </c>
      <c r="V76" t="inlineStr">
        <is>
          <t>2026-05-18</t>
        </is>
      </c>
    </row>
    <row r="77">
      <c r="A77" t="inlineStr">
        <is>
          <t>inv_6d667ae1b4b2</t>
        </is>
      </c>
      <c r="B77" t="inlineStr">
        <is>
          <t>思睿</t>
        </is>
      </c>
      <c r="C77" t="inlineStr">
        <is>
          <t>2023-11-27</t>
        </is>
      </c>
      <c r="D77" t="inlineStr">
        <is>
          <t>1907941</t>
        </is>
      </c>
      <c r="E77" t="inlineStr">
        <is>
          <t>2023-08-15 00:00:00</t>
        </is>
      </c>
      <c r="F77" t="inlineStr">
        <is>
          <t>2023-09-15</t>
        </is>
      </c>
      <c r="G77" t="inlineStr">
        <is>
          <t>TC44729999</t>
        </is>
      </c>
      <c r="H77" t="inlineStr">
        <is>
          <t>cus_96ae9740e12a</t>
        </is>
      </c>
      <c r="I77" t="inlineStr">
        <is>
          <t>紅門互動股份有限公司</t>
        </is>
      </c>
      <c r="J77" t="inlineStr">
        <is>
          <t>53278454</t>
        </is>
      </c>
      <c r="K77" t="n">
        <v>0</v>
      </c>
      <c r="L77" t="n">
        <v>0</v>
      </c>
      <c r="M77" t="inlineStr">
        <is>
          <t>數據收益</t>
        </is>
      </c>
      <c r="N77" t="inlineStr">
        <is>
          <t>游子昀(Lilyan)</t>
        </is>
      </c>
      <c r="O77" t="inlineStr">
        <is>
          <t>105407台北市松山區南京東路四段126號11 樓之1</t>
        </is>
      </c>
      <c r="P77" t="inlineStr">
        <is>
          <t>finance@reddoor.com.tw</t>
        </is>
      </c>
      <c r="Q77" t="inlineStr">
        <is>
          <t>(02) 2570-8111#2801</t>
        </is>
      </c>
      <c r="R77" t="inlineStr"/>
      <c r="S77" t="inlineStr">
        <is>
          <t>已收款</t>
        </is>
      </c>
      <c r="T77" t="inlineStr">
        <is>
          <t>202307.0
來源：訂閱型發票及收款紀錄 第 79 列</t>
        </is>
      </c>
      <c r="U77" t="inlineStr">
        <is>
          <t>每月15日前開立發票隔月25日前匯款</t>
        </is>
      </c>
      <c r="V77" t="inlineStr">
        <is>
          <t>2026-05-18</t>
        </is>
      </c>
    </row>
    <row r="78">
      <c r="A78" t="inlineStr">
        <is>
          <t>inv_ab7633a94837</t>
        </is>
      </c>
      <c r="B78" t="inlineStr">
        <is>
          <t>思睿</t>
        </is>
      </c>
      <c r="C78" t="inlineStr">
        <is>
          <t>2023-12-25</t>
        </is>
      </c>
      <c r="D78" t="inlineStr">
        <is>
          <t>1934495</t>
        </is>
      </c>
      <c r="E78" t="inlineStr">
        <is>
          <t>2023-09-15 00:00:00</t>
        </is>
      </c>
      <c r="F78" t="inlineStr">
        <is>
          <t>2023-10-12</t>
        </is>
      </c>
      <c r="G78" t="inlineStr">
        <is>
          <t>TC44755166</t>
        </is>
      </c>
      <c r="H78" t="inlineStr">
        <is>
          <t>cus_96ae9740e12a</t>
        </is>
      </c>
      <c r="I78" t="inlineStr">
        <is>
          <t>紅門互動股份有限公司</t>
        </is>
      </c>
      <c r="J78" t="inlineStr">
        <is>
          <t>53278454</t>
        </is>
      </c>
      <c r="K78" t="n">
        <v>0</v>
      </c>
      <c r="L78" t="n">
        <v>0</v>
      </c>
      <c r="M78" t="inlineStr">
        <is>
          <t>數據收益</t>
        </is>
      </c>
      <c r="N78" t="inlineStr">
        <is>
          <t>游子昀(Lilyan)</t>
        </is>
      </c>
      <c r="O78" t="inlineStr">
        <is>
          <t>105407台北市松山區南京東路四段126號11 樓之1</t>
        </is>
      </c>
      <c r="P78" t="inlineStr">
        <is>
          <t>finance@reddoor.com.tw</t>
        </is>
      </c>
      <c r="Q78" t="inlineStr">
        <is>
          <t>(02) 2570-8111#2801</t>
        </is>
      </c>
      <c r="R78" t="inlineStr"/>
      <c r="S78" t="inlineStr">
        <is>
          <t>已收款</t>
        </is>
      </c>
      <c r="T78" t="inlineStr">
        <is>
          <t>202308.0
來源：訂閱型發票及收款紀錄 第 80 列</t>
        </is>
      </c>
      <c r="U78" t="inlineStr">
        <is>
          <t>每月15日前開立發票隔月25日前匯款</t>
        </is>
      </c>
      <c r="V78" t="inlineStr">
        <is>
          <t>2026-05-18</t>
        </is>
      </c>
    </row>
    <row r="79">
      <c r="A79" t="inlineStr">
        <is>
          <t>inv_f893d63e64fc</t>
        </is>
      </c>
      <c r="B79" t="inlineStr">
        <is>
          <t>思睿</t>
        </is>
      </c>
      <c r="C79" t="inlineStr">
        <is>
          <t>2023-12-25</t>
        </is>
      </c>
      <c r="D79" t="inlineStr">
        <is>
          <t>1967010</t>
        </is>
      </c>
      <c r="E79" t="inlineStr">
        <is>
          <t>2023-10-15 00:00:00</t>
        </is>
      </c>
      <c r="F79" t="inlineStr">
        <is>
          <t>202311.9</t>
        </is>
      </c>
      <c r="G79" t="inlineStr">
        <is>
          <t>折讓VC44725460
5/13重開BD03660399</t>
        </is>
      </c>
      <c r="H79" t="inlineStr">
        <is>
          <t>cus_96ae9740e12a</t>
        </is>
      </c>
      <c r="I79" t="inlineStr">
        <is>
          <t>紅門互動股份有限公司</t>
        </is>
      </c>
      <c r="J79" t="inlineStr">
        <is>
          <t>53278454</t>
        </is>
      </c>
      <c r="K79" t="n">
        <v>0</v>
      </c>
      <c r="L79" t="n">
        <v>0</v>
      </c>
      <c r="M79" t="inlineStr">
        <is>
          <t>數據收益</t>
        </is>
      </c>
      <c r="N79" t="inlineStr">
        <is>
          <t>游子昀(Lilyan)</t>
        </is>
      </c>
      <c r="O79" t="inlineStr">
        <is>
          <t>105407台北市松山區南京東路四段126號11 樓之1</t>
        </is>
      </c>
      <c r="P79" t="inlineStr">
        <is>
          <t>finance@reddoor.com.tw</t>
        </is>
      </c>
      <c r="Q79" t="inlineStr">
        <is>
          <t>(02) 2570-8111#2801</t>
        </is>
      </c>
      <c r="R79" t="inlineStr"/>
      <c r="S79" t="inlineStr">
        <is>
          <t>已收款</t>
        </is>
      </c>
      <c r="T79" t="inlineStr">
        <is>
          <t>202309.0
來源：訂閱型發票及收款紀錄 第 81 列</t>
        </is>
      </c>
      <c r="U79" t="inlineStr">
        <is>
          <t>每月15日前開立發票隔月25日前匯款</t>
        </is>
      </c>
      <c r="V79" t="inlineStr">
        <is>
          <t>2026-05-18</t>
        </is>
      </c>
    </row>
    <row r="80">
      <c r="A80" t="inlineStr">
        <is>
          <t>inv_fd31272aa874</t>
        </is>
      </c>
      <c r="B80" t="inlineStr">
        <is>
          <t>思睿</t>
        </is>
      </c>
      <c r="C80" t="inlineStr">
        <is>
          <t>2023-12-25</t>
        </is>
      </c>
      <c r="D80" t="inlineStr">
        <is>
          <t>1967011</t>
        </is>
      </c>
      <c r="E80" t="inlineStr">
        <is>
          <t>2023-11-15 00:00:00</t>
        </is>
      </c>
      <c r="F80" t="inlineStr">
        <is>
          <t>2023-11-09</t>
        </is>
      </c>
      <c r="G80" t="inlineStr">
        <is>
          <t>VC44725461</t>
        </is>
      </c>
      <c r="H80" t="inlineStr">
        <is>
          <t>cus_96ae9740e12a</t>
        </is>
      </c>
      <c r="I80" t="inlineStr">
        <is>
          <t>紅門互動股份有限公司</t>
        </is>
      </c>
      <c r="J80" t="inlineStr">
        <is>
          <t>53278454</t>
        </is>
      </c>
      <c r="K80" t="n">
        <v>0</v>
      </c>
      <c r="L80" t="n">
        <v>0</v>
      </c>
      <c r="M80" t="inlineStr">
        <is>
          <t>數據收益</t>
        </is>
      </c>
      <c r="N80" t="inlineStr">
        <is>
          <t>游子昀(Lilyan)</t>
        </is>
      </c>
      <c r="O80" t="inlineStr">
        <is>
          <t>105407台北市松山區南京東路四段126號11 樓之1</t>
        </is>
      </c>
      <c r="P80" t="inlineStr">
        <is>
          <t>finance@reddoor.com.tw</t>
        </is>
      </c>
      <c r="Q80" t="inlineStr">
        <is>
          <t>(02) 2570-8111#2801</t>
        </is>
      </c>
      <c r="R80" t="inlineStr"/>
      <c r="S80" t="inlineStr">
        <is>
          <t>已收款</t>
        </is>
      </c>
      <c r="T80" t="inlineStr">
        <is>
          <t>202310.0
來源：訂閱型發票及收款紀錄 第 82 列</t>
        </is>
      </c>
      <c r="U80" t="inlineStr">
        <is>
          <t>每月15日前開立發票隔月25日前匯款</t>
        </is>
      </c>
      <c r="V80" t="inlineStr">
        <is>
          <t>2026-05-18</t>
        </is>
      </c>
    </row>
    <row r="81">
      <c r="A81" t="inlineStr">
        <is>
          <t>inv_5faaa2229238</t>
        </is>
      </c>
      <c r="B81" t="inlineStr">
        <is>
          <t>思睿</t>
        </is>
      </c>
      <c r="C81" t="inlineStr">
        <is>
          <t>2024-02-26</t>
        </is>
      </c>
      <c r="D81" t="inlineStr">
        <is>
          <t>2004784</t>
        </is>
      </c>
      <c r="E81" t="inlineStr">
        <is>
          <t>2023-12-15 00:00:00</t>
        </is>
      </c>
      <c r="F81" t="inlineStr">
        <is>
          <t>2023-12-06</t>
        </is>
      </c>
      <c r="G81" t="inlineStr">
        <is>
          <t>VC44759553</t>
        </is>
      </c>
      <c r="H81" t="inlineStr">
        <is>
          <t>cus_96ae9740e12a</t>
        </is>
      </c>
      <c r="I81" t="inlineStr">
        <is>
          <t>紅門互動股份有限公司</t>
        </is>
      </c>
      <c r="J81" t="inlineStr">
        <is>
          <t>53278454</t>
        </is>
      </c>
      <c r="K81" t="n">
        <v>0</v>
      </c>
      <c r="L81" t="n">
        <v>0</v>
      </c>
      <c r="M81" t="inlineStr">
        <is>
          <t>數據收益</t>
        </is>
      </c>
      <c r="N81" t="inlineStr">
        <is>
          <t>游子昀(Lilyan)</t>
        </is>
      </c>
      <c r="O81" t="inlineStr">
        <is>
          <t>105407台北市松山區南京東路四段126號11 樓之1</t>
        </is>
      </c>
      <c r="P81" t="inlineStr">
        <is>
          <t>finance@reddoor.com.tw</t>
        </is>
      </c>
      <c r="Q81" t="inlineStr">
        <is>
          <t>(02) 2570-8111#2801</t>
        </is>
      </c>
      <c r="R81" t="inlineStr"/>
      <c r="S81" t="inlineStr">
        <is>
          <t>已收款</t>
        </is>
      </c>
      <c r="T81" t="inlineStr">
        <is>
          <t>202311.0
來源：訂閱型發票及收款紀錄 第 83 列</t>
        </is>
      </c>
      <c r="U81" t="inlineStr">
        <is>
          <t>每月15日前開立發票隔月25日前匯款</t>
        </is>
      </c>
      <c r="V81" t="inlineStr">
        <is>
          <t>2026-05-18</t>
        </is>
      </c>
    </row>
    <row r="82">
      <c r="A82" t="inlineStr">
        <is>
          <t>inv_dbbb9cbf3e72</t>
        </is>
      </c>
      <c r="B82" t="inlineStr">
        <is>
          <t>Cobi</t>
        </is>
      </c>
      <c r="C82" t="inlineStr">
        <is>
          <t>2024-03-25</t>
        </is>
      </c>
      <c r="D82" t="inlineStr">
        <is>
          <t>2004785</t>
        </is>
      </c>
      <c r="E82" t="inlineStr">
        <is>
          <t>2024-01-15 00:00:00</t>
        </is>
      </c>
      <c r="F82" t="inlineStr">
        <is>
          <t>2023-12-06</t>
        </is>
      </c>
      <c r="G82" t="inlineStr">
        <is>
          <t>VC44759554</t>
        </is>
      </c>
      <c r="H82" t="inlineStr">
        <is>
          <t>cus_96ae9740e12a</t>
        </is>
      </c>
      <c r="I82" t="inlineStr">
        <is>
          <t>紅門互動股份有限公司</t>
        </is>
      </c>
      <c r="J82" t="inlineStr">
        <is>
          <t>53278454</t>
        </is>
      </c>
      <c r="K82" t="n">
        <v>0</v>
      </c>
      <c r="L82" t="n">
        <v>0</v>
      </c>
      <c r="M82" t="inlineStr">
        <is>
          <t>數據收益</t>
        </is>
      </c>
      <c r="N82" t="inlineStr">
        <is>
          <t>游子昀(Lilyan)</t>
        </is>
      </c>
      <c r="O82" t="inlineStr">
        <is>
          <t>105407台北市松山區南京東路四段126號11 樓之1</t>
        </is>
      </c>
      <c r="P82" t="inlineStr">
        <is>
          <t>finance@reddoor.com.tw</t>
        </is>
      </c>
      <c r="Q82" t="inlineStr">
        <is>
          <t>(02) 2570-8111#2801</t>
        </is>
      </c>
      <c r="R82" t="inlineStr"/>
      <c r="S82" t="inlineStr">
        <is>
          <t>已收款</t>
        </is>
      </c>
      <c r="T82" t="inlineStr">
        <is>
          <t>202312.0
來源：訂閱型發票及收款紀錄 第 84 列</t>
        </is>
      </c>
      <c r="U82" t="inlineStr">
        <is>
          <t>每月15日前開立發票隔月25日前匯款</t>
        </is>
      </c>
      <c r="V82" t="inlineStr">
        <is>
          <t>2026-05-18</t>
        </is>
      </c>
    </row>
    <row r="83">
      <c r="A83" t="inlineStr">
        <is>
          <t>inv_69648b2274d4</t>
        </is>
      </c>
      <c r="B83" t="inlineStr">
        <is>
          <t>Cobi</t>
        </is>
      </c>
      <c r="C83" t="inlineStr">
        <is>
          <t>2024-04-25</t>
        </is>
      </c>
      <c r="D83" t="inlineStr">
        <is>
          <t>2087475</t>
        </is>
      </c>
      <c r="E83" t="inlineStr">
        <is>
          <t>2024-02-15 00:00:00</t>
        </is>
      </c>
      <c r="F83" t="inlineStr">
        <is>
          <t>2024-02-16</t>
        </is>
      </c>
      <c r="G83" t="inlineStr">
        <is>
          <t>XE03693708</t>
        </is>
      </c>
      <c r="H83" t="inlineStr">
        <is>
          <t>cus_96ae9740e12a</t>
        </is>
      </c>
      <c r="I83" t="inlineStr">
        <is>
          <t>紅門互動股份有限公司</t>
        </is>
      </c>
      <c r="J83" t="inlineStr">
        <is>
          <t>53278454</t>
        </is>
      </c>
      <c r="K83" t="n">
        <v>0</v>
      </c>
      <c r="L83" t="n">
        <v>0</v>
      </c>
      <c r="M83" t="inlineStr">
        <is>
          <t>數據收益</t>
        </is>
      </c>
      <c r="N83" t="inlineStr">
        <is>
          <t>游子昀(Lilyan)</t>
        </is>
      </c>
      <c r="O83" t="inlineStr">
        <is>
          <t>105407台北市松山區南京東路四段126號11 樓之1</t>
        </is>
      </c>
      <c r="P83" t="inlineStr">
        <is>
          <t>finance@reddoor.com.tw</t>
        </is>
      </c>
      <c r="Q83" t="inlineStr">
        <is>
          <t>(02) 2570-8111#2801</t>
        </is>
      </c>
      <c r="R83" t="inlineStr"/>
      <c r="S83" t="inlineStr">
        <is>
          <t>已收款</t>
        </is>
      </c>
      <c r="T83" t="inlineStr">
        <is>
          <t>202401.0
來源：訂閱型發票及收款紀錄 第 85 列</t>
        </is>
      </c>
      <c r="U83" t="inlineStr">
        <is>
          <t>每月15日前開立發票隔月25日前匯款</t>
        </is>
      </c>
      <c r="V83" t="inlineStr">
        <is>
          <t>2026-05-18</t>
        </is>
      </c>
    </row>
    <row r="84">
      <c r="A84" t="inlineStr">
        <is>
          <t>inv_bbf8ecfdf40b</t>
        </is>
      </c>
      <c r="B84" t="inlineStr">
        <is>
          <t>Cobi</t>
        </is>
      </c>
      <c r="C84" t="inlineStr">
        <is>
          <t>2024-05-27</t>
        </is>
      </c>
      <c r="D84" t="inlineStr">
        <is>
          <t>2131292</t>
        </is>
      </c>
      <c r="E84" t="inlineStr">
        <is>
          <t>2024-03-15 00:00:00</t>
        </is>
      </c>
      <c r="F84" t="inlineStr">
        <is>
          <t>2024-03-18</t>
        </is>
      </c>
      <c r="G84" t="inlineStr">
        <is>
          <t>ZD03667388</t>
        </is>
      </c>
      <c r="H84" t="inlineStr">
        <is>
          <t>cus_96ae9740e12a</t>
        </is>
      </c>
      <c r="I84" t="inlineStr">
        <is>
          <t>紅門互動股份有限公司</t>
        </is>
      </c>
      <c r="J84" t="inlineStr">
        <is>
          <t>53278454</t>
        </is>
      </c>
      <c r="K84" t="n">
        <v>0</v>
      </c>
      <c r="L84" t="n">
        <v>0</v>
      </c>
      <c r="M84" t="inlineStr">
        <is>
          <t>數據收益</t>
        </is>
      </c>
      <c r="N84" t="inlineStr">
        <is>
          <t>Jennifer</t>
        </is>
      </c>
      <c r="O84" t="inlineStr">
        <is>
          <t>105407台北市松山區南京東路四段126號11 樓之1</t>
        </is>
      </c>
      <c r="P84" t="inlineStr">
        <is>
          <t>finance@reddoor.com.tw</t>
        </is>
      </c>
      <c r="Q84" t="inlineStr">
        <is>
          <t>(02) 2570-8111#2805</t>
        </is>
      </c>
      <c r="R84" t="inlineStr"/>
      <c r="S84" t="inlineStr">
        <is>
          <t>已收款</t>
        </is>
      </c>
      <c r="T84" t="inlineStr">
        <is>
          <t>202402.0
來源：訂閱型發票及收款紀錄 第 86 列</t>
        </is>
      </c>
      <c r="U84" t="inlineStr">
        <is>
          <t>每月15日前開立發票隔月25日前匯款</t>
        </is>
      </c>
      <c r="V84" t="inlineStr">
        <is>
          <t>2026-05-18</t>
        </is>
      </c>
    </row>
    <row r="85">
      <c r="A85" t="inlineStr">
        <is>
          <t>inv_3f2a220b8b5e</t>
        </is>
      </c>
      <c r="B85" t="inlineStr">
        <is>
          <t>Cobi</t>
        </is>
      </c>
      <c r="C85" t="inlineStr">
        <is>
          <t>2024-06-25</t>
        </is>
      </c>
      <c r="D85" t="inlineStr">
        <is>
          <t>2174628</t>
        </is>
      </c>
      <c r="E85" t="inlineStr">
        <is>
          <t>2024-04-15 00:00:00</t>
        </is>
      </c>
      <c r="F85" t="inlineStr">
        <is>
          <t>2024-04-18</t>
        </is>
      </c>
      <c r="G85" t="inlineStr">
        <is>
          <t>ZD03703355</t>
        </is>
      </c>
      <c r="H85" t="inlineStr">
        <is>
          <t>cus_96ae9740e12a</t>
        </is>
      </c>
      <c r="I85" t="inlineStr">
        <is>
          <t>紅門互動股份有限公司</t>
        </is>
      </c>
      <c r="J85" t="inlineStr">
        <is>
          <t>53278454</t>
        </is>
      </c>
      <c r="K85" t="n">
        <v>0</v>
      </c>
      <c r="L85" t="n">
        <v>0</v>
      </c>
      <c r="M85" t="inlineStr">
        <is>
          <t>數據收益</t>
        </is>
      </c>
      <c r="N85" t="inlineStr">
        <is>
          <t>Jennifer</t>
        </is>
      </c>
      <c r="O85" t="inlineStr">
        <is>
          <t>105407台北市松山區南京東路四段126號11 樓之1</t>
        </is>
      </c>
      <c r="P85" t="inlineStr">
        <is>
          <t>finance@reddoor.com.tw</t>
        </is>
      </c>
      <c r="Q85" t="inlineStr">
        <is>
          <t>(02) 2570-8111#2805</t>
        </is>
      </c>
      <c r="R85" t="inlineStr"/>
      <c r="S85" t="inlineStr">
        <is>
          <t>已收款</t>
        </is>
      </c>
      <c r="T85" t="inlineStr">
        <is>
          <t>202403.0
來源：訂閱型發票及收款紀錄 第 87 列</t>
        </is>
      </c>
      <c r="U85" t="inlineStr">
        <is>
          <t>每月15日前開立發票隔月25日前匯款</t>
        </is>
      </c>
      <c r="V85" t="inlineStr">
        <is>
          <t>2026-05-18</t>
        </is>
      </c>
    </row>
    <row r="86">
      <c r="A86" t="inlineStr">
        <is>
          <t>inv_243c2bfc8f9d</t>
        </is>
      </c>
      <c r="B86" t="inlineStr">
        <is>
          <t>Cobi</t>
        </is>
      </c>
      <c r="C86" t="inlineStr">
        <is>
          <t>2024-07-26</t>
        </is>
      </c>
      <c r="D86" t="inlineStr">
        <is>
          <t>2210842</t>
        </is>
      </c>
      <c r="E86" t="inlineStr">
        <is>
          <t>2024-05-15 00:00:00</t>
        </is>
      </c>
      <c r="F86" t="inlineStr">
        <is>
          <t>2024-05-15</t>
        </is>
      </c>
      <c r="G86" t="inlineStr">
        <is>
          <t>BD03662762</t>
        </is>
      </c>
      <c r="H86" t="inlineStr">
        <is>
          <t>cus_96ae9740e12a</t>
        </is>
      </c>
      <c r="I86" t="inlineStr">
        <is>
          <t>紅門互動股份有限公司</t>
        </is>
      </c>
      <c r="J86" t="inlineStr">
        <is>
          <t>53278454</t>
        </is>
      </c>
      <c r="K86" t="n">
        <v>0</v>
      </c>
      <c r="L86" t="n">
        <v>0</v>
      </c>
      <c r="M86" t="inlineStr">
        <is>
          <t>數據收益</t>
        </is>
      </c>
      <c r="N86" t="inlineStr">
        <is>
          <t>Jennifer</t>
        </is>
      </c>
      <c r="O86" t="inlineStr">
        <is>
          <t>105407台北市松山區南京東路四段126號11 樓之1</t>
        </is>
      </c>
      <c r="P86" t="inlineStr">
        <is>
          <t>finance@reddoor.com.tw</t>
        </is>
      </c>
      <c r="Q86" t="inlineStr">
        <is>
          <t>(02) 2570-8111#2805</t>
        </is>
      </c>
      <c r="R86" t="inlineStr"/>
      <c r="S86" t="inlineStr">
        <is>
          <t>已收款</t>
        </is>
      </c>
      <c r="T86" t="inlineStr">
        <is>
          <t>202404.0
來源：訂閱型發票及收款紀錄 第 88 列</t>
        </is>
      </c>
      <c r="U86" t="inlineStr">
        <is>
          <t>每月15日前開立發票隔月25日前匯款</t>
        </is>
      </c>
      <c r="V86" t="inlineStr">
        <is>
          <t>2026-05-18</t>
        </is>
      </c>
    </row>
    <row r="87">
      <c r="A87" t="inlineStr">
        <is>
          <t>inv_907d5d75a4a4</t>
        </is>
      </c>
      <c r="B87" t="inlineStr">
        <is>
          <t>Cobi</t>
        </is>
      </c>
      <c r="C87" t="inlineStr">
        <is>
          <t>2024-07-26</t>
        </is>
      </c>
      <c r="D87" t="inlineStr">
        <is>
          <t>2267210</t>
        </is>
      </c>
      <c r="E87" t="inlineStr">
        <is>
          <t>2024-06-20 00:00:00</t>
        </is>
      </c>
      <c r="F87" t="inlineStr">
        <is>
          <t>2024-06-21</t>
        </is>
      </c>
      <c r="G87" t="inlineStr">
        <is>
          <t>BD03713023</t>
        </is>
      </c>
      <c r="H87" t="inlineStr">
        <is>
          <t>cus_96ae9740e12a</t>
        </is>
      </c>
      <c r="I87" t="inlineStr">
        <is>
          <t>紅門互動股份有限公司</t>
        </is>
      </c>
      <c r="J87" t="inlineStr">
        <is>
          <t>53278454</t>
        </is>
      </c>
      <c r="K87" t="n">
        <v>0</v>
      </c>
      <c r="L87" t="n">
        <v>0</v>
      </c>
      <c r="M87" t="inlineStr">
        <is>
          <t>數據收益</t>
        </is>
      </c>
      <c r="N87" t="inlineStr">
        <is>
          <t>Jennifer</t>
        </is>
      </c>
      <c r="O87" t="inlineStr">
        <is>
          <t>105407台北市松山區南京東路四段126號11 樓之1</t>
        </is>
      </c>
      <c r="P87" t="inlineStr">
        <is>
          <t>finance@reddoor.com.tw</t>
        </is>
      </c>
      <c r="Q87" t="inlineStr">
        <is>
          <t>(02) 2570-8111#2805</t>
        </is>
      </c>
      <c r="R87" t="inlineStr"/>
      <c r="S87" t="inlineStr">
        <is>
          <t>已收款</t>
        </is>
      </c>
      <c r="T87" t="inlineStr">
        <is>
          <t>202405.0
來源：訂閱型發票及收款紀錄 第 89 列</t>
        </is>
      </c>
      <c r="U87" t="inlineStr">
        <is>
          <t>每月15日前開立發票隔月25日前匯款</t>
        </is>
      </c>
      <c r="V87" t="inlineStr">
        <is>
          <t>2026-05-18</t>
        </is>
      </c>
    </row>
    <row r="88">
      <c r="A88" t="inlineStr">
        <is>
          <t>inv_3e8f7ca49e77</t>
        </is>
      </c>
      <c r="B88" t="inlineStr">
        <is>
          <t>Cobi</t>
        </is>
      </c>
      <c r="C88" t="inlineStr">
        <is>
          <t>2024-09-25</t>
        </is>
      </c>
      <c r="D88" t="inlineStr">
        <is>
          <t>2302160</t>
        </is>
      </c>
      <c r="E88" t="inlineStr">
        <is>
          <t>2024-07-01 00:00:00</t>
        </is>
      </c>
      <c r="F88" t="inlineStr">
        <is>
          <t>2024-07-17</t>
        </is>
      </c>
      <c r="G88" t="inlineStr">
        <is>
          <t>DC03665230</t>
        </is>
      </c>
      <c r="H88" t="inlineStr">
        <is>
          <t>cus_96ae9740e12a</t>
        </is>
      </c>
      <c r="I88" t="inlineStr">
        <is>
          <t>紅門互動股份有限公司</t>
        </is>
      </c>
      <c r="J88" t="inlineStr">
        <is>
          <t>53278454</t>
        </is>
      </c>
      <c r="K88" t="n">
        <v>150000</v>
      </c>
      <c r="L88" t="n">
        <v>157500</v>
      </c>
      <c r="M88" t="inlineStr">
        <is>
          <t>數據收益</t>
        </is>
      </c>
      <c r="N88" t="inlineStr">
        <is>
          <t>Jennifer</t>
        </is>
      </c>
      <c r="O88" t="inlineStr">
        <is>
          <t>105407台北市松山區南京東路四段126號11 樓之1</t>
        </is>
      </c>
      <c r="P88" t="inlineStr">
        <is>
          <t>finance@reddoor.com.tw</t>
        </is>
      </c>
      <c r="Q88" t="inlineStr">
        <is>
          <t>(02) 2570-8111#2805</t>
        </is>
      </c>
      <c r="R88" t="inlineStr"/>
      <c r="S88" t="inlineStr">
        <is>
          <t>已收款</t>
        </is>
      </c>
      <c r="T88" t="inlineStr">
        <is>
          <t>202406.0
來源：訂閱型發票及收款紀錄 第 90 列</t>
        </is>
      </c>
      <c r="U88" t="inlineStr">
        <is>
          <t>每月15日前開立發票隔月25日前匯款</t>
        </is>
      </c>
      <c r="V88" t="inlineStr">
        <is>
          <t>2026-05-18</t>
        </is>
      </c>
    </row>
    <row r="89">
      <c r="A89" t="inlineStr">
        <is>
          <t>inv_e1385706298d</t>
        </is>
      </c>
      <c r="B89" t="inlineStr">
        <is>
          <t>Cobi</t>
        </is>
      </c>
      <c r="C89" t="inlineStr">
        <is>
          <t>2024-10-25</t>
        </is>
      </c>
      <c r="D89" t="inlineStr">
        <is>
          <t>2336485</t>
        </is>
      </c>
      <c r="E89" t="inlineStr">
        <is>
          <t>2024-08-01 00:00:00</t>
        </is>
      </c>
      <c r="F89" t="inlineStr">
        <is>
          <t>2024-08-15</t>
        </is>
      </c>
      <c r="G89" t="inlineStr">
        <is>
          <t>DC03695364</t>
        </is>
      </c>
      <c r="H89" t="inlineStr">
        <is>
          <t>cus_96ae9740e12a</t>
        </is>
      </c>
      <c r="I89" t="inlineStr">
        <is>
          <t>紅門互動股份有限公司</t>
        </is>
      </c>
      <c r="J89" t="inlineStr">
        <is>
          <t>53278454</t>
        </is>
      </c>
      <c r="K89" t="n">
        <v>150000</v>
      </c>
      <c r="L89" t="n">
        <v>157500</v>
      </c>
      <c r="M89" t="inlineStr">
        <is>
          <t>數據收益</t>
        </is>
      </c>
      <c r="N89" t="inlineStr">
        <is>
          <t>Jennifer</t>
        </is>
      </c>
      <c r="O89" t="inlineStr">
        <is>
          <t>105407台北市松山區南京東路四段126號11 樓之1</t>
        </is>
      </c>
      <c r="P89" t="inlineStr">
        <is>
          <t>finance@reddoor.com.tw</t>
        </is>
      </c>
      <c r="Q89" t="inlineStr">
        <is>
          <t>(02) 2570-8111#2805</t>
        </is>
      </c>
      <c r="R89" t="inlineStr"/>
      <c r="S89" t="inlineStr">
        <is>
          <t>已收款</t>
        </is>
      </c>
      <c r="T89" t="inlineStr">
        <is>
          <t>202407.0
來源：訂閱型發票及收款紀錄 第 91 列</t>
        </is>
      </c>
      <c r="U89" t="inlineStr">
        <is>
          <t>每月15日前開立發票隔月25日前匯款</t>
        </is>
      </c>
      <c r="V89" t="inlineStr">
        <is>
          <t>2026-05-18</t>
        </is>
      </c>
    </row>
    <row r="90">
      <c r="A90" t="inlineStr">
        <is>
          <t>inv_cc5c358cbd11</t>
        </is>
      </c>
      <c r="B90" t="inlineStr">
        <is>
          <t>Cobi</t>
        </is>
      </c>
      <c r="C90" t="inlineStr">
        <is>
          <t>2024-11-25</t>
        </is>
      </c>
      <c r="D90" t="inlineStr">
        <is>
          <t>2369236</t>
        </is>
      </c>
      <c r="E90" t="inlineStr">
        <is>
          <t>2024-09-01 00:00:00</t>
        </is>
      </c>
      <c r="F90" t="inlineStr">
        <is>
          <t>2024-09-13</t>
        </is>
      </c>
      <c r="G90" t="inlineStr">
        <is>
          <t>FB03658178</t>
        </is>
      </c>
      <c r="H90" t="inlineStr">
        <is>
          <t>cus_96ae9740e12a</t>
        </is>
      </c>
      <c r="I90" t="inlineStr">
        <is>
          <t>紅門互動股份有限公司</t>
        </is>
      </c>
      <c r="J90" t="inlineStr">
        <is>
          <t>53278454</t>
        </is>
      </c>
      <c r="K90" t="n">
        <v>150000</v>
      </c>
      <c r="L90" t="n">
        <v>157500</v>
      </c>
      <c r="M90" t="inlineStr">
        <is>
          <t>數據收益</t>
        </is>
      </c>
      <c r="N90" t="inlineStr">
        <is>
          <t>Jennifer</t>
        </is>
      </c>
      <c r="O90" t="inlineStr">
        <is>
          <t>105407台北市松山區南京東路四段126號11 樓之1</t>
        </is>
      </c>
      <c r="P90" t="inlineStr">
        <is>
          <t>finance@reddoor.com.tw</t>
        </is>
      </c>
      <c r="Q90" t="inlineStr">
        <is>
          <t>(02) 2570-8111#2805</t>
        </is>
      </c>
      <c r="R90" t="inlineStr"/>
      <c r="S90" t="inlineStr">
        <is>
          <t>已收款</t>
        </is>
      </c>
      <c r="T90" t="inlineStr">
        <is>
          <t>202408.0
來源：訂閱型發票及收款紀錄 第 92 列</t>
        </is>
      </c>
      <c r="U90" t="inlineStr">
        <is>
          <t>每月15日前開立發票隔月25日前匯款</t>
        </is>
      </c>
      <c r="V90" t="inlineStr">
        <is>
          <t>2026-05-18</t>
        </is>
      </c>
    </row>
    <row r="91">
      <c r="A91" t="inlineStr">
        <is>
          <t>inv_c9ab33506690</t>
        </is>
      </c>
      <c r="B91" t="inlineStr">
        <is>
          <t>Cobi</t>
        </is>
      </c>
      <c r="C91" t="inlineStr">
        <is>
          <t>2024-12-25</t>
        </is>
      </c>
      <c r="D91" t="inlineStr">
        <is>
          <t>2402159</t>
        </is>
      </c>
      <c r="E91" t="inlineStr">
        <is>
          <t>2024-10-01 00:00:00</t>
        </is>
      </c>
      <c r="F91" t="inlineStr"/>
      <c r="G91" t="inlineStr">
        <is>
          <t>FB03688267</t>
        </is>
      </c>
      <c r="H91" t="inlineStr">
        <is>
          <t>cus_96ae9740e12a</t>
        </is>
      </c>
      <c r="I91" t="inlineStr">
        <is>
          <t>紅門互動股份有限公司</t>
        </is>
      </c>
      <c r="J91" t="inlineStr">
        <is>
          <t>53278454</t>
        </is>
      </c>
      <c r="K91" t="n">
        <v>150000</v>
      </c>
      <c r="L91" t="n">
        <v>157500</v>
      </c>
      <c r="M91" t="inlineStr">
        <is>
          <t>數據收益</t>
        </is>
      </c>
      <c r="N91" t="inlineStr">
        <is>
          <t>Jennifer</t>
        </is>
      </c>
      <c r="O91" t="inlineStr">
        <is>
          <t>105407台北市松山區南京東路四段126號11 樓之1</t>
        </is>
      </c>
      <c r="P91" t="inlineStr">
        <is>
          <t>finance@reddoor.com.tw</t>
        </is>
      </c>
      <c r="Q91" t="inlineStr">
        <is>
          <t>(02) 2570-8111#2805</t>
        </is>
      </c>
      <c r="R91" t="inlineStr"/>
      <c r="S91" t="inlineStr">
        <is>
          <t>已收款</t>
        </is>
      </c>
      <c r="T91" t="inlineStr">
        <is>
          <t>202409.0
來源：訂閱型發票及收款紀錄 第 93 列</t>
        </is>
      </c>
      <c r="U91" t="inlineStr">
        <is>
          <t>每月15日前開立發票隔月25日前匯款</t>
        </is>
      </c>
      <c r="V91" t="inlineStr">
        <is>
          <t>2026-05-18</t>
        </is>
      </c>
    </row>
    <row r="92">
      <c r="A92" t="inlineStr">
        <is>
          <t>inv_3080d8e25d39</t>
        </is>
      </c>
      <c r="B92" t="inlineStr">
        <is>
          <t>許瀞鍶</t>
        </is>
      </c>
      <c r="C92" t="inlineStr">
        <is>
          <t>2025-02-03</t>
        </is>
      </c>
      <c r="D92" t="inlineStr">
        <is>
          <t>2438780</t>
        </is>
      </c>
      <c r="E92" t="inlineStr">
        <is>
          <t>2024-11-01 00:00:00</t>
        </is>
      </c>
      <c r="F92" t="inlineStr">
        <is>
          <t>2024-11-15</t>
        </is>
      </c>
      <c r="G92" t="inlineStr">
        <is>
          <t>HA03664247</t>
        </is>
      </c>
      <c r="H92" t="inlineStr">
        <is>
          <t>cus_96ae9740e12a</t>
        </is>
      </c>
      <c r="I92" t="inlineStr">
        <is>
          <t>紅門互動股份有限公司</t>
        </is>
      </c>
      <c r="J92" t="inlineStr">
        <is>
          <t>53278454</t>
        </is>
      </c>
      <c r="K92" t="n">
        <v>150000</v>
      </c>
      <c r="L92" t="n">
        <v>157500</v>
      </c>
      <c r="M92" t="inlineStr">
        <is>
          <t>數據收益</t>
        </is>
      </c>
      <c r="N92" t="inlineStr">
        <is>
          <t>Jennifer</t>
        </is>
      </c>
      <c r="O92" t="inlineStr">
        <is>
          <t>105407台北市松山區南京東路四段126號11 樓之1</t>
        </is>
      </c>
      <c r="P92" t="inlineStr">
        <is>
          <t>finance@reddoor.com.tw</t>
        </is>
      </c>
      <c r="Q92" t="inlineStr">
        <is>
          <t>(02) 2570-8111#2805</t>
        </is>
      </c>
      <c r="R92" t="inlineStr"/>
      <c r="S92" t="inlineStr">
        <is>
          <t>已收款</t>
        </is>
      </c>
      <c r="T92" t="inlineStr">
        <is>
          <t>202410.0
來源：訂閱型發票及收款紀錄 第 94 列</t>
        </is>
      </c>
      <c r="U92" t="inlineStr">
        <is>
          <t>每月15日前開立發票隔月25日前匯款</t>
        </is>
      </c>
      <c r="V92" t="inlineStr">
        <is>
          <t>2026-05-18</t>
        </is>
      </c>
    </row>
    <row r="93">
      <c r="A93" t="inlineStr">
        <is>
          <t>inv_ec8e8de20d34</t>
        </is>
      </c>
      <c r="B93" t="inlineStr">
        <is>
          <t>許瀞鍶</t>
        </is>
      </c>
      <c r="C93" t="inlineStr">
        <is>
          <t>2025-03-05</t>
        </is>
      </c>
      <c r="D93" t="inlineStr">
        <is>
          <t>2464507</t>
        </is>
      </c>
      <c r="E93" t="inlineStr">
        <is>
          <t>2024-12-01 00:00:00</t>
        </is>
      </c>
      <c r="F93" t="inlineStr">
        <is>
          <t>2024-12-10</t>
        </is>
      </c>
      <c r="G93" t="inlineStr">
        <is>
          <t>HA03687682</t>
        </is>
      </c>
      <c r="H93" t="inlineStr">
        <is>
          <t>cus_96ae9740e12a</t>
        </is>
      </c>
      <c r="I93" t="inlineStr">
        <is>
          <t>紅門互動股份有限公司</t>
        </is>
      </c>
      <c r="J93" t="inlineStr">
        <is>
          <t>53278454</t>
        </is>
      </c>
      <c r="K93" t="n">
        <v>150000</v>
      </c>
      <c r="L93" t="n">
        <v>157500</v>
      </c>
      <c r="M93" t="inlineStr">
        <is>
          <t>數據收益</t>
        </is>
      </c>
      <c r="N93" t="inlineStr">
        <is>
          <t>Jennifer</t>
        </is>
      </c>
      <c r="O93" t="inlineStr">
        <is>
          <t>105407台北市松山區南京東路四段126號11 樓之1</t>
        </is>
      </c>
      <c r="P93" t="inlineStr">
        <is>
          <t>finance@reddoor.com.tw</t>
        </is>
      </c>
      <c r="Q93" t="inlineStr">
        <is>
          <t>(02) 2570-8111#2805</t>
        </is>
      </c>
      <c r="R93" t="inlineStr"/>
      <c r="S93" t="inlineStr">
        <is>
          <t>已收款</t>
        </is>
      </c>
      <c r="T93" t="inlineStr">
        <is>
          <t>202411.0
來源：訂閱型發票及收款紀錄 第 95 列</t>
        </is>
      </c>
      <c r="U93" t="inlineStr">
        <is>
          <t>每月15日前開立發票隔月25日前匯款</t>
        </is>
      </c>
      <c r="V93" t="inlineStr">
        <is>
          <t>2026-05-18</t>
        </is>
      </c>
    </row>
    <row r="94">
      <c r="A94" t="inlineStr">
        <is>
          <t>inv_504ec5d3a046</t>
        </is>
      </c>
      <c r="B94" t="inlineStr">
        <is>
          <t>許瀞鍶</t>
        </is>
      </c>
      <c r="C94" t="inlineStr">
        <is>
          <t>2025-04-02</t>
        </is>
      </c>
      <c r="D94" t="inlineStr">
        <is>
          <t>2501904</t>
        </is>
      </c>
      <c r="E94" t="inlineStr">
        <is>
          <t>2025-01-01 00:00:00</t>
        </is>
      </c>
      <c r="F94" t="inlineStr">
        <is>
          <t>2025-01-13</t>
        </is>
      </c>
      <c r="G94" t="inlineStr">
        <is>
          <t>JY43833656</t>
        </is>
      </c>
      <c r="H94" t="inlineStr">
        <is>
          <t>cus_96ae9740e12a</t>
        </is>
      </c>
      <c r="I94" t="inlineStr">
        <is>
          <t>紅門互動股份有限公司</t>
        </is>
      </c>
      <c r="J94" t="inlineStr">
        <is>
          <t>53278454</t>
        </is>
      </c>
      <c r="K94" t="n">
        <v>150000</v>
      </c>
      <c r="L94" t="n">
        <v>157500</v>
      </c>
      <c r="M94" t="inlineStr">
        <is>
          <t>數據收益</t>
        </is>
      </c>
      <c r="N94" t="inlineStr">
        <is>
          <t>Jennifer</t>
        </is>
      </c>
      <c r="O94" t="inlineStr">
        <is>
          <t>105407台北市松山區南京東路四段126號11 樓之1</t>
        </is>
      </c>
      <c r="P94" t="inlineStr">
        <is>
          <t>finance@reddoor.com.tw</t>
        </is>
      </c>
      <c r="Q94" t="inlineStr">
        <is>
          <t>(02) 2570-8111#2805</t>
        </is>
      </c>
      <c r="R94" t="inlineStr"/>
      <c r="S94" t="inlineStr">
        <is>
          <t>已收款</t>
        </is>
      </c>
      <c r="T94" t="inlineStr">
        <is>
          <t>202412.0
來源：訂閱型發票及收款紀錄 第 96 列</t>
        </is>
      </c>
      <c r="U94" t="inlineStr">
        <is>
          <t>每月15日前開立發票隔月25日前匯款</t>
        </is>
      </c>
      <c r="V94" t="inlineStr">
        <is>
          <t>2026-05-18</t>
        </is>
      </c>
    </row>
    <row r="95">
      <c r="A95" t="inlineStr">
        <is>
          <t>inv_e2e833683073</t>
        </is>
      </c>
      <c r="B95" t="inlineStr">
        <is>
          <t>許瀞鍶</t>
        </is>
      </c>
      <c r="C95" t="inlineStr">
        <is>
          <t>2025-05-05</t>
        </is>
      </c>
      <c r="D95" t="inlineStr">
        <is>
          <t>2533815</t>
        </is>
      </c>
      <c r="E95" t="inlineStr">
        <is>
          <t>2025-02-01 00:00:00</t>
        </is>
      </c>
      <c r="F95" t="inlineStr">
        <is>
          <t>2025-02-14</t>
        </is>
      </c>
      <c r="G95" t="inlineStr">
        <is>
          <t>JY43863211</t>
        </is>
      </c>
      <c r="H95" t="inlineStr">
        <is>
          <t>cus_96ae9740e12a</t>
        </is>
      </c>
      <c r="I95" t="inlineStr">
        <is>
          <t>紅門互動股份有限公司</t>
        </is>
      </c>
      <c r="J95" t="inlineStr">
        <is>
          <t>53278454</t>
        </is>
      </c>
      <c r="K95" t="n">
        <v>150000</v>
      </c>
      <c r="L95" t="n">
        <v>157500</v>
      </c>
      <c r="M95" t="inlineStr">
        <is>
          <t>數據收益</t>
        </is>
      </c>
      <c r="N95" t="inlineStr">
        <is>
          <t>Jennifer</t>
        </is>
      </c>
      <c r="O95" t="inlineStr">
        <is>
          <t>105407台北市松山區南京東路四段126號11 樓之1</t>
        </is>
      </c>
      <c r="P95" t="inlineStr">
        <is>
          <t>finance@reddoor.com.tw</t>
        </is>
      </c>
      <c r="Q95" t="inlineStr">
        <is>
          <t>(02) 2570-8111#2805</t>
        </is>
      </c>
      <c r="R95" t="inlineStr"/>
      <c r="S95" t="inlineStr">
        <is>
          <t>已收款</t>
        </is>
      </c>
      <c r="T95" t="inlineStr">
        <is>
          <t>202501.0
來源：訂閱型發票及收款紀錄 第 97 列</t>
        </is>
      </c>
      <c r="U95" t="inlineStr">
        <is>
          <t>每月15日前開立發票隔月25日前匯款</t>
        </is>
      </c>
      <c r="V95" t="inlineStr">
        <is>
          <t>2026-05-18</t>
        </is>
      </c>
    </row>
    <row r="96">
      <c r="A96" t="inlineStr">
        <is>
          <t>inv_50b14b1ecb3b</t>
        </is>
      </c>
      <c r="B96" t="inlineStr">
        <is>
          <t>許瀞鍶</t>
        </is>
      </c>
      <c r="C96" t="inlineStr">
        <is>
          <t>2025-06-05</t>
        </is>
      </c>
      <c r="D96" t="inlineStr">
        <is>
          <t>2565605</t>
        </is>
      </c>
      <c r="E96" t="inlineStr">
        <is>
          <t>2025-03-01 00:00:00</t>
        </is>
      </c>
      <c r="F96" t="inlineStr">
        <is>
          <t>2025-03-17</t>
        </is>
      </c>
      <c r="G96" t="inlineStr">
        <is>
          <t>LY43836520</t>
        </is>
      </c>
      <c r="H96" t="inlineStr">
        <is>
          <t>cus_96ae9740e12a</t>
        </is>
      </c>
      <c r="I96" t="inlineStr">
        <is>
          <t>紅門互動股份有限公司</t>
        </is>
      </c>
      <c r="J96" t="inlineStr">
        <is>
          <t>53278454</t>
        </is>
      </c>
      <c r="K96" t="n">
        <v>150000</v>
      </c>
      <c r="L96" t="n">
        <v>157500</v>
      </c>
      <c r="M96" t="inlineStr">
        <is>
          <t>數據收益</t>
        </is>
      </c>
      <c r="N96" t="inlineStr">
        <is>
          <t>Jennifer</t>
        </is>
      </c>
      <c r="O96" t="inlineStr">
        <is>
          <t>105407台北市松山區南京東路四段126號11 樓之1</t>
        </is>
      </c>
      <c r="P96" t="inlineStr">
        <is>
          <t>finance@reddoor.com.tw</t>
        </is>
      </c>
      <c r="Q96" t="inlineStr">
        <is>
          <t>(02) 2570-8111#2805</t>
        </is>
      </c>
      <c r="R96" t="inlineStr"/>
      <c r="S96" t="inlineStr">
        <is>
          <t>已收款</t>
        </is>
      </c>
      <c r="T96" t="inlineStr">
        <is>
          <t>202502.0
來源：訂閱型發票及收款紀錄 第 98 列</t>
        </is>
      </c>
      <c r="U96" t="inlineStr">
        <is>
          <t>每月15日前開立發票隔月25日前匯款</t>
        </is>
      </c>
      <c r="V96" t="inlineStr">
        <is>
          <t>2026-05-18</t>
        </is>
      </c>
    </row>
    <row r="97">
      <c r="A97" t="inlineStr">
        <is>
          <t>inv_df0ee5821274</t>
        </is>
      </c>
      <c r="B97" t="inlineStr">
        <is>
          <t>許瀞鍶</t>
        </is>
      </c>
      <c r="C97" t="inlineStr">
        <is>
          <t>2025-07-04</t>
        </is>
      </c>
      <c r="D97" t="inlineStr">
        <is>
          <t>2596415</t>
        </is>
      </c>
      <c r="E97" t="inlineStr">
        <is>
          <t>2025-04-01 00:00:00</t>
        </is>
      </c>
      <c r="F97" t="inlineStr">
        <is>
          <t>2025-04-15</t>
        </is>
      </c>
      <c r="G97" t="inlineStr">
        <is>
          <t>LY43863872</t>
        </is>
      </c>
      <c r="H97" t="inlineStr">
        <is>
          <t>cus_96ae9740e12a</t>
        </is>
      </c>
      <c r="I97" t="inlineStr">
        <is>
          <t>紅門互動股份有限公司</t>
        </is>
      </c>
      <c r="J97" t="inlineStr">
        <is>
          <t>53278454</t>
        </is>
      </c>
      <c r="K97" t="n">
        <v>150000</v>
      </c>
      <c r="L97" t="n">
        <v>157500</v>
      </c>
      <c r="M97" t="inlineStr">
        <is>
          <t>數據收益</t>
        </is>
      </c>
      <c r="N97" t="inlineStr">
        <is>
          <t>Jennifer</t>
        </is>
      </c>
      <c r="O97" t="inlineStr">
        <is>
          <t>105407台北市松山區南京東路四段126號11 樓之1</t>
        </is>
      </c>
      <c r="P97" t="inlineStr">
        <is>
          <t>finance@reddoor.com.tw</t>
        </is>
      </c>
      <c r="Q97" t="inlineStr">
        <is>
          <t>(02) 2570-8111#2805</t>
        </is>
      </c>
      <c r="R97" t="inlineStr"/>
      <c r="S97" t="inlineStr">
        <is>
          <t>已收款</t>
        </is>
      </c>
      <c r="T97" t="inlineStr">
        <is>
          <t>202503.0
來源：訂閱型發票及收款紀錄 第 99 列</t>
        </is>
      </c>
      <c r="U97" t="inlineStr">
        <is>
          <t>每月15日前開立發票隔月25日前匯款</t>
        </is>
      </c>
      <c r="V97" t="inlineStr">
        <is>
          <t>2026-05-18</t>
        </is>
      </c>
    </row>
    <row r="98">
      <c r="A98" t="inlineStr">
        <is>
          <t>inv_c5f5d44853a0</t>
        </is>
      </c>
      <c r="B98" t="inlineStr">
        <is>
          <t>許瀞鍶</t>
        </is>
      </c>
      <c r="C98" t="inlineStr">
        <is>
          <t>2025-08-05</t>
        </is>
      </c>
      <c r="D98" t="inlineStr">
        <is>
          <t>2627669</t>
        </is>
      </c>
      <c r="E98" t="inlineStr">
        <is>
          <t>2025-05-01 00:00:00</t>
        </is>
      </c>
      <c r="F98" t="inlineStr">
        <is>
          <t>2025-05-15</t>
        </is>
      </c>
      <c r="G98" t="inlineStr">
        <is>
          <t>NY43836275</t>
        </is>
      </c>
      <c r="H98" t="inlineStr">
        <is>
          <t>cus_96ae9740e12a</t>
        </is>
      </c>
      <c r="I98" t="inlineStr">
        <is>
          <t>紅門互動股份有限公司</t>
        </is>
      </c>
      <c r="J98" t="inlineStr">
        <is>
          <t>53278454</t>
        </is>
      </c>
      <c r="K98" t="n">
        <v>150000</v>
      </c>
      <c r="L98" t="n">
        <v>157500</v>
      </c>
      <c r="M98" t="inlineStr">
        <is>
          <t>數據收益</t>
        </is>
      </c>
      <c r="N98" t="inlineStr">
        <is>
          <t>Jennifer</t>
        </is>
      </c>
      <c r="O98" t="inlineStr">
        <is>
          <t>105407台北市松山區南京東路四段126號11 樓之1</t>
        </is>
      </c>
      <c r="P98" t="inlineStr">
        <is>
          <t>finance@reddoor.com.tw</t>
        </is>
      </c>
      <c r="Q98" t="inlineStr">
        <is>
          <t>(02) 2570-8111#2805</t>
        </is>
      </c>
      <c r="R98" t="inlineStr"/>
      <c r="S98" t="inlineStr">
        <is>
          <t>已收款</t>
        </is>
      </c>
      <c r="T98" t="inlineStr">
        <is>
          <t>202504.0
來源：訂閱型發票及收款紀錄 第 100 列</t>
        </is>
      </c>
      <c r="U98" t="inlineStr">
        <is>
          <t>每月15日前開立發票隔月25日前匯款</t>
        </is>
      </c>
      <c r="V98" t="inlineStr">
        <is>
          <t>2026-05-18</t>
        </is>
      </c>
    </row>
    <row r="99">
      <c r="A99" t="inlineStr">
        <is>
          <t>inv_93491953802b</t>
        </is>
      </c>
      <c r="B99" t="inlineStr">
        <is>
          <t>許瀞鍶</t>
        </is>
      </c>
      <c r="C99" t="inlineStr">
        <is>
          <t>2025-09-05</t>
        </is>
      </c>
      <c r="D99" t="inlineStr">
        <is>
          <t>2661573</t>
        </is>
      </c>
      <c r="E99" t="inlineStr">
        <is>
          <t>2025-06-01 00:00:00</t>
        </is>
      </c>
      <c r="F99" t="inlineStr">
        <is>
          <t>2025-06-13</t>
        </is>
      </c>
      <c r="G99" t="inlineStr">
        <is>
          <t>NY43866729</t>
        </is>
      </c>
      <c r="H99" t="inlineStr">
        <is>
          <t>cus_96ae9740e12a</t>
        </is>
      </c>
      <c r="I99" t="inlineStr">
        <is>
          <t>紅門互動股份有限公司</t>
        </is>
      </c>
      <c r="J99" t="inlineStr">
        <is>
          <t>53278454</t>
        </is>
      </c>
      <c r="K99" t="n">
        <v>150000</v>
      </c>
      <c r="L99" t="n">
        <v>157500</v>
      </c>
      <c r="M99" t="inlineStr">
        <is>
          <t>數據收益</t>
        </is>
      </c>
      <c r="N99" t="inlineStr">
        <is>
          <t>Jennifer</t>
        </is>
      </c>
      <c r="O99" t="inlineStr">
        <is>
          <t>105407台北市松山區南京東路四段126號11 樓之1</t>
        </is>
      </c>
      <c r="P99" t="inlineStr">
        <is>
          <t>finance@reddoor.com.tw</t>
        </is>
      </c>
      <c r="Q99" t="inlineStr">
        <is>
          <t>(02) 2570-8111#2805</t>
        </is>
      </c>
      <c r="R99" t="inlineStr"/>
      <c r="S99" t="inlineStr">
        <is>
          <t>已收款</t>
        </is>
      </c>
      <c r="T99" t="inlineStr">
        <is>
          <t>202505.0
來源：訂閱型發票及收款紀錄 第 101 列</t>
        </is>
      </c>
      <c r="U99" t="inlineStr">
        <is>
          <t>每月15日前開立發票隔月25日前匯款</t>
        </is>
      </c>
      <c r="V99" t="inlineStr">
        <is>
          <t>2026-05-18</t>
        </is>
      </c>
    </row>
    <row r="100">
      <c r="A100" t="inlineStr">
        <is>
          <t>inv_268c4eb68185</t>
        </is>
      </c>
      <c r="B100" t="inlineStr">
        <is>
          <t>許瀞鍶</t>
        </is>
      </c>
      <c r="C100" t="inlineStr">
        <is>
          <t>2025-10-07</t>
        </is>
      </c>
      <c r="D100" t="inlineStr">
        <is>
          <t>2698641</t>
        </is>
      </c>
      <c r="E100" t="inlineStr">
        <is>
          <t>2025-07-01 00:00:00</t>
        </is>
      </c>
      <c r="F100" t="inlineStr">
        <is>
          <t>2025-07-15</t>
        </is>
      </c>
      <c r="G100" t="inlineStr"/>
      <c r="H100" t="inlineStr">
        <is>
          <t>cus_96ae9740e12a</t>
        </is>
      </c>
      <c r="I100" t="inlineStr">
        <is>
          <t>紅門互動股份有限公司</t>
        </is>
      </c>
      <c r="J100" t="inlineStr">
        <is>
          <t>53278454</t>
        </is>
      </c>
      <c r="K100" t="n">
        <v>150000</v>
      </c>
      <c r="L100" t="n">
        <v>157500</v>
      </c>
      <c r="M100" t="inlineStr">
        <is>
          <t>數據收益</t>
        </is>
      </c>
      <c r="N100" t="inlineStr">
        <is>
          <t>Jennifer</t>
        </is>
      </c>
      <c r="O100" t="inlineStr">
        <is>
          <t>105407台北市松山區南京東路四段126號11 樓之1</t>
        </is>
      </c>
      <c r="P100" t="inlineStr">
        <is>
          <t>finance@reddoor.com.tw</t>
        </is>
      </c>
      <c r="Q100" t="inlineStr">
        <is>
          <t>(02) 2570-8111#2805</t>
        </is>
      </c>
      <c r="R100" t="inlineStr"/>
      <c r="S100" t="inlineStr">
        <is>
          <t>已收款</t>
        </is>
      </c>
      <c r="T100" t="inlineStr">
        <is>
          <t>202506.0
來源：訂閱型發票及收款紀錄 第 102 列</t>
        </is>
      </c>
      <c r="U100" t="inlineStr">
        <is>
          <t>每月15日前開立發票隔月25日前匯款</t>
        </is>
      </c>
      <c r="V100" t="inlineStr">
        <is>
          <t>2026-05-18</t>
        </is>
      </c>
    </row>
    <row r="101">
      <c r="A101" t="inlineStr">
        <is>
          <t>inv_39d861bc3455</t>
        </is>
      </c>
      <c r="B101" t="inlineStr">
        <is>
          <t>許瀞鍶</t>
        </is>
      </c>
      <c r="C101" t="inlineStr">
        <is>
          <t>2025-11-07</t>
        </is>
      </c>
      <c r="D101" t="inlineStr">
        <is>
          <t>2735154</t>
        </is>
      </c>
      <c r="E101" t="inlineStr">
        <is>
          <t>2025-08-01 00:00:00</t>
        </is>
      </c>
      <c r="F101" t="inlineStr">
        <is>
          <t>2025-08-15</t>
        </is>
      </c>
      <c r="G101" t="inlineStr"/>
      <c r="H101" t="inlineStr">
        <is>
          <t>cus_96ae9740e12a</t>
        </is>
      </c>
      <c r="I101" t="inlineStr">
        <is>
          <t>紅門互動股份有限公司</t>
        </is>
      </c>
      <c r="J101" t="inlineStr">
        <is>
          <t>53278454</t>
        </is>
      </c>
      <c r="K101" t="n">
        <v>150000</v>
      </c>
      <c r="L101" t="n">
        <v>157500</v>
      </c>
      <c r="M101" t="inlineStr">
        <is>
          <t>數據收益</t>
        </is>
      </c>
      <c r="N101" t="inlineStr">
        <is>
          <t>Jennifer</t>
        </is>
      </c>
      <c r="O101" t="inlineStr">
        <is>
          <t>105407台北市松山區南京東路四段126號11 樓之1</t>
        </is>
      </c>
      <c r="P101" t="inlineStr">
        <is>
          <t>finance@reddoor.com.tw</t>
        </is>
      </c>
      <c r="Q101" t="inlineStr">
        <is>
          <t>(02) 2570-8111#2805</t>
        </is>
      </c>
      <c r="R101" t="inlineStr"/>
      <c r="S101" t="inlineStr">
        <is>
          <t>已收款</t>
        </is>
      </c>
      <c r="T101" t="inlineStr">
        <is>
          <t>202507.0
來源：訂閱型發票及收款紀錄 第 103 列</t>
        </is>
      </c>
      <c r="U101" t="inlineStr">
        <is>
          <t>每月15日前開立發票隔月25日前匯款</t>
        </is>
      </c>
      <c r="V101" t="inlineStr">
        <is>
          <t>2026-05-18</t>
        </is>
      </c>
    </row>
    <row r="102">
      <c r="A102" t="inlineStr">
        <is>
          <t>inv_f0f24fdd0c18</t>
        </is>
      </c>
      <c r="B102" t="inlineStr">
        <is>
          <t>許瀞鍶</t>
        </is>
      </c>
      <c r="C102" t="inlineStr">
        <is>
          <t>2025-12-05</t>
        </is>
      </c>
      <c r="D102" t="inlineStr">
        <is>
          <t>2772897</t>
        </is>
      </c>
      <c r="E102" t="inlineStr">
        <is>
          <t>2025-09-01 00:00:00</t>
        </is>
      </c>
      <c r="F102" t="inlineStr">
        <is>
          <t>2025-09-15</t>
        </is>
      </c>
      <c r="G102" t="inlineStr"/>
      <c r="H102" t="inlineStr">
        <is>
          <t>cus_96ae9740e12a</t>
        </is>
      </c>
      <c r="I102" t="inlineStr">
        <is>
          <t>紅門互動股份有限公司</t>
        </is>
      </c>
      <c r="J102" t="inlineStr">
        <is>
          <t>53278454</t>
        </is>
      </c>
      <c r="K102" t="n">
        <v>150000</v>
      </c>
      <c r="L102" t="n">
        <v>157500</v>
      </c>
      <c r="M102" t="inlineStr">
        <is>
          <t>數據收益</t>
        </is>
      </c>
      <c r="N102" t="inlineStr">
        <is>
          <t>Jennifer</t>
        </is>
      </c>
      <c r="O102" t="inlineStr">
        <is>
          <t>105407台北市松山區南京東路四段126號11 樓之1</t>
        </is>
      </c>
      <c r="P102" t="inlineStr">
        <is>
          <t>finance@reddoor.com.tw</t>
        </is>
      </c>
      <c r="Q102" t="inlineStr">
        <is>
          <t>(02) 2570-8111#2805</t>
        </is>
      </c>
      <c r="R102" t="inlineStr"/>
      <c r="S102" t="inlineStr">
        <is>
          <t>已收款</t>
        </is>
      </c>
      <c r="T102" t="inlineStr">
        <is>
          <t>202508.0
來源：訂閱型發票及收款紀錄 第 104 列</t>
        </is>
      </c>
      <c r="U102" t="inlineStr">
        <is>
          <t>每月15日前開立發票隔月25日前匯款</t>
        </is>
      </c>
      <c r="V102" t="inlineStr">
        <is>
          <t>2026-05-18</t>
        </is>
      </c>
    </row>
    <row r="103">
      <c r="A103" t="inlineStr">
        <is>
          <t>inv_b453b08746c6</t>
        </is>
      </c>
      <c r="B103" t="inlineStr">
        <is>
          <t>許瀞鍶</t>
        </is>
      </c>
      <c r="C103" t="inlineStr">
        <is>
          <t>2026-01-05</t>
        </is>
      </c>
      <c r="D103" t="inlineStr">
        <is>
          <t>2806648</t>
        </is>
      </c>
      <c r="E103" t="inlineStr">
        <is>
          <t>2025-10-01 00:00:00</t>
        </is>
      </c>
      <c r="F103" t="inlineStr">
        <is>
          <t>2025-10-15</t>
        </is>
      </c>
      <c r="G103" t="inlineStr"/>
      <c r="H103" t="inlineStr">
        <is>
          <t>cus_96ae9740e12a</t>
        </is>
      </c>
      <c r="I103" t="inlineStr">
        <is>
          <t>紅門互動股份有限公司</t>
        </is>
      </c>
      <c r="J103" t="inlineStr">
        <is>
          <t>53278454</t>
        </is>
      </c>
      <c r="K103" t="n">
        <v>150000</v>
      </c>
      <c r="L103" t="n">
        <v>157500</v>
      </c>
      <c r="M103" t="inlineStr">
        <is>
          <t>數據收益</t>
        </is>
      </c>
      <c r="N103" t="inlineStr">
        <is>
          <t>Jennifer</t>
        </is>
      </c>
      <c r="O103" t="inlineStr">
        <is>
          <t>105407台北市松山區南京東路四段126號11 樓之1</t>
        </is>
      </c>
      <c r="P103" t="inlineStr">
        <is>
          <t>finance@reddoor.com.tw</t>
        </is>
      </c>
      <c r="Q103" t="inlineStr">
        <is>
          <t>(02) 2570-8111#2805</t>
        </is>
      </c>
      <c r="R103" t="inlineStr"/>
      <c r="S103" t="inlineStr">
        <is>
          <t>已收款</t>
        </is>
      </c>
      <c r="T103" t="inlineStr">
        <is>
          <t>202509.0
來源：訂閱型發票及收款紀錄 第 105 列</t>
        </is>
      </c>
      <c r="U103" t="inlineStr">
        <is>
          <t>每月15日前開立發票隔月25日前匯款</t>
        </is>
      </c>
      <c r="V103" t="inlineStr">
        <is>
          <t>2026-05-18</t>
        </is>
      </c>
    </row>
    <row r="104">
      <c r="A104" t="inlineStr">
        <is>
          <t>inv_317d87c4e500</t>
        </is>
      </c>
      <c r="B104" t="inlineStr">
        <is>
          <t>許瀞鍶</t>
        </is>
      </c>
      <c r="C104" t="inlineStr">
        <is>
          <t>2026-02-10</t>
        </is>
      </c>
      <c r="D104" t="inlineStr">
        <is>
          <t>2844622</t>
        </is>
      </c>
      <c r="E104" t="inlineStr">
        <is>
          <t>2025-11-01 00:00:00</t>
        </is>
      </c>
      <c r="F104" t="inlineStr">
        <is>
          <t>2025-11-15</t>
        </is>
      </c>
      <c r="G104" t="inlineStr"/>
      <c r="H104" t="inlineStr">
        <is>
          <t>cus_96ae9740e12a</t>
        </is>
      </c>
      <c r="I104" t="inlineStr">
        <is>
          <t>紅門互動股份有限公司</t>
        </is>
      </c>
      <c r="J104" t="inlineStr">
        <is>
          <t>53278454</t>
        </is>
      </c>
      <c r="K104" t="n">
        <v>150000</v>
      </c>
      <c r="L104" t="n">
        <v>157500</v>
      </c>
      <c r="M104" t="inlineStr">
        <is>
          <t>數據收益</t>
        </is>
      </c>
      <c r="N104" t="inlineStr">
        <is>
          <t>Jennifer</t>
        </is>
      </c>
      <c r="O104" t="inlineStr">
        <is>
          <t>105407台北市松山區南京東路四段126號11 樓之1</t>
        </is>
      </c>
      <c r="P104" t="inlineStr">
        <is>
          <t>finance@reddoor.com.tw</t>
        </is>
      </c>
      <c r="Q104" t="inlineStr">
        <is>
          <t>(02) 2570-8111#2805</t>
        </is>
      </c>
      <c r="R104" t="inlineStr"/>
      <c r="S104" t="inlineStr">
        <is>
          <t>已收款</t>
        </is>
      </c>
      <c r="T104" t="inlineStr">
        <is>
          <t>202510.0
來源：訂閱型發票及收款紀錄 第 106 列</t>
        </is>
      </c>
      <c r="U104" t="inlineStr">
        <is>
          <t>每月15日前開立發票隔月25日前匯款</t>
        </is>
      </c>
      <c r="V104" t="inlineStr">
        <is>
          <t>2026-05-18</t>
        </is>
      </c>
    </row>
    <row r="105">
      <c r="A105" t="inlineStr">
        <is>
          <t>inv_792d588de158</t>
        </is>
      </c>
      <c r="B105" t="inlineStr">
        <is>
          <t>許瀞鍶</t>
        </is>
      </c>
      <c r="C105" t="inlineStr">
        <is>
          <t>2026-03-05</t>
        </is>
      </c>
      <c r="D105" t="inlineStr">
        <is>
          <t>2878209</t>
        </is>
      </c>
      <c r="E105" t="inlineStr">
        <is>
          <t>2025-12-01 00:00:00</t>
        </is>
      </c>
      <c r="F105" t="inlineStr">
        <is>
          <t>2025-12-15</t>
        </is>
      </c>
      <c r="G105" t="inlineStr"/>
      <c r="H105" t="inlineStr">
        <is>
          <t>cus_96ae9740e12a</t>
        </is>
      </c>
      <c r="I105" t="inlineStr">
        <is>
          <t>紅門互動股份有限公司</t>
        </is>
      </c>
      <c r="J105" t="inlineStr">
        <is>
          <t>53278454</t>
        </is>
      </c>
      <c r="K105" t="n">
        <v>150000</v>
      </c>
      <c r="L105" t="n">
        <v>157500</v>
      </c>
      <c r="M105" t="inlineStr">
        <is>
          <t>數據收益</t>
        </is>
      </c>
      <c r="N105" t="inlineStr">
        <is>
          <t>Jennifer</t>
        </is>
      </c>
      <c r="O105" t="inlineStr">
        <is>
          <t>105407台北市松山區南京東路四段126號11 樓之1</t>
        </is>
      </c>
      <c r="P105" t="inlineStr">
        <is>
          <t>finance@reddoor.com.tw</t>
        </is>
      </c>
      <c r="Q105" t="inlineStr">
        <is>
          <t>(02) 2570-8111#2805</t>
        </is>
      </c>
      <c r="R105" t="inlineStr"/>
      <c r="S105" t="inlineStr">
        <is>
          <t>已收款</t>
        </is>
      </c>
      <c r="T105" t="inlineStr">
        <is>
          <t>202511.0
來源：訂閱型發票及收款紀錄 第 107 列</t>
        </is>
      </c>
      <c r="U105" t="inlineStr">
        <is>
          <t>每月15日前開立發票隔月25日前匯款</t>
        </is>
      </c>
      <c r="V105" t="inlineStr">
        <is>
          <t>2026-05-18</t>
        </is>
      </c>
    </row>
    <row r="106">
      <c r="A106" t="inlineStr">
        <is>
          <t>inv_ede410c8b303</t>
        </is>
      </c>
      <c r="B106" t="inlineStr">
        <is>
          <t>許瀞鍶</t>
        </is>
      </c>
      <c r="C106" t="inlineStr">
        <is>
          <t>2026-04-10</t>
        </is>
      </c>
      <c r="D106" t="inlineStr">
        <is>
          <t>2916258</t>
        </is>
      </c>
      <c r="E106" t="inlineStr">
        <is>
          <t>2026-01-01 00:00:00</t>
        </is>
      </c>
      <c r="F106" t="inlineStr">
        <is>
          <t>2026-01-15</t>
        </is>
      </c>
      <c r="G106" t="inlineStr"/>
      <c r="H106" t="inlineStr">
        <is>
          <t>cus_96ae9740e12a</t>
        </is>
      </c>
      <c r="I106" t="inlineStr">
        <is>
          <t>紅門互動股份有限公司</t>
        </is>
      </c>
      <c r="J106" t="inlineStr">
        <is>
          <t>53278454</t>
        </is>
      </c>
      <c r="K106" t="n">
        <v>150000</v>
      </c>
      <c r="L106" t="n">
        <v>157500</v>
      </c>
      <c r="M106" t="inlineStr">
        <is>
          <t>數據收益</t>
        </is>
      </c>
      <c r="N106" t="inlineStr">
        <is>
          <t>Jennifer</t>
        </is>
      </c>
      <c r="O106" t="inlineStr">
        <is>
          <t>105407台北市松山區南京東路四段126號11 樓之1</t>
        </is>
      </c>
      <c r="P106" t="inlineStr">
        <is>
          <t>finance@reddoor.com.tw</t>
        </is>
      </c>
      <c r="Q106" t="inlineStr">
        <is>
          <t>(02) 2570-8111#2805</t>
        </is>
      </c>
      <c r="R106" t="inlineStr"/>
      <c r="S106" t="inlineStr">
        <is>
          <t>已收款</t>
        </is>
      </c>
      <c r="T106" t="inlineStr">
        <is>
          <t>202512.0
來源：訂閱型發票及收款紀錄 第 108 列</t>
        </is>
      </c>
      <c r="U106" t="inlineStr">
        <is>
          <t>每月15日前開立發票隔月25日前匯款</t>
        </is>
      </c>
      <c r="V106" t="inlineStr">
        <is>
          <t>2026-05-18</t>
        </is>
      </c>
    </row>
    <row r="107">
      <c r="A107" t="inlineStr">
        <is>
          <t>inv_9870ee7a0260</t>
        </is>
      </c>
      <c r="B107" t="inlineStr">
        <is>
          <t>許瀞鍶</t>
        </is>
      </c>
      <c r="C107" t="inlineStr"/>
      <c r="D107" t="inlineStr">
        <is>
          <t>2948528</t>
        </is>
      </c>
      <c r="E107" t="inlineStr">
        <is>
          <t>2026-02-01 00:00:00</t>
        </is>
      </c>
      <c r="F107" t="inlineStr">
        <is>
          <t>2026-02-10</t>
        </is>
      </c>
      <c r="G107" t="inlineStr"/>
      <c r="H107" t="inlineStr">
        <is>
          <t>cus_96ae9740e12a</t>
        </is>
      </c>
      <c r="I107" t="inlineStr">
        <is>
          <t>紅門互動股份有限公司</t>
        </is>
      </c>
      <c r="J107" t="inlineStr">
        <is>
          <t>53278454</t>
        </is>
      </c>
      <c r="K107" t="n">
        <v>150000</v>
      </c>
      <c r="L107" t="n">
        <v>157500</v>
      </c>
      <c r="M107" t="inlineStr">
        <is>
          <t>數據收益</t>
        </is>
      </c>
      <c r="N107" t="inlineStr">
        <is>
          <t>Jennifer</t>
        </is>
      </c>
      <c r="O107" t="inlineStr">
        <is>
          <t>105407台北市松山區南京東路四段126號11 樓之1</t>
        </is>
      </c>
      <c r="P107" t="inlineStr">
        <is>
          <t>finance@reddoor.com.tw</t>
        </is>
      </c>
      <c r="Q107" t="inlineStr">
        <is>
          <t>(02) 2570-8111#2805</t>
        </is>
      </c>
      <c r="R107" t="inlineStr"/>
      <c r="S107" t="inlineStr">
        <is>
          <t>未收款</t>
        </is>
      </c>
      <c r="T107" t="inlineStr">
        <is>
          <t>202601.0
來源：訂閱型發票及收款紀錄 第 109 列</t>
        </is>
      </c>
      <c r="U107" t="inlineStr">
        <is>
          <t>每月15日前開立發票隔月25日前匯款</t>
        </is>
      </c>
      <c r="V107" t="inlineStr">
        <is>
          <t>2026-05-18</t>
        </is>
      </c>
    </row>
    <row r="108">
      <c r="A108" t="inlineStr">
        <is>
          <t>inv_127279acdd0b</t>
        </is>
      </c>
      <c r="B108" t="inlineStr">
        <is>
          <t>許瀞鍶</t>
        </is>
      </c>
      <c r="C108" t="inlineStr"/>
      <c r="D108" t="inlineStr">
        <is>
          <t>2978926</t>
        </is>
      </c>
      <c r="E108" t="inlineStr">
        <is>
          <t>2026-03-01 00:00:00</t>
        </is>
      </c>
      <c r="F108" t="inlineStr">
        <is>
          <t>2026-03-13</t>
        </is>
      </c>
      <c r="G108" t="inlineStr"/>
      <c r="H108" t="inlineStr">
        <is>
          <t>cus_96ae9740e12a</t>
        </is>
      </c>
      <c r="I108" t="inlineStr">
        <is>
          <t>紅門互動股份有限公司</t>
        </is>
      </c>
      <c r="J108" t="inlineStr">
        <is>
          <t>53278454</t>
        </is>
      </c>
      <c r="K108" t="n">
        <v>150000</v>
      </c>
      <c r="L108" t="n">
        <v>157500</v>
      </c>
      <c r="M108" t="inlineStr">
        <is>
          <t>數據收益</t>
        </is>
      </c>
      <c r="N108" t="inlineStr">
        <is>
          <t>Jennifer</t>
        </is>
      </c>
      <c r="O108" t="inlineStr">
        <is>
          <t>105407台北市松山區南京東路四段126號11 樓之1</t>
        </is>
      </c>
      <c r="P108" t="inlineStr">
        <is>
          <t>finance@reddoor.com.tw</t>
        </is>
      </c>
      <c r="Q108" t="inlineStr">
        <is>
          <t>(02) 2570-8111#2805</t>
        </is>
      </c>
      <c r="R108" t="inlineStr"/>
      <c r="S108" t="inlineStr">
        <is>
          <t>未收款</t>
        </is>
      </c>
      <c r="T108" t="inlineStr">
        <is>
          <t>202602.0
來源：訂閱型發票及收款紀錄 第 110 列</t>
        </is>
      </c>
      <c r="U108" t="inlineStr">
        <is>
          <t>每月15日前開立發票隔月25日前匯款</t>
        </is>
      </c>
      <c r="V108" t="inlineStr">
        <is>
          <t>2026-05-18</t>
        </is>
      </c>
    </row>
    <row r="109">
      <c r="A109" t="inlineStr">
        <is>
          <t>inv_4f09634b4ba7</t>
        </is>
      </c>
      <c r="B109" t="inlineStr">
        <is>
          <t>Cobi</t>
        </is>
      </c>
      <c r="C109" t="inlineStr"/>
      <c r="D109" t="inlineStr">
        <is>
          <t>B01200</t>
        </is>
      </c>
      <c r="E109" t="inlineStr">
        <is>
          <t>2026-04-01 00:00:00</t>
        </is>
      </c>
      <c r="F109" t="inlineStr">
        <is>
          <t>2026-04-15</t>
        </is>
      </c>
      <c r="G109" t="inlineStr">
        <is>
          <t>ZA96391407</t>
        </is>
      </c>
      <c r="H109" t="inlineStr">
        <is>
          <t>cus_96ae9740e12a</t>
        </is>
      </c>
      <c r="I109" t="inlineStr">
        <is>
          <t>紅門互動股份有限公司</t>
        </is>
      </c>
      <c r="J109" t="inlineStr">
        <is>
          <t>53278454</t>
        </is>
      </c>
      <c r="K109" t="n">
        <v>150000</v>
      </c>
      <c r="L109" t="n">
        <v>157500</v>
      </c>
      <c r="M109" t="inlineStr">
        <is>
          <t>數據收益</t>
        </is>
      </c>
      <c r="N109" t="inlineStr">
        <is>
          <t>Jennifer</t>
        </is>
      </c>
      <c r="O109" t="inlineStr">
        <is>
          <t>105407台北市松山區南京東路四段126號11 樓之1</t>
        </is>
      </c>
      <c r="P109" t="inlineStr">
        <is>
          <t>finance@reddoor.com.tw</t>
        </is>
      </c>
      <c r="Q109" t="inlineStr">
        <is>
          <t>(02) 2570-8111#2805</t>
        </is>
      </c>
      <c r="R109" t="inlineStr"/>
      <c r="S109" t="inlineStr">
        <is>
          <t>未收款</t>
        </is>
      </c>
      <c r="T109" t="inlineStr">
        <is>
          <t>202603.0
來源：訂閱型發票及收款紀錄 第 111 列</t>
        </is>
      </c>
      <c r="U109" t="inlineStr">
        <is>
          <t>每月15日前開立發票隔月25日前匯款</t>
        </is>
      </c>
      <c r="V109" t="inlineStr">
        <is>
          <t>2026-05-18</t>
        </is>
      </c>
    </row>
    <row r="110">
      <c r="A110" t="inlineStr">
        <is>
          <t>inv_cc3161949be9</t>
        </is>
      </c>
      <c r="B110" t="inlineStr">
        <is>
          <t>Cobi</t>
        </is>
      </c>
      <c r="C110" t="inlineStr"/>
      <c r="D110" t="inlineStr"/>
      <c r="E110" t="inlineStr">
        <is>
          <t>2026-05-01 00:00:00</t>
        </is>
      </c>
      <c r="F110" t="inlineStr"/>
      <c r="G110" t="inlineStr"/>
      <c r="H110" t="inlineStr">
        <is>
          <t>cus_96ae9740e12a</t>
        </is>
      </c>
      <c r="I110" t="inlineStr">
        <is>
          <t>紅門互動股份有限公司</t>
        </is>
      </c>
      <c r="J110" t="inlineStr">
        <is>
          <t>53278454</t>
        </is>
      </c>
      <c r="K110" t="n">
        <v>150000</v>
      </c>
      <c r="L110" t="n">
        <v>157500</v>
      </c>
      <c r="M110" t="inlineStr">
        <is>
          <t>數據收益</t>
        </is>
      </c>
      <c r="N110" t="inlineStr">
        <is>
          <t>Jennifer</t>
        </is>
      </c>
      <c r="O110" t="inlineStr">
        <is>
          <t>105407台北市松山區南京東路四段126號11 樓之1</t>
        </is>
      </c>
      <c r="P110" t="inlineStr">
        <is>
          <t>finance@reddoor.com.tw</t>
        </is>
      </c>
      <c r="Q110" t="inlineStr">
        <is>
          <t>(02) 2570-8111#2805</t>
        </is>
      </c>
      <c r="R110" t="inlineStr"/>
      <c r="S110" t="inlineStr">
        <is>
          <t>未收款</t>
        </is>
      </c>
      <c r="T110" t="inlineStr">
        <is>
          <t>202604.0
來源：訂閱型發票及收款紀錄 第 112 列</t>
        </is>
      </c>
      <c r="U110" t="inlineStr">
        <is>
          <t>每月15日前開立發票隔月25日前匯款</t>
        </is>
      </c>
      <c r="V110" t="inlineStr">
        <is>
          <t>2026-05-18</t>
        </is>
      </c>
    </row>
    <row r="111">
      <c r="A111" t="inlineStr">
        <is>
          <t>inv_23bb5782721b</t>
        </is>
      </c>
      <c r="B111" t="inlineStr">
        <is>
          <t>Cobi</t>
        </is>
      </c>
      <c r="C111" t="inlineStr"/>
      <c r="D111" t="inlineStr"/>
      <c r="E111" t="inlineStr">
        <is>
          <t>2026-06-01 00:00:00</t>
        </is>
      </c>
      <c r="F111" t="inlineStr"/>
      <c r="G111" t="inlineStr"/>
      <c r="H111" t="inlineStr">
        <is>
          <t>cus_96ae9740e12a</t>
        </is>
      </c>
      <c r="I111" t="inlineStr">
        <is>
          <t>紅門互動股份有限公司</t>
        </is>
      </c>
      <c r="J111" t="inlineStr">
        <is>
          <t>53278454</t>
        </is>
      </c>
      <c r="K111" t="n">
        <v>150000</v>
      </c>
      <c r="L111" t="n">
        <v>157500</v>
      </c>
      <c r="M111" t="inlineStr">
        <is>
          <t>數據收益</t>
        </is>
      </c>
      <c r="N111" t="inlineStr">
        <is>
          <t>Jennifer</t>
        </is>
      </c>
      <c r="O111" t="inlineStr">
        <is>
          <t>105407台北市松山區南京東路四段126號11 樓之1</t>
        </is>
      </c>
      <c r="P111" t="inlineStr">
        <is>
          <t>finance@reddoor.com.tw</t>
        </is>
      </c>
      <c r="Q111" t="inlineStr">
        <is>
          <t>(02) 2570-8111#2805</t>
        </is>
      </c>
      <c r="R111" t="inlineStr"/>
      <c r="S111" t="inlineStr">
        <is>
          <t>未收款</t>
        </is>
      </c>
      <c r="T111" t="inlineStr">
        <is>
          <t>202605.0
來源：訂閱型發票及收款紀錄 第 113 列</t>
        </is>
      </c>
      <c r="U111" t="inlineStr">
        <is>
          <t>每月15日前開立發票隔月25日前匯款</t>
        </is>
      </c>
      <c r="V111" t="inlineStr">
        <is>
          <t>2026-05-18</t>
        </is>
      </c>
    </row>
    <row r="112">
      <c r="A112" t="inlineStr">
        <is>
          <t>inv_590cbc8650df</t>
        </is>
      </c>
      <c r="B112" t="inlineStr">
        <is>
          <t>楊育承</t>
        </is>
      </c>
      <c r="C112" t="inlineStr">
        <is>
          <t>2022-07-12</t>
        </is>
      </c>
      <c r="D112" t="inlineStr">
        <is>
          <t>B00196</t>
        </is>
      </c>
      <c r="E112" t="inlineStr">
        <is>
          <t>2022-03-01 00:00:00</t>
        </is>
      </c>
      <c r="F112" t="inlineStr">
        <is>
          <t>2022-04-11</t>
        </is>
      </c>
      <c r="G112" t="inlineStr">
        <is>
          <t>YU70163014</t>
        </is>
      </c>
      <c r="H112" t="inlineStr">
        <is>
          <t>cus_7880af1bd682</t>
        </is>
      </c>
      <c r="I112" t="inlineStr">
        <is>
          <t>威朋大數據股份有限公司</t>
        </is>
      </c>
      <c r="J112" t="inlineStr">
        <is>
          <t>28892170</t>
        </is>
      </c>
      <c r="K112" t="n">
        <v>300000</v>
      </c>
      <c r="L112" t="n">
        <v>315000</v>
      </c>
      <c r="M112" t="inlineStr">
        <is>
          <t>數據收益</t>
        </is>
      </c>
      <c r="N112" t="inlineStr">
        <is>
          <t>蔡宜甄 Sonia</t>
        </is>
      </c>
      <c r="O112" t="inlineStr">
        <is>
          <t>105台北市松山區復興北路337號7樓</t>
        </is>
      </c>
      <c r="P112" t="inlineStr">
        <is>
          <t>sonia.tsai@vpon.com, 收電子發票 twbilling@vpon.com</t>
        </is>
      </c>
      <c r="Q112" t="inlineStr">
        <is>
          <t>02-7730-8328</t>
        </is>
      </c>
      <c r="R112" t="inlineStr"/>
      <c r="S112" t="inlineStr">
        <is>
          <t>已收款</t>
        </is>
      </c>
      <c r="T112" t="inlineStr">
        <is>
          <t>全曜與Vpon合作電子發票數據採購專案費用第4期(共四期)，申請開立發票。
來源：訂閱型發票及收款紀錄 第 115 列</t>
        </is>
      </c>
      <c r="U112" t="inlineStr"/>
      <c r="V112" t="inlineStr">
        <is>
          <t>2026-05-18</t>
        </is>
      </c>
    </row>
    <row r="113">
      <c r="A113" t="inlineStr">
        <is>
          <t>inv_bb55bcc30289</t>
        </is>
      </c>
      <c r="B113" t="inlineStr">
        <is>
          <t>楊育承</t>
        </is>
      </c>
      <c r="C113" t="inlineStr">
        <is>
          <t>2022-07-12</t>
        </is>
      </c>
      <c r="D113" t="inlineStr">
        <is>
          <t>1323690</t>
        </is>
      </c>
      <c r="E113" t="inlineStr">
        <is>
          <t>2022-04-01 00:00:00</t>
        </is>
      </c>
      <c r="F113" t="inlineStr">
        <is>
          <t>2022-05-12</t>
        </is>
      </c>
      <c r="G113" t="inlineStr">
        <is>
          <t>AZ70131313</t>
        </is>
      </c>
      <c r="H113" t="inlineStr">
        <is>
          <t>cus_7880af1bd682</t>
        </is>
      </c>
      <c r="I113" t="inlineStr">
        <is>
          <t>威朋大數據股份有限公司</t>
        </is>
      </c>
      <c r="J113" t="inlineStr">
        <is>
          <t>28892170</t>
        </is>
      </c>
      <c r="K113" t="n">
        <v>300000</v>
      </c>
      <c r="L113" t="n">
        <v>315000</v>
      </c>
      <c r="M113" t="inlineStr">
        <is>
          <t>數據收益</t>
        </is>
      </c>
      <c r="N113" t="inlineStr">
        <is>
          <t>蔡宜甄 Sonia</t>
        </is>
      </c>
      <c r="O113" t="inlineStr">
        <is>
          <t>105台北市松山區復興北路337號7樓</t>
        </is>
      </c>
      <c r="P113" t="inlineStr">
        <is>
          <t>sonia.tsai@vpon.com, 收電子發票 twbilling@vpon.com</t>
        </is>
      </c>
      <c r="Q113" t="inlineStr">
        <is>
          <t>02-7730-8328</t>
        </is>
      </c>
      <c r="R113" t="inlineStr"/>
      <c r="S113" t="inlineStr">
        <is>
          <t>已收款</t>
        </is>
      </c>
      <c r="T113" t="inlineStr">
        <is>
          <t>全曜與Vpon合作電子發票數據採購專案費用2022第1期(共四期)，申請開立發票。
來源：訂閱型發票及收款紀錄 第 116 列</t>
        </is>
      </c>
      <c r="U113" t="inlineStr"/>
      <c r="V113" t="inlineStr">
        <is>
          <t>2026-05-18</t>
        </is>
      </c>
    </row>
    <row r="114">
      <c r="A114" t="inlineStr">
        <is>
          <t>inv_46e937d42900</t>
        </is>
      </c>
      <c r="B114" t="inlineStr">
        <is>
          <t>楊育承</t>
        </is>
      </c>
      <c r="C114" t="inlineStr">
        <is>
          <t>2022-11-30</t>
        </is>
      </c>
      <c r="D114" t="inlineStr">
        <is>
          <t>1404106</t>
        </is>
      </c>
      <c r="E114" t="inlineStr">
        <is>
          <t>2022-07-01 00:00:00</t>
        </is>
      </c>
      <c r="F114" t="inlineStr">
        <is>
          <t>2022-07-20</t>
        </is>
      </c>
      <c r="G114" t="inlineStr">
        <is>
          <t>CZ70139946</t>
        </is>
      </c>
      <c r="H114" t="inlineStr">
        <is>
          <t>cus_7880af1bd682</t>
        </is>
      </c>
      <c r="I114" t="inlineStr">
        <is>
          <t>威朋大數據股份有限公司</t>
        </is>
      </c>
      <c r="J114" t="inlineStr">
        <is>
          <t>28892170</t>
        </is>
      </c>
      <c r="K114" t="n">
        <v>300000</v>
      </c>
      <c r="L114" t="n">
        <v>315000</v>
      </c>
      <c r="M114" t="inlineStr">
        <is>
          <t>數據收益</t>
        </is>
      </c>
      <c r="N114" t="inlineStr">
        <is>
          <t>蔡宜甄 Sonia</t>
        </is>
      </c>
      <c r="O114" t="inlineStr">
        <is>
          <t>105台北市松山區復興北路337號7樓</t>
        </is>
      </c>
      <c r="P114" t="inlineStr">
        <is>
          <t>sonia.tsai@vpon.com, 收電子發票 livia.liu@vpon.com</t>
        </is>
      </c>
      <c r="Q114" t="inlineStr">
        <is>
          <t>02-7730-8328</t>
        </is>
      </c>
      <c r="R114" t="inlineStr"/>
      <c r="S114" t="inlineStr">
        <is>
          <t>已收款</t>
        </is>
      </c>
      <c r="T114" t="inlineStr">
        <is>
          <t>全曜與Vpon合作電子發票數據採購專案費用2022第2期(共四期)，申請開立發票。
來源：訂閱型發票及收款紀錄 第 117 列</t>
        </is>
      </c>
      <c r="U114" t="inlineStr"/>
      <c r="V114" t="inlineStr">
        <is>
          <t>2026-05-18</t>
        </is>
      </c>
    </row>
    <row r="115">
      <c r="A115" t="inlineStr">
        <is>
          <t>inv_b43e331b75ea</t>
        </is>
      </c>
      <c r="B115" t="inlineStr">
        <is>
          <t>楊育承</t>
        </is>
      </c>
      <c r="C115" t="inlineStr">
        <is>
          <t>2022-12-30</t>
        </is>
      </c>
      <c r="D115" t="inlineStr">
        <is>
          <t>1505227</t>
        </is>
      </c>
      <c r="E115" t="inlineStr">
        <is>
          <t>2022-10-01 00:00:00</t>
        </is>
      </c>
      <c r="F115" t="inlineStr">
        <is>
          <t>2022-10-14</t>
        </is>
      </c>
      <c r="G115" t="inlineStr">
        <is>
          <t>FB70169763</t>
        </is>
      </c>
      <c r="H115" t="inlineStr">
        <is>
          <t>cus_7880af1bd682</t>
        </is>
      </c>
      <c r="I115" t="inlineStr">
        <is>
          <t>威朋大數據股份有限公司</t>
        </is>
      </c>
      <c r="J115" t="inlineStr">
        <is>
          <t>28892170</t>
        </is>
      </c>
      <c r="K115" t="n">
        <v>300000</v>
      </c>
      <c r="L115" t="n">
        <v>315000</v>
      </c>
      <c r="M115" t="inlineStr">
        <is>
          <t>數據收益</t>
        </is>
      </c>
      <c r="N115" t="inlineStr">
        <is>
          <t>蔡宜甄 Sonia</t>
        </is>
      </c>
      <c r="O115" t="inlineStr">
        <is>
          <t>105台北市松山區復興北路337號7樓</t>
        </is>
      </c>
      <c r="P115" t="inlineStr">
        <is>
          <t>sonia.tsai@vpon.com, 收電子發票 livia.liu@vpon.com</t>
        </is>
      </c>
      <c r="Q115" t="inlineStr">
        <is>
          <t>02-7730-8328</t>
        </is>
      </c>
      <c r="R115" t="inlineStr"/>
      <c r="S115" t="inlineStr">
        <is>
          <t>已收款</t>
        </is>
      </c>
      <c r="T115" t="inlineStr">
        <is>
          <t>全曜與Vpon合作電子發票數據採購專案費用2022第3期(共四期)，申請開立發票。
來源：訂閱型發票及收款紀錄 第 118 列</t>
        </is>
      </c>
      <c r="U115" t="inlineStr"/>
      <c r="V115" t="inlineStr">
        <is>
          <t>2026-05-18</t>
        </is>
      </c>
    </row>
    <row r="116">
      <c r="A116" t="inlineStr">
        <is>
          <t>inv_1a9a57507f0b</t>
        </is>
      </c>
      <c r="B116" t="inlineStr">
        <is>
          <t>楊育承</t>
        </is>
      </c>
      <c r="C116" t="inlineStr">
        <is>
          <t>2023-03-15</t>
        </is>
      </c>
      <c r="D116" t="inlineStr">
        <is>
          <t>1622094</t>
        </is>
      </c>
      <c r="E116" t="inlineStr">
        <is>
          <t>2023-01-01 00:00:00</t>
        </is>
      </c>
      <c r="F116" t="inlineStr">
        <is>
          <t>2023-01-17</t>
        </is>
      </c>
      <c r="G116" t="inlineStr">
        <is>
          <t>KC44732574</t>
        </is>
      </c>
      <c r="H116" t="inlineStr">
        <is>
          <t>cus_7880af1bd682</t>
        </is>
      </c>
      <c r="I116" t="inlineStr">
        <is>
          <t>威朋大數據股份有限公司</t>
        </is>
      </c>
      <c r="J116" t="inlineStr">
        <is>
          <t>28892170</t>
        </is>
      </c>
      <c r="K116" t="n">
        <v>300000</v>
      </c>
      <c r="L116" t="n">
        <v>315000</v>
      </c>
      <c r="M116" t="inlineStr">
        <is>
          <t>數據收益</t>
        </is>
      </c>
      <c r="N116" t="inlineStr">
        <is>
          <t>蔡宜甄 Sonia</t>
        </is>
      </c>
      <c r="O116" t="inlineStr">
        <is>
          <t>105台北市松山區復興北路337號7樓</t>
        </is>
      </c>
      <c r="P116" t="inlineStr">
        <is>
          <t>sonia.tsai@vpon.com, 收電子發票 livia.liu@vpon.com</t>
        </is>
      </c>
      <c r="Q116" t="inlineStr">
        <is>
          <t>02-7730-8328</t>
        </is>
      </c>
      <c r="R116" t="inlineStr"/>
      <c r="S116" t="inlineStr">
        <is>
          <t>已收款</t>
        </is>
      </c>
      <c r="T116" t="inlineStr">
        <is>
          <t>全曜與Vpon合作電子發票數據採購專案費用2022第4期(共四期)，申請開立發票。
來源：訂閱型發票及收款紀錄 第 119 列</t>
        </is>
      </c>
      <c r="U116" t="inlineStr"/>
      <c r="V116" t="inlineStr">
        <is>
          <t>2026-05-18</t>
        </is>
      </c>
    </row>
    <row r="117">
      <c r="A117" t="inlineStr">
        <is>
          <t>inv_48fab80dffa2</t>
        </is>
      </c>
      <c r="B117" t="inlineStr">
        <is>
          <t>林慶文</t>
        </is>
      </c>
      <c r="C117" t="inlineStr">
        <is>
          <t>2023-07-31</t>
        </is>
      </c>
      <c r="D117" t="inlineStr">
        <is>
          <t>1722285</t>
        </is>
      </c>
      <c r="E117" t="inlineStr">
        <is>
          <t>2023-04-01 00:00:00</t>
        </is>
      </c>
      <c r="F117" t="inlineStr">
        <is>
          <t>2023-04-12</t>
        </is>
      </c>
      <c r="G117" t="inlineStr">
        <is>
          <t>MC44764746</t>
        </is>
      </c>
      <c r="H117" t="inlineStr">
        <is>
          <t>cus_7880af1bd682</t>
        </is>
      </c>
      <c r="I117" t="inlineStr">
        <is>
          <t>威朋大數據股份有限公司</t>
        </is>
      </c>
      <c r="J117" t="inlineStr">
        <is>
          <t>28892170</t>
        </is>
      </c>
      <c r="K117" t="n">
        <v>450000</v>
      </c>
      <c r="L117" t="n">
        <v>472500</v>
      </c>
      <c r="M117" t="inlineStr">
        <is>
          <t>數據收益</t>
        </is>
      </c>
      <c r="N117" t="inlineStr">
        <is>
          <t>Paul Sung</t>
        </is>
      </c>
      <c r="O117" t="inlineStr">
        <is>
          <t>105台北市松山區復興北路337號7樓</t>
        </is>
      </c>
      <c r="P117" t="inlineStr">
        <is>
          <t>twbilling@vpon.com, 收電子發票 paul.sung@vpon.com</t>
        </is>
      </c>
      <c r="Q117" t="inlineStr">
        <is>
          <t>02-7730-8328</t>
        </is>
      </c>
      <c r="R117" t="inlineStr"/>
      <c r="S117" t="inlineStr">
        <is>
          <t>已收款</t>
        </is>
      </c>
      <c r="T117" t="inlineStr">
        <is>
          <t>全曜與Vpon合作電子發票數據採購專案費用2023第1期(共四期)，申請開立發票。
來源：訂閱型發票及收款紀錄 第 120 列</t>
        </is>
      </c>
      <c r="U117" t="inlineStr">
        <is>
          <t>收到發票後120天</t>
        </is>
      </c>
      <c r="V117" t="inlineStr">
        <is>
          <t>2026-05-18</t>
        </is>
      </c>
    </row>
    <row r="118">
      <c r="A118" t="inlineStr">
        <is>
          <t>inv_20671440cea9</t>
        </is>
      </c>
      <c r="B118" t="inlineStr">
        <is>
          <t>林慶文</t>
        </is>
      </c>
      <c r="C118" t="inlineStr">
        <is>
          <t>2024-01-31</t>
        </is>
      </c>
      <c r="D118" t="inlineStr">
        <is>
          <t>1829725</t>
        </is>
      </c>
      <c r="E118" t="inlineStr">
        <is>
          <t>2023-07-01 00:00:00</t>
        </is>
      </c>
      <c r="F118" t="inlineStr">
        <is>
          <t>2023-07-11</t>
        </is>
      </c>
      <c r="G118" t="inlineStr">
        <is>
          <t>RC44726927</t>
        </is>
      </c>
      <c r="H118" t="inlineStr">
        <is>
          <t>cus_7880af1bd682</t>
        </is>
      </c>
      <c r="I118" t="inlineStr">
        <is>
          <t>威朋大數據股份有限公司</t>
        </is>
      </c>
      <c r="J118" t="inlineStr">
        <is>
          <t>28892170</t>
        </is>
      </c>
      <c r="K118" t="n">
        <v>450000</v>
      </c>
      <c r="L118" t="n">
        <v>472500</v>
      </c>
      <c r="M118" t="inlineStr">
        <is>
          <t>數據收益</t>
        </is>
      </c>
      <c r="N118" t="inlineStr">
        <is>
          <t>Paul Sung</t>
        </is>
      </c>
      <c r="O118" t="inlineStr">
        <is>
          <t>105台北市松山區復興北路337號7樓</t>
        </is>
      </c>
      <c r="P118" t="inlineStr">
        <is>
          <t>twbilling@vpon.com, 收電子發票 paul.sung@vpon.com</t>
        </is>
      </c>
      <c r="Q118" t="inlineStr">
        <is>
          <t>02-7730-8328</t>
        </is>
      </c>
      <c r="R118" t="inlineStr"/>
      <c r="S118" t="inlineStr">
        <is>
          <t>已收款</t>
        </is>
      </c>
      <c r="T118" t="inlineStr">
        <is>
          <t>全曜與Vpon合作電子發票數據採購專案費用2023第2期(共四期)，申請開立發票。
來源：訂閱型發票及收款紀錄 第 121 列</t>
        </is>
      </c>
      <c r="U118" t="inlineStr">
        <is>
          <t>收到發票後120天</t>
        </is>
      </c>
      <c r="V118" t="inlineStr">
        <is>
          <t>2026-05-18</t>
        </is>
      </c>
    </row>
    <row r="119">
      <c r="A119" t="inlineStr">
        <is>
          <t>inv_f732618a0fbc</t>
        </is>
      </c>
      <c r="B119" t="inlineStr">
        <is>
          <t>林慶文</t>
        </is>
      </c>
      <c r="C119" t="inlineStr">
        <is>
          <t>2024-12-31</t>
        </is>
      </c>
      <c r="D119" t="inlineStr">
        <is>
          <t>1934496</t>
        </is>
      </c>
      <c r="E119" t="inlineStr">
        <is>
          <t>2023-10-01 00:00:00</t>
        </is>
      </c>
      <c r="F119" t="inlineStr">
        <is>
          <t>2023-10-12</t>
        </is>
      </c>
      <c r="G119" t="inlineStr">
        <is>
          <t>TC44755167</t>
        </is>
      </c>
      <c r="H119" t="inlineStr">
        <is>
          <t>cus_7880af1bd682</t>
        </is>
      </c>
      <c r="I119" t="inlineStr">
        <is>
          <t>威朋大數據股份有限公司</t>
        </is>
      </c>
      <c r="J119" t="inlineStr">
        <is>
          <t>28892170</t>
        </is>
      </c>
      <c r="K119" t="n">
        <v>450000</v>
      </c>
      <c r="L119" t="n">
        <v>472500</v>
      </c>
      <c r="M119" t="inlineStr">
        <is>
          <t>數據收益</t>
        </is>
      </c>
      <c r="N119" t="inlineStr">
        <is>
          <t>Paul Sung</t>
        </is>
      </c>
      <c r="O119" t="inlineStr">
        <is>
          <t>105台北市松山區復興北路337號7樓</t>
        </is>
      </c>
      <c r="P119" t="inlineStr">
        <is>
          <t>twbilling@vpon.com, 收電子發票 paul.sung@vpon.com</t>
        </is>
      </c>
      <c r="Q119" t="inlineStr">
        <is>
          <t>02-7730-8328</t>
        </is>
      </c>
      <c r="R119" t="inlineStr"/>
      <c r="S119" t="inlineStr">
        <is>
          <t>已收款</t>
        </is>
      </c>
      <c r="T119" t="inlineStr">
        <is>
          <t>全曜與Vpon合作電子發票數據採購專案費用2023第3期(共四期)，申請開立發票。
來源：訂閱型發票及收款紀錄 第 122 列</t>
        </is>
      </c>
      <c r="U119" t="inlineStr">
        <is>
          <t>收到發票後120天</t>
        </is>
      </c>
      <c r="V119" t="inlineStr">
        <is>
          <t>2026-05-18</t>
        </is>
      </c>
    </row>
    <row r="120">
      <c r="A120" t="inlineStr">
        <is>
          <t>inv_c3fdf8b8cf9b</t>
        </is>
      </c>
      <c r="B120" t="inlineStr">
        <is>
          <t>Cobi</t>
        </is>
      </c>
      <c r="C120" t="inlineStr">
        <is>
          <t>2025-01-15</t>
        </is>
      </c>
      <c r="D120" t="inlineStr">
        <is>
          <t>2053505</t>
        </is>
      </c>
      <c r="E120" t="inlineStr">
        <is>
          <t>2024-01-01 00:00:00</t>
        </is>
      </c>
      <c r="F120" t="inlineStr">
        <is>
          <t>2024-01-16</t>
        </is>
      </c>
      <c r="G120" t="inlineStr">
        <is>
          <t>XE03662939</t>
        </is>
      </c>
      <c r="H120" t="inlineStr">
        <is>
          <t>cus_7880af1bd682</t>
        </is>
      </c>
      <c r="I120" t="inlineStr">
        <is>
          <t>威朋大數據股份有限公司</t>
        </is>
      </c>
      <c r="J120" t="inlineStr">
        <is>
          <t>28892170</t>
        </is>
      </c>
      <c r="K120" t="n">
        <v>450000</v>
      </c>
      <c r="L120" t="n">
        <v>472500</v>
      </c>
      <c r="M120" t="inlineStr">
        <is>
          <t>數據收益</t>
        </is>
      </c>
      <c r="N120" t="inlineStr">
        <is>
          <t>Paul Sung</t>
        </is>
      </c>
      <c r="O120" t="inlineStr">
        <is>
          <t>105台北市松山區復興北路337號7樓</t>
        </is>
      </c>
      <c r="P120" t="inlineStr">
        <is>
          <t>twbilling@vpon.com, 收電子發票 paul.sung@vpon.com</t>
        </is>
      </c>
      <c r="Q120" t="inlineStr">
        <is>
          <t>02-7730-8328</t>
        </is>
      </c>
      <c r="R120" t="inlineStr"/>
      <c r="S120" t="inlineStr">
        <is>
          <t>已收款</t>
        </is>
      </c>
      <c r="T120" t="inlineStr">
        <is>
          <t>全曜與Vpon合作電子發票數據採購專案費用2023第4期(共四期)，申請開立發票。
來源：訂閱型發票及收款紀錄 第 123 列</t>
        </is>
      </c>
      <c r="U120" t="inlineStr">
        <is>
          <t>收到發票後120天</t>
        </is>
      </c>
      <c r="V120" t="inlineStr">
        <is>
          <t>2026-05-18</t>
        </is>
      </c>
    </row>
    <row r="121">
      <c r="A121" t="inlineStr">
        <is>
          <t>inv_8f982a22ec1a</t>
        </is>
      </c>
      <c r="B121" t="inlineStr">
        <is>
          <t>Cobi</t>
        </is>
      </c>
      <c r="C121" t="inlineStr">
        <is>
          <t>2025-02-14</t>
        </is>
      </c>
      <c r="D121" t="inlineStr">
        <is>
          <t>2174629</t>
        </is>
      </c>
      <c r="E121" t="inlineStr">
        <is>
          <t>2024-04-01 00:00:00</t>
        </is>
      </c>
      <c r="F121" t="inlineStr">
        <is>
          <t>2024-04-18</t>
        </is>
      </c>
      <c r="G121" t="inlineStr">
        <is>
          <t>ZD03703356</t>
        </is>
      </c>
      <c r="H121" t="inlineStr">
        <is>
          <t>cus_7880af1bd682</t>
        </is>
      </c>
      <c r="I121" t="inlineStr">
        <is>
          <t>威朋大數據股份有限公司</t>
        </is>
      </c>
      <c r="J121" t="inlineStr">
        <is>
          <t>28892170</t>
        </is>
      </c>
      <c r="K121" t="n">
        <v>450000</v>
      </c>
      <c r="L121" t="n">
        <v>472500</v>
      </c>
      <c r="M121" t="inlineStr">
        <is>
          <t>數據收益</t>
        </is>
      </c>
      <c r="N121" t="inlineStr">
        <is>
          <t>Paul Sung</t>
        </is>
      </c>
      <c r="O121" t="inlineStr">
        <is>
          <t>105台北市松山區復興北路337號7樓</t>
        </is>
      </c>
      <c r="P121" t="inlineStr">
        <is>
          <t>twbilling@vpon.com, 收電子發票 paul.sung@vpon.com</t>
        </is>
      </c>
      <c r="Q121" t="inlineStr">
        <is>
          <t>02-7730-8328</t>
        </is>
      </c>
      <c r="R121" t="inlineStr"/>
      <c r="S121" t="inlineStr">
        <is>
          <t>已收款</t>
        </is>
      </c>
      <c r="T121" t="inlineStr">
        <is>
          <t>全曜與Vpon合作電子發票數據採購專案費用2024第1期(共四期)，申請開立發票。
來源：訂閱型發票及收款紀錄 第 124 列</t>
        </is>
      </c>
      <c r="U121" t="inlineStr">
        <is>
          <t>收到發票後120天</t>
        </is>
      </c>
      <c r="V121" t="inlineStr">
        <is>
          <t>2026-05-18</t>
        </is>
      </c>
    </row>
    <row r="122">
      <c r="A122" t="inlineStr">
        <is>
          <t>inv_ad6cf5d5af54</t>
        </is>
      </c>
      <c r="B122" t="inlineStr">
        <is>
          <t>Cobi</t>
        </is>
      </c>
      <c r="C122" t="inlineStr">
        <is>
          <t>2025-03-14</t>
        </is>
      </c>
      <c r="D122" t="inlineStr">
        <is>
          <t>2302161</t>
        </is>
      </c>
      <c r="E122" t="inlineStr">
        <is>
          <t>2024-07-01 00:00:00</t>
        </is>
      </c>
      <c r="F122" t="inlineStr">
        <is>
          <t>2024-07-17</t>
        </is>
      </c>
      <c r="G122" t="inlineStr">
        <is>
          <t>DC03665231</t>
        </is>
      </c>
      <c r="H122" t="inlineStr">
        <is>
          <t>cus_7880af1bd682</t>
        </is>
      </c>
      <c r="I122" t="inlineStr">
        <is>
          <t>威朋大數據股份有限公司</t>
        </is>
      </c>
      <c r="J122" t="inlineStr">
        <is>
          <t>28892170</t>
        </is>
      </c>
      <c r="K122" t="n">
        <v>450000</v>
      </c>
      <c r="L122" t="n">
        <v>472500</v>
      </c>
      <c r="M122" t="inlineStr">
        <is>
          <t>數據收益</t>
        </is>
      </c>
      <c r="N122" t="inlineStr">
        <is>
          <t>Paul Sung</t>
        </is>
      </c>
      <c r="O122" t="inlineStr">
        <is>
          <t>105台北市松山區復興北路337號7樓</t>
        </is>
      </c>
      <c r="P122" t="inlineStr">
        <is>
          <t>twbilling@vpon.com, 收電子發票 paul.sung@vpon.com</t>
        </is>
      </c>
      <c r="Q122" t="inlineStr">
        <is>
          <t>02-7730-8328</t>
        </is>
      </c>
      <c r="R122" t="inlineStr"/>
      <c r="S122" t="inlineStr">
        <is>
          <t>已收款</t>
        </is>
      </c>
      <c r="T122" t="inlineStr">
        <is>
          <t>全曜與Vpon合作電子發票數據採購專案費用2024第2期(共四期)，申請開立發票。
來源：訂閱型發票及收款紀錄 第 125 列</t>
        </is>
      </c>
      <c r="U122" t="inlineStr">
        <is>
          <t>收到發票後120天</t>
        </is>
      </c>
      <c r="V122" t="inlineStr">
        <is>
          <t>2026-05-18</t>
        </is>
      </c>
    </row>
    <row r="123">
      <c r="A123" t="inlineStr">
        <is>
          <t>inv_e18a12d3623a</t>
        </is>
      </c>
      <c r="B123" t="inlineStr">
        <is>
          <t>Cobi</t>
        </is>
      </c>
      <c r="C123" t="inlineStr">
        <is>
          <t>2025-03-14</t>
        </is>
      </c>
      <c r="D123" t="inlineStr">
        <is>
          <t>2402160</t>
        </is>
      </c>
      <c r="E123" t="inlineStr">
        <is>
          <t>2024-10-01 00:00:00</t>
        </is>
      </c>
      <c r="F123" t="inlineStr"/>
      <c r="G123" t="inlineStr">
        <is>
          <t>FB03688268</t>
        </is>
      </c>
      <c r="H123" t="inlineStr">
        <is>
          <t>cus_7880af1bd682</t>
        </is>
      </c>
      <c r="I123" t="inlineStr">
        <is>
          <t>威朋大數據股份有限公司</t>
        </is>
      </c>
      <c r="J123" t="inlineStr">
        <is>
          <t>28892170</t>
        </is>
      </c>
      <c r="K123" t="n">
        <v>450000</v>
      </c>
      <c r="L123" t="n">
        <v>472500</v>
      </c>
      <c r="M123" t="inlineStr">
        <is>
          <t>數據收益</t>
        </is>
      </c>
      <c r="N123" t="inlineStr">
        <is>
          <t>Paul Sung</t>
        </is>
      </c>
      <c r="O123" t="inlineStr">
        <is>
          <t>105台北市松山區復興北路337號7樓</t>
        </is>
      </c>
      <c r="P123" t="inlineStr">
        <is>
          <t>twbilling@vpon.com, 收電子發票 paul.sung@vpon.com</t>
        </is>
      </c>
      <c r="Q123" t="inlineStr">
        <is>
          <t>02-7730-8328</t>
        </is>
      </c>
      <c r="R123" t="inlineStr"/>
      <c r="S123" t="inlineStr">
        <is>
          <t>已收款</t>
        </is>
      </c>
      <c r="T123" t="inlineStr">
        <is>
          <t>全曜與Vpon合作電子發票數據採購專案費用2024第3期(共四期)，申請開立發票。
來源：訂閱型發票及收款紀錄 第 126 列</t>
        </is>
      </c>
      <c r="U123" t="inlineStr">
        <is>
          <t>收到發票後120天</t>
        </is>
      </c>
      <c r="V123" t="inlineStr">
        <is>
          <t>2026-05-18</t>
        </is>
      </c>
    </row>
    <row r="124">
      <c r="A124" t="inlineStr">
        <is>
          <t>inv_fc7d3ab9b141</t>
        </is>
      </c>
      <c r="B124" t="inlineStr">
        <is>
          <t>Cobi</t>
        </is>
      </c>
      <c r="C124" t="inlineStr">
        <is>
          <t>2025-05-15</t>
        </is>
      </c>
      <c r="D124" t="inlineStr">
        <is>
          <t>2501905</t>
        </is>
      </c>
      <c r="E124" t="inlineStr">
        <is>
          <t>2025-01-01 00:00:00</t>
        </is>
      </c>
      <c r="F124" t="inlineStr">
        <is>
          <t>2025-01-13</t>
        </is>
      </c>
      <c r="G124" t="inlineStr">
        <is>
          <t>JY43833657</t>
        </is>
      </c>
      <c r="H124" t="inlineStr">
        <is>
          <t>cus_7880af1bd682</t>
        </is>
      </c>
      <c r="I124" t="inlineStr">
        <is>
          <t>威朋大數據股份有限公司</t>
        </is>
      </c>
      <c r="J124" t="inlineStr">
        <is>
          <t>28892170</t>
        </is>
      </c>
      <c r="K124" t="n">
        <v>450000</v>
      </c>
      <c r="L124" t="n">
        <v>472500</v>
      </c>
      <c r="M124" t="inlineStr">
        <is>
          <t>數據收益</t>
        </is>
      </c>
      <c r="N124" t="inlineStr">
        <is>
          <t>Paul Sung</t>
        </is>
      </c>
      <c r="O124" t="inlineStr">
        <is>
          <t>105台北市松山區復興北路337號7樓</t>
        </is>
      </c>
      <c r="P124" t="inlineStr">
        <is>
          <t>twbilling@vpon.com, 收電子發票 paul.sung@vpon.com</t>
        </is>
      </c>
      <c r="Q124" t="inlineStr">
        <is>
          <t>02-7730-8328</t>
        </is>
      </c>
      <c r="R124" t="inlineStr"/>
      <c r="S124" t="inlineStr">
        <is>
          <t>已收款</t>
        </is>
      </c>
      <c r="T124" t="inlineStr">
        <is>
          <t>全曜與Vpon合作電子發票數據採購專案費用2024第4期(共四期)，申請開立發票。
來源：訂閱型發票及收款紀錄 第 127 列</t>
        </is>
      </c>
      <c r="U124" t="inlineStr">
        <is>
          <t>收到發票後120天</t>
        </is>
      </c>
      <c r="V124" t="inlineStr">
        <is>
          <t>2026-05-18</t>
        </is>
      </c>
    </row>
    <row r="125">
      <c r="A125" t="inlineStr">
        <is>
          <t>inv_dd126b6f9e42</t>
        </is>
      </c>
      <c r="B125" t="inlineStr">
        <is>
          <t>Kate</t>
        </is>
      </c>
      <c r="C125" t="inlineStr">
        <is>
          <t>2025-05-15</t>
        </is>
      </c>
      <c r="D125" t="inlineStr">
        <is>
          <t>2596416</t>
        </is>
      </c>
      <c r="E125" t="inlineStr">
        <is>
          <t>2025-04-01 00:00:00</t>
        </is>
      </c>
      <c r="F125" t="inlineStr">
        <is>
          <t>2025-04-15</t>
        </is>
      </c>
      <c r="G125" t="inlineStr">
        <is>
          <t>LY43863873</t>
        </is>
      </c>
      <c r="H125" t="inlineStr">
        <is>
          <t>cus_7880af1bd682</t>
        </is>
      </c>
      <c r="I125" t="inlineStr">
        <is>
          <t>威朋大數據股份有限公司</t>
        </is>
      </c>
      <c r="J125" t="inlineStr">
        <is>
          <t>28892170</t>
        </is>
      </c>
      <c r="K125" t="n">
        <v>450000</v>
      </c>
      <c r="L125" t="n">
        <v>472500</v>
      </c>
      <c r="M125" t="inlineStr">
        <is>
          <t>數據收益</t>
        </is>
      </c>
      <c r="N125" t="inlineStr">
        <is>
          <t>Paul Sung</t>
        </is>
      </c>
      <c r="O125" t="inlineStr">
        <is>
          <t>110台北市信義區松仁路97號4樓</t>
        </is>
      </c>
      <c r="P125" t="inlineStr">
        <is>
          <t>twbilling@vpon.com, 收電子發票 paul.sung@vpon.com</t>
        </is>
      </c>
      <c r="Q125" t="inlineStr">
        <is>
          <t>02-77308328</t>
        </is>
      </c>
      <c r="R125" t="inlineStr"/>
      <c r="S125" t="inlineStr">
        <is>
          <t>已收款</t>
        </is>
      </c>
      <c r="T125" t="inlineStr">
        <is>
          <t>全曜與Vpon合作電子發票數據採購專案費用2025第1期(共四期)，申請開立發票。
來源：訂閱型發票及收款紀錄 第 128 列</t>
        </is>
      </c>
      <c r="U125" t="inlineStr">
        <is>
          <t>收到發票後30天</t>
        </is>
      </c>
      <c r="V125" t="inlineStr">
        <is>
          <t>2026-05-18</t>
        </is>
      </c>
    </row>
    <row r="126">
      <c r="A126" t="inlineStr">
        <is>
          <t>inv_d85aaa7301de</t>
        </is>
      </c>
      <c r="B126" t="inlineStr">
        <is>
          <t>Kate</t>
        </is>
      </c>
      <c r="C126" t="inlineStr">
        <is>
          <t>2025-12-31</t>
        </is>
      </c>
      <c r="D126" t="inlineStr">
        <is>
          <t>2698642</t>
        </is>
      </c>
      <c r="E126" t="inlineStr">
        <is>
          <t>2025-07-01 00:00:00</t>
        </is>
      </c>
      <c r="F126" t="inlineStr">
        <is>
          <t>2025-07-15</t>
        </is>
      </c>
      <c r="G126" t="inlineStr">
        <is>
          <t>QY43836334</t>
        </is>
      </c>
      <c r="H126" t="inlineStr">
        <is>
          <t>cus_7880af1bd682</t>
        </is>
      </c>
      <c r="I126" t="inlineStr">
        <is>
          <t>威朋大數據股份有限公司</t>
        </is>
      </c>
      <c r="J126" t="inlineStr">
        <is>
          <t>28892170</t>
        </is>
      </c>
      <c r="K126" t="n">
        <v>450000</v>
      </c>
      <c r="L126" t="n">
        <v>472500</v>
      </c>
      <c r="M126" t="inlineStr">
        <is>
          <t>數據收益</t>
        </is>
      </c>
      <c r="N126" t="inlineStr">
        <is>
          <t>Paul Sung</t>
        </is>
      </c>
      <c r="O126" t="inlineStr">
        <is>
          <t>110台北市信義區松仁路97號4樓</t>
        </is>
      </c>
      <c r="P126" t="inlineStr">
        <is>
          <t>twbilling@vpon.com, 收電子發票 paul.sung@vpon.com</t>
        </is>
      </c>
      <c r="Q126" t="inlineStr">
        <is>
          <t>02-77308328</t>
        </is>
      </c>
      <c r="R126" t="inlineStr"/>
      <c r="S126" t="inlineStr">
        <is>
          <t>已收款</t>
        </is>
      </c>
      <c r="T126" t="inlineStr">
        <is>
          <t>全曜與Vpon合作電子發票數據採購專案費用2025第2期(共四期)，申請開立發票。
來源：訂閱型發票及收款紀錄 第 129 列</t>
        </is>
      </c>
      <c r="U126" t="inlineStr">
        <is>
          <t>收到發票後30天</t>
        </is>
      </c>
      <c r="V126" t="inlineStr">
        <is>
          <t>2026-05-18</t>
        </is>
      </c>
    </row>
    <row r="127">
      <c r="A127" t="inlineStr">
        <is>
          <t>inv_a70bec7f3a70</t>
        </is>
      </c>
      <c r="B127" t="inlineStr">
        <is>
          <t>Kate</t>
        </is>
      </c>
      <c r="C127" t="inlineStr">
        <is>
          <t>2026-01-30</t>
        </is>
      </c>
      <c r="D127" t="inlineStr">
        <is>
          <t>2806649</t>
        </is>
      </c>
      <c r="E127" t="inlineStr">
        <is>
          <t>2025-10-01 00:00:00</t>
        </is>
      </c>
      <c r="F127" t="inlineStr">
        <is>
          <t>2025-10-15</t>
        </is>
      </c>
      <c r="G127" t="inlineStr"/>
      <c r="H127" t="inlineStr">
        <is>
          <t>cus_7880af1bd682</t>
        </is>
      </c>
      <c r="I127" t="inlineStr">
        <is>
          <t>威朋大數據股份有限公司</t>
        </is>
      </c>
      <c r="J127" t="inlineStr">
        <is>
          <t>28892170</t>
        </is>
      </c>
      <c r="K127" t="n">
        <v>450000</v>
      </c>
      <c r="L127" t="n">
        <v>472500</v>
      </c>
      <c r="M127" t="inlineStr">
        <is>
          <t>數據收益</t>
        </is>
      </c>
      <c r="N127" t="inlineStr">
        <is>
          <t>Paul Sung</t>
        </is>
      </c>
      <c r="O127" t="inlineStr">
        <is>
          <t>110台北市信義區松仁路97號4樓</t>
        </is>
      </c>
      <c r="P127" t="inlineStr">
        <is>
          <t>twbilling@vpon.com, 收電子發票 paul.sung@vpon.com</t>
        </is>
      </c>
      <c r="Q127" t="inlineStr">
        <is>
          <t>02-77308328</t>
        </is>
      </c>
      <c r="R127" t="inlineStr"/>
      <c r="S127" t="inlineStr">
        <is>
          <t>已收款</t>
        </is>
      </c>
      <c r="T127" t="inlineStr">
        <is>
          <t>全曜與Vpon合作電子發票數據採購專案費用2025第3期(共四期)，申請開立發票。
來源：訂閱型發票及收款紀錄 第 130 列</t>
        </is>
      </c>
      <c r="U127" t="inlineStr">
        <is>
          <t>收到發票後30天</t>
        </is>
      </c>
      <c r="V127" t="inlineStr">
        <is>
          <t>2026-05-18</t>
        </is>
      </c>
    </row>
    <row r="128">
      <c r="A128" t="inlineStr">
        <is>
          <t>inv_6f705e300fe0</t>
        </is>
      </c>
      <c r="B128" t="inlineStr">
        <is>
          <t>Kate</t>
        </is>
      </c>
      <c r="C128" t="inlineStr">
        <is>
          <t>2026-04-30</t>
        </is>
      </c>
      <c r="D128" t="inlineStr">
        <is>
          <t>2916259</t>
        </is>
      </c>
      <c r="E128" t="inlineStr">
        <is>
          <t>2026-01-01 00:00:00</t>
        </is>
      </c>
      <c r="F128" t="inlineStr">
        <is>
          <t>2026-01-15</t>
        </is>
      </c>
      <c r="G128" t="inlineStr"/>
      <c r="H128" t="inlineStr">
        <is>
          <t>cus_7880af1bd682</t>
        </is>
      </c>
      <c r="I128" t="inlineStr">
        <is>
          <t>威朋大數據股份有限公司</t>
        </is>
      </c>
      <c r="J128" t="inlineStr">
        <is>
          <t>28892170</t>
        </is>
      </c>
      <c r="K128" t="n">
        <v>450000</v>
      </c>
      <c r="L128" t="n">
        <v>472500</v>
      </c>
      <c r="M128" t="inlineStr">
        <is>
          <t>數據收益</t>
        </is>
      </c>
      <c r="N128" t="inlineStr">
        <is>
          <t>kent.chen 陳冠廷</t>
        </is>
      </c>
      <c r="O128" t="inlineStr">
        <is>
          <t>11073 台北市信義區松仁路97號4樓103室</t>
        </is>
      </c>
      <c r="P128" t="inlineStr">
        <is>
          <t>kent.chen@vpon.com</t>
        </is>
      </c>
      <c r="Q128" t="inlineStr">
        <is>
          <t>02-77136686 ext.203</t>
        </is>
      </c>
      <c r="R128" t="inlineStr"/>
      <c r="S128" t="inlineStr">
        <is>
          <t>已收款</t>
        </is>
      </c>
      <c r="T128" t="inlineStr">
        <is>
          <t>全曜與Vpon合作電子發票數據採購專案費用2025第4期(共四期)，申請開立發票。
來源：訂閱型發票及收款紀錄 第 131 列</t>
        </is>
      </c>
      <c r="U128" t="inlineStr">
        <is>
          <t>收到發票後30天</t>
        </is>
      </c>
      <c r="V128" t="inlineStr">
        <is>
          <t>2026-05-18</t>
        </is>
      </c>
    </row>
    <row r="129">
      <c r="A129" t="inlineStr">
        <is>
          <t>inv_526132afcc8f</t>
        </is>
      </c>
      <c r="B129" t="inlineStr">
        <is>
          <t>Kate</t>
        </is>
      </c>
      <c r="C129" t="inlineStr"/>
      <c r="D129" t="inlineStr">
        <is>
          <t>B01203</t>
        </is>
      </c>
      <c r="E129" t="inlineStr">
        <is>
          <t>2026-04-01 00:00:00</t>
        </is>
      </c>
      <c r="F129" t="inlineStr">
        <is>
          <t>2026-04-15</t>
        </is>
      </c>
      <c r="G129" t="inlineStr">
        <is>
          <t>ZA96391411</t>
        </is>
      </c>
      <c r="H129" t="inlineStr">
        <is>
          <t>cus_7880af1bd682</t>
        </is>
      </c>
      <c r="I129" t="inlineStr">
        <is>
          <t>威朋大數據股份有限公司</t>
        </is>
      </c>
      <c r="J129" t="inlineStr">
        <is>
          <t>28892170</t>
        </is>
      </c>
      <c r="K129" t="n">
        <v>450000</v>
      </c>
      <c r="L129" t="n">
        <v>472500</v>
      </c>
      <c r="M129" t="inlineStr">
        <is>
          <t>數據收益</t>
        </is>
      </c>
      <c r="N129" t="inlineStr">
        <is>
          <t>kent.chen 陳冠廷</t>
        </is>
      </c>
      <c r="O129" t="inlineStr">
        <is>
          <t>11073 台北市信義區松仁路97號4樓103室</t>
        </is>
      </c>
      <c r="P129" t="inlineStr">
        <is>
          <t>kent.chen@vpon.com</t>
        </is>
      </c>
      <c r="Q129" t="inlineStr">
        <is>
          <t>02-77136686 ext.203</t>
        </is>
      </c>
      <c r="R129" t="inlineStr"/>
      <c r="S129" t="inlineStr">
        <is>
          <t>未收款</t>
        </is>
      </c>
      <c r="T129" t="inlineStr">
        <is>
          <t>全曜與Vpon合作電子發票數據採購專案費用2026第1期(共四期)，申請開立發票。
來源：訂閱型發票及收款紀錄 第 132 列</t>
        </is>
      </c>
      <c r="U129" t="inlineStr">
        <is>
          <t>收到發票後30天</t>
        </is>
      </c>
      <c r="V129" t="inlineStr">
        <is>
          <t>2026-05-18</t>
        </is>
      </c>
    </row>
    <row r="130">
      <c r="A130" t="inlineStr">
        <is>
          <t>inv_805fc9aad9ed</t>
        </is>
      </c>
      <c r="B130" t="inlineStr">
        <is>
          <t>Kate</t>
        </is>
      </c>
      <c r="C130" t="inlineStr"/>
      <c r="D130" t="inlineStr"/>
      <c r="E130" t="inlineStr">
        <is>
          <t>2026-07-01 00:00:00</t>
        </is>
      </c>
      <c r="F130" t="inlineStr"/>
      <c r="G130" t="inlineStr"/>
      <c r="H130" t="inlineStr">
        <is>
          <t>cus_7880af1bd682</t>
        </is>
      </c>
      <c r="I130" t="inlineStr">
        <is>
          <t>威朋大數據股份有限公司</t>
        </is>
      </c>
      <c r="J130" t="inlineStr">
        <is>
          <t>28892170</t>
        </is>
      </c>
      <c r="K130" t="n">
        <v>450000</v>
      </c>
      <c r="L130" t="n">
        <v>472500</v>
      </c>
      <c r="M130" t="inlineStr">
        <is>
          <t>數據收益</t>
        </is>
      </c>
      <c r="N130" t="inlineStr">
        <is>
          <t>kent.chen 陳冠廷</t>
        </is>
      </c>
      <c r="O130" t="inlineStr">
        <is>
          <t>11073 台北市信義區松仁路97號4樓103室</t>
        </is>
      </c>
      <c r="P130" t="inlineStr">
        <is>
          <t>kent.chen@vpon.com</t>
        </is>
      </c>
      <c r="Q130" t="inlineStr">
        <is>
          <t>02-77136686 ext.203</t>
        </is>
      </c>
      <c r="R130" t="inlineStr"/>
      <c r="S130" t="inlineStr">
        <is>
          <t>未收款</t>
        </is>
      </c>
      <c r="T130" t="inlineStr">
        <is>
          <t>全曜與Vpon合作電子發票數據採購專案費用2026第2期(共四期)，申請開立發票。
來源：訂閱型發票及收款紀錄 第 133 列</t>
        </is>
      </c>
      <c r="U130" t="inlineStr">
        <is>
          <t>收到發票後30天</t>
        </is>
      </c>
      <c r="V130" t="inlineStr">
        <is>
          <t>2026-05-18</t>
        </is>
      </c>
    </row>
    <row r="131">
      <c r="A131" t="inlineStr">
        <is>
          <t>inv_6eb2881812d6</t>
        </is>
      </c>
      <c r="B131" t="inlineStr">
        <is>
          <t>Kate</t>
        </is>
      </c>
      <c r="C131" t="inlineStr"/>
      <c r="D131" t="inlineStr"/>
      <c r="E131" t="inlineStr">
        <is>
          <t>2026-10-01 00:00:00</t>
        </is>
      </c>
      <c r="F131" t="inlineStr"/>
      <c r="G131" t="inlineStr"/>
      <c r="H131" t="inlineStr">
        <is>
          <t>cus_7880af1bd682</t>
        </is>
      </c>
      <c r="I131" t="inlineStr">
        <is>
          <t>威朋大數據股份有限公司</t>
        </is>
      </c>
      <c r="J131" t="inlineStr">
        <is>
          <t>28892170</t>
        </is>
      </c>
      <c r="K131" t="n">
        <v>450000</v>
      </c>
      <c r="L131" t="n">
        <v>472500</v>
      </c>
      <c r="M131" t="inlineStr">
        <is>
          <t>數據收益</t>
        </is>
      </c>
      <c r="N131" t="inlineStr">
        <is>
          <t>kent.chen 陳冠廷</t>
        </is>
      </c>
      <c r="O131" t="inlineStr">
        <is>
          <t>11073 台北市信義區松仁路97號4樓103室</t>
        </is>
      </c>
      <c r="P131" t="inlineStr">
        <is>
          <t>kent.chen@vpon.com</t>
        </is>
      </c>
      <c r="Q131" t="inlineStr">
        <is>
          <t>02-77136686 ext.203</t>
        </is>
      </c>
      <c r="R131" t="inlineStr"/>
      <c r="S131" t="inlineStr">
        <is>
          <t>未收款</t>
        </is>
      </c>
      <c r="T131" t="inlineStr">
        <is>
          <t>全曜與Vpon合作電子發票數據採購專案費用2026第3期(共四期)，申請開立發票。
來源：訂閱型發票及收款紀錄 第 134 列</t>
        </is>
      </c>
      <c r="U131" t="inlineStr">
        <is>
          <t>收到發票後30天</t>
        </is>
      </c>
      <c r="V131" t="inlineStr">
        <is>
          <t>2026-05-18</t>
        </is>
      </c>
    </row>
    <row r="132">
      <c r="A132" t="inlineStr">
        <is>
          <t>inv_920b6b0827a3</t>
        </is>
      </c>
      <c r="B132" t="inlineStr">
        <is>
          <t>Kate</t>
        </is>
      </c>
      <c r="C132" t="inlineStr"/>
      <c r="D132" t="inlineStr"/>
      <c r="E132" t="inlineStr">
        <is>
          <t>2027-01-04 00:00:00</t>
        </is>
      </c>
      <c r="F132" t="inlineStr"/>
      <c r="G132" t="inlineStr"/>
      <c r="H132" t="inlineStr">
        <is>
          <t>cus_7880af1bd682</t>
        </is>
      </c>
      <c r="I132" t="inlineStr">
        <is>
          <t>威朋大數據股份有限公司</t>
        </is>
      </c>
      <c r="J132" t="inlineStr">
        <is>
          <t>28892170</t>
        </is>
      </c>
      <c r="K132" t="n">
        <v>450000</v>
      </c>
      <c r="L132" t="n">
        <v>472500</v>
      </c>
      <c r="M132" t="inlineStr">
        <is>
          <t>數據收益</t>
        </is>
      </c>
      <c r="N132" t="inlineStr">
        <is>
          <t>kent.chen 陳冠廷</t>
        </is>
      </c>
      <c r="O132" t="inlineStr">
        <is>
          <t>11073 台北市信義區松仁路97號4樓103室</t>
        </is>
      </c>
      <c r="P132" t="inlineStr">
        <is>
          <t>kent.chen@vpon.com</t>
        </is>
      </c>
      <c r="Q132" t="inlineStr">
        <is>
          <t>02-77136686 ext.203</t>
        </is>
      </c>
      <c r="R132" t="inlineStr"/>
      <c r="S132" t="inlineStr">
        <is>
          <t>未收款</t>
        </is>
      </c>
      <c r="T132" t="inlineStr">
        <is>
          <t>全曜與Vpon合作電子發票數據採購專案費用2026第4期(共四期)，申請開立發票。
來源：訂閱型發票及收款紀錄 第 135 列</t>
        </is>
      </c>
      <c r="U132" t="inlineStr">
        <is>
          <t>收到發票後30天</t>
        </is>
      </c>
      <c r="V132" t="inlineStr">
        <is>
          <t>2026-05-18</t>
        </is>
      </c>
    </row>
    <row r="133">
      <c r="A133" t="inlineStr">
        <is>
          <t>inv_d8f5313a3bc9</t>
        </is>
      </c>
      <c r="B133" t="inlineStr">
        <is>
          <t>楊育承</t>
        </is>
      </c>
      <c r="C133" t="inlineStr">
        <is>
          <t>2022-10-05</t>
        </is>
      </c>
      <c r="D133" t="inlineStr">
        <is>
          <t>1404107</t>
        </is>
      </c>
      <c r="E133" t="inlineStr">
        <is>
          <t>2022-06-25 00:00:00</t>
        </is>
      </c>
      <c r="F133" t="inlineStr">
        <is>
          <t>2022-07-20</t>
        </is>
      </c>
      <c r="G133" t="inlineStr">
        <is>
          <t>CZ70139947</t>
        </is>
      </c>
      <c r="H133" t="inlineStr">
        <is>
          <t>cus_9bf4e5d4c066</t>
        </is>
      </c>
      <c r="I133" t="inlineStr">
        <is>
          <t>台灣尼爾森愛科股份有限公司</t>
        </is>
      </c>
      <c r="J133" t="inlineStr">
        <is>
          <t>22318430</t>
        </is>
      </c>
      <c r="K133" t="n">
        <v>200000</v>
      </c>
      <c r="L133" t="n">
        <v>210000</v>
      </c>
      <c r="M133" t="inlineStr">
        <is>
          <t>數據收益</t>
        </is>
      </c>
      <c r="N133" t="inlineStr">
        <is>
          <t>楊書怡</t>
        </is>
      </c>
      <c r="O133" t="inlineStr">
        <is>
          <t>台北市松山區南京東路五段188號12樓</t>
        </is>
      </c>
      <c r="P133" t="inlineStr">
        <is>
          <t>will.wang@nielseniq.com(可開立電子發票)</t>
        </is>
      </c>
      <c r="Q133" t="inlineStr">
        <is>
          <t>02-2171-5713</t>
        </is>
      </c>
      <c r="R133" t="inlineStr"/>
      <c r="S133" t="inlineStr">
        <is>
          <t>已收款</t>
        </is>
      </c>
      <c r="T133" t="inlineStr">
        <is>
          <t>可開立電子發票
來源：訂閱型發票及收款紀錄 第 138 列</t>
        </is>
      </c>
      <c r="U133" t="inlineStr">
        <is>
          <t>收到發票後60天</t>
        </is>
      </c>
      <c r="V133" t="inlineStr">
        <is>
          <t>2026-05-18</t>
        </is>
      </c>
    </row>
    <row r="134">
      <c r="A134" t="inlineStr">
        <is>
          <t>inv_e729b8841116</t>
        </is>
      </c>
      <c r="B134" t="inlineStr">
        <is>
          <t>楊育承</t>
        </is>
      </c>
      <c r="C134" t="inlineStr">
        <is>
          <t>2022-11-10</t>
        </is>
      </c>
      <c r="D134" t="inlineStr">
        <is>
          <t>1441297</t>
        </is>
      </c>
      <c r="E134" t="inlineStr">
        <is>
          <t>2022-08-10 00:00:00</t>
        </is>
      </c>
      <c r="F134" t="inlineStr">
        <is>
          <t>2022-08-23</t>
        </is>
      </c>
      <c r="G134" t="inlineStr">
        <is>
          <t>CZ70175864</t>
        </is>
      </c>
      <c r="H134" t="inlineStr">
        <is>
          <t>cus_9bf4e5d4c066</t>
        </is>
      </c>
      <c r="I134" t="inlineStr">
        <is>
          <t>台灣尼爾森愛科股份有限公司</t>
        </is>
      </c>
      <c r="J134" t="inlineStr">
        <is>
          <t>22318430</t>
        </is>
      </c>
      <c r="K134" t="n">
        <v>200000</v>
      </c>
      <c r="L134" t="n">
        <v>210000</v>
      </c>
      <c r="M134" t="inlineStr">
        <is>
          <t>數據收益</t>
        </is>
      </c>
      <c r="N134" t="inlineStr">
        <is>
          <t>楊書怡</t>
        </is>
      </c>
      <c r="O134" t="inlineStr">
        <is>
          <t>台北市松山區南京東路五段188號12樓</t>
        </is>
      </c>
      <c r="P134" t="inlineStr">
        <is>
          <t>will.wang@nielseniq.com(可開立電子發票)</t>
        </is>
      </c>
      <c r="Q134" t="inlineStr">
        <is>
          <t>02-2171-5713</t>
        </is>
      </c>
      <c r="R134" t="inlineStr"/>
      <c r="S134" t="inlineStr">
        <is>
          <t>已收款</t>
        </is>
      </c>
      <c r="T134" t="inlineStr">
        <is>
          <t>可開立電子發票
來源：訂閱型發票及收款紀錄 第 139 列</t>
        </is>
      </c>
      <c r="U134" t="inlineStr">
        <is>
          <t>收到發票後60天</t>
        </is>
      </c>
      <c r="V134" t="inlineStr">
        <is>
          <t>2026-05-18</t>
        </is>
      </c>
    </row>
    <row r="135">
      <c r="A135" t="inlineStr">
        <is>
          <t>inv_d6c2ff3beb84</t>
        </is>
      </c>
      <c r="B135" t="inlineStr">
        <is>
          <t>楊育承</t>
        </is>
      </c>
      <c r="C135" t="inlineStr">
        <is>
          <t>2022-11-17</t>
        </is>
      </c>
      <c r="D135" t="inlineStr">
        <is>
          <t>1474379</t>
        </is>
      </c>
      <c r="E135" t="inlineStr">
        <is>
          <t>2022-09-14 00:00:00</t>
        </is>
      </c>
      <c r="F135" t="inlineStr">
        <is>
          <t>2022-09-16</t>
        </is>
      </c>
      <c r="G135" t="inlineStr">
        <is>
          <t>FB70138588</t>
        </is>
      </c>
      <c r="H135" t="inlineStr">
        <is>
          <t>cus_9bf4e5d4c066</t>
        </is>
      </c>
      <c r="I135" t="inlineStr">
        <is>
          <t>台灣尼爾森愛科股份有限公司</t>
        </is>
      </c>
      <c r="J135" t="inlineStr">
        <is>
          <t>22318430</t>
        </is>
      </c>
      <c r="K135" t="n">
        <v>200000</v>
      </c>
      <c r="L135" t="n">
        <v>210000</v>
      </c>
      <c r="M135" t="inlineStr">
        <is>
          <t>數據收益</t>
        </is>
      </c>
      <c r="N135" t="inlineStr">
        <is>
          <t>楊書怡</t>
        </is>
      </c>
      <c r="O135" t="inlineStr">
        <is>
          <t>台北市松山區南京東路五段188號12樓</t>
        </is>
      </c>
      <c r="P135" t="inlineStr">
        <is>
          <t>will.wang@nielseniq.com(可開立電子發票)</t>
        </is>
      </c>
      <c r="Q135" t="inlineStr">
        <is>
          <t>02-2171-5713</t>
        </is>
      </c>
      <c r="R135" t="inlineStr"/>
      <c r="S135" t="inlineStr">
        <is>
          <t>已收款</t>
        </is>
      </c>
      <c r="T135" t="inlineStr">
        <is>
          <t>可開立電子發票
來源：訂閱型發票及收款紀錄 第 140 列</t>
        </is>
      </c>
      <c r="U135" t="inlineStr">
        <is>
          <t>收到發票後60天</t>
        </is>
      </c>
      <c r="V135" t="inlineStr">
        <is>
          <t>2026-05-18</t>
        </is>
      </c>
    </row>
    <row r="136">
      <c r="A136" t="inlineStr">
        <is>
          <t>inv_c4496dbcbe71</t>
        </is>
      </c>
      <c r="B136" t="inlineStr">
        <is>
          <t>楊育承</t>
        </is>
      </c>
      <c r="C136" t="inlineStr">
        <is>
          <t>2022-12-15</t>
        </is>
      </c>
      <c r="D136" t="inlineStr">
        <is>
          <t>1505228</t>
        </is>
      </c>
      <c r="E136" t="inlineStr">
        <is>
          <t>2022-10-13 00:00:00</t>
        </is>
      </c>
      <c r="F136" t="inlineStr">
        <is>
          <t>2022-10-14</t>
        </is>
      </c>
      <c r="G136" t="inlineStr">
        <is>
          <t>FB70169764</t>
        </is>
      </c>
      <c r="H136" t="inlineStr">
        <is>
          <t>cus_9bf4e5d4c066</t>
        </is>
      </c>
      <c r="I136" t="inlineStr">
        <is>
          <t>台灣尼爾森愛科股份有限公司</t>
        </is>
      </c>
      <c r="J136" t="inlineStr">
        <is>
          <t>22318430</t>
        </is>
      </c>
      <c r="K136" t="n">
        <v>200000</v>
      </c>
      <c r="L136" t="n">
        <v>210000</v>
      </c>
      <c r="M136" t="inlineStr">
        <is>
          <t>數據收益</t>
        </is>
      </c>
      <c r="N136" t="inlineStr">
        <is>
          <t>楊書怡</t>
        </is>
      </c>
      <c r="O136" t="inlineStr">
        <is>
          <t>台北市松山區南京東路五段188號12樓</t>
        </is>
      </c>
      <c r="P136" t="inlineStr">
        <is>
          <t>will.wang@nielseniq.com(可開立電子發票)</t>
        </is>
      </c>
      <c r="Q136" t="inlineStr">
        <is>
          <t>02-2171-5713</t>
        </is>
      </c>
      <c r="R136" t="inlineStr"/>
      <c r="S136" t="inlineStr">
        <is>
          <t>已收款</t>
        </is>
      </c>
      <c r="T136" t="inlineStr">
        <is>
          <t>可開立電子發票
來源：訂閱型發票及收款紀錄 第 141 列</t>
        </is>
      </c>
      <c r="U136" t="inlineStr">
        <is>
          <t>收到發票後60天</t>
        </is>
      </c>
      <c r="V136" t="inlineStr">
        <is>
          <t>2026-05-18</t>
        </is>
      </c>
    </row>
    <row r="137">
      <c r="A137" t="inlineStr">
        <is>
          <t>inv_01e8d2f5edcb</t>
        </is>
      </c>
      <c r="B137" t="inlineStr">
        <is>
          <t>楊育承</t>
        </is>
      </c>
      <c r="C137" t="inlineStr">
        <is>
          <t>2023-01-19</t>
        </is>
      </c>
      <c r="D137" t="inlineStr">
        <is>
          <t>1546834</t>
        </is>
      </c>
      <c r="E137" t="inlineStr">
        <is>
          <t>2022-11-10 00:00:00</t>
        </is>
      </c>
      <c r="F137" t="inlineStr">
        <is>
          <t>2022-11-17</t>
        </is>
      </c>
      <c r="G137" t="inlineStr">
        <is>
          <t>HD70138039</t>
        </is>
      </c>
      <c r="H137" t="inlineStr">
        <is>
          <t>cus_9bf4e5d4c066</t>
        </is>
      </c>
      <c r="I137" t="inlineStr">
        <is>
          <t>台灣尼爾森愛科股份有限公司</t>
        </is>
      </c>
      <c r="J137" t="inlineStr">
        <is>
          <t>22318430</t>
        </is>
      </c>
      <c r="K137" t="n">
        <v>200000</v>
      </c>
      <c r="L137" t="n">
        <v>210000</v>
      </c>
      <c r="M137" t="inlineStr">
        <is>
          <t>數據收益</t>
        </is>
      </c>
      <c r="N137" t="inlineStr">
        <is>
          <t>楊書怡</t>
        </is>
      </c>
      <c r="O137" t="inlineStr">
        <is>
          <t>台北市松山區南京東路五段188號12樓</t>
        </is>
      </c>
      <c r="P137" t="inlineStr">
        <is>
          <t>will.wang@nielseniq.com(可開立電子發票)</t>
        </is>
      </c>
      <c r="Q137" t="inlineStr">
        <is>
          <t>02-2171-5713</t>
        </is>
      </c>
      <c r="R137" t="inlineStr"/>
      <c r="S137" t="inlineStr">
        <is>
          <t>已收款</t>
        </is>
      </c>
      <c r="T137" t="inlineStr">
        <is>
          <t>可開立電子發票
來源：訂閱型發票及收款紀錄 第 142 列</t>
        </is>
      </c>
      <c r="U137" t="inlineStr">
        <is>
          <t>收到發票後60天</t>
        </is>
      </c>
      <c r="V137" t="inlineStr">
        <is>
          <t>2026-05-18</t>
        </is>
      </c>
    </row>
    <row r="138">
      <c r="A138" t="inlineStr">
        <is>
          <t>inv_a06455be9d52</t>
        </is>
      </c>
      <c r="B138" t="inlineStr">
        <is>
          <t>楊育承</t>
        </is>
      </c>
      <c r="C138" t="inlineStr">
        <is>
          <t>2023-02-09</t>
        </is>
      </c>
      <c r="D138" t="inlineStr">
        <is>
          <t>1576978</t>
        </is>
      </c>
      <c r="E138" t="inlineStr">
        <is>
          <t>2022-12-09 00:00:00</t>
        </is>
      </c>
      <c r="F138" t="inlineStr">
        <is>
          <t>2022-12-09</t>
        </is>
      </c>
      <c r="G138" t="inlineStr">
        <is>
          <t>HD70167892</t>
        </is>
      </c>
      <c r="H138" t="inlineStr">
        <is>
          <t>cus_9bf4e5d4c066</t>
        </is>
      </c>
      <c r="I138" t="inlineStr">
        <is>
          <t>台灣尼爾森愛科股份有限公司</t>
        </is>
      </c>
      <c r="J138" t="inlineStr">
        <is>
          <t>22318430</t>
        </is>
      </c>
      <c r="K138" t="n">
        <v>200000</v>
      </c>
      <c r="L138" t="n">
        <v>210000</v>
      </c>
      <c r="M138" t="inlineStr">
        <is>
          <t>數據收益</t>
        </is>
      </c>
      <c r="N138" t="inlineStr">
        <is>
          <t>楊書怡</t>
        </is>
      </c>
      <c r="O138" t="inlineStr">
        <is>
          <t>台北市松山區南京東路五段188號12樓</t>
        </is>
      </c>
      <c r="P138" t="inlineStr">
        <is>
          <t>will.wang@nielseniq.com(可開立電子發票)</t>
        </is>
      </c>
      <c r="Q138" t="inlineStr">
        <is>
          <t>02-2171-5713</t>
        </is>
      </c>
      <c r="R138" t="inlineStr"/>
      <c r="S138" t="inlineStr">
        <is>
          <t>已收款</t>
        </is>
      </c>
      <c r="T138" t="inlineStr">
        <is>
          <t>可開立電子發票
來源：訂閱型發票及收款紀錄 第 143 列</t>
        </is>
      </c>
      <c r="U138" t="inlineStr">
        <is>
          <t>收到發票後60天</t>
        </is>
      </c>
      <c r="V138" t="inlineStr">
        <is>
          <t>2026-05-18</t>
        </is>
      </c>
    </row>
    <row r="139">
      <c r="A139" t="inlineStr">
        <is>
          <t>inv_de6a5e51a88a</t>
        </is>
      </c>
      <c r="B139" t="inlineStr">
        <is>
          <t>楊育承</t>
        </is>
      </c>
      <c r="C139" t="inlineStr">
        <is>
          <t>2023-03-23</t>
        </is>
      </c>
      <c r="D139" t="inlineStr">
        <is>
          <t>1622095</t>
        </is>
      </c>
      <c r="E139" t="inlineStr">
        <is>
          <t>2023-01-12 00:00:00</t>
        </is>
      </c>
      <c r="F139" t="inlineStr">
        <is>
          <t>2023-01-17</t>
        </is>
      </c>
      <c r="G139" t="inlineStr">
        <is>
          <t>KC44732575</t>
        </is>
      </c>
      <c r="H139" t="inlineStr">
        <is>
          <t>cus_9bf4e5d4c066</t>
        </is>
      </c>
      <c r="I139" t="inlineStr">
        <is>
          <t>台灣尼爾森愛科股份有限公司</t>
        </is>
      </c>
      <c r="J139" t="inlineStr">
        <is>
          <t>22318430</t>
        </is>
      </c>
      <c r="K139" t="n">
        <v>200000</v>
      </c>
      <c r="L139" t="n">
        <v>210000</v>
      </c>
      <c r="M139" t="inlineStr">
        <is>
          <t>數據收益</t>
        </is>
      </c>
      <c r="N139" t="inlineStr">
        <is>
          <t>楊書怡</t>
        </is>
      </c>
      <c r="O139" t="inlineStr">
        <is>
          <t>台北市松山區南京東路五段188號12樓</t>
        </is>
      </c>
      <c r="P139" t="inlineStr">
        <is>
          <t>will.wang@nielseniq.com(可開立電子發票)</t>
        </is>
      </c>
      <c r="Q139" t="inlineStr">
        <is>
          <t>02-2171-5713</t>
        </is>
      </c>
      <c r="R139" t="inlineStr"/>
      <c r="S139" t="inlineStr">
        <is>
          <t>已收款</t>
        </is>
      </c>
      <c r="T139" t="inlineStr">
        <is>
          <t>可開立電子發票
來源：訂閱型發票及收款紀錄 第 144 列</t>
        </is>
      </c>
      <c r="U139" t="inlineStr">
        <is>
          <t>收到發票後60天</t>
        </is>
      </c>
      <c r="V139" t="inlineStr">
        <is>
          <t>2026-05-18</t>
        </is>
      </c>
    </row>
    <row r="140">
      <c r="A140" t="inlineStr">
        <is>
          <t>inv_df214cf381b6</t>
        </is>
      </c>
      <c r="B140" t="inlineStr">
        <is>
          <t>楊育承</t>
        </is>
      </c>
      <c r="C140" t="inlineStr">
        <is>
          <t>2023-04-20</t>
        </is>
      </c>
      <c r="D140" t="inlineStr">
        <is>
          <t>1656760</t>
        </is>
      </c>
      <c r="E140" t="inlineStr">
        <is>
          <t>2023-02-01 00:00:00</t>
        </is>
      </c>
      <c r="F140" t="inlineStr">
        <is>
          <t>2023-02-16</t>
        </is>
      </c>
      <c r="G140" t="inlineStr">
        <is>
          <t>KC44764193</t>
        </is>
      </c>
      <c r="H140" t="inlineStr">
        <is>
          <t>cus_9bf4e5d4c066</t>
        </is>
      </c>
      <c r="I140" t="inlineStr">
        <is>
          <t>台灣尼爾森愛科股份有限公司</t>
        </is>
      </c>
      <c r="J140" t="inlineStr">
        <is>
          <t>22318430</t>
        </is>
      </c>
      <c r="K140" t="n">
        <v>200000</v>
      </c>
      <c r="L140" t="n">
        <v>210000</v>
      </c>
      <c r="M140" t="inlineStr">
        <is>
          <t>數據收益</t>
        </is>
      </c>
      <c r="N140" t="inlineStr">
        <is>
          <t>楊書怡</t>
        </is>
      </c>
      <c r="O140" t="inlineStr">
        <is>
          <t>台北市松山區南京東路五段188號12樓</t>
        </is>
      </c>
      <c r="P140" t="inlineStr">
        <is>
          <t>will.wang@nielseniq.com(可開立電子發票)</t>
        </is>
      </c>
      <c r="Q140" t="inlineStr">
        <is>
          <t>02-2171-5713</t>
        </is>
      </c>
      <c r="R140" t="inlineStr"/>
      <c r="S140" t="inlineStr">
        <is>
          <t>已收款</t>
        </is>
      </c>
      <c r="T140" t="inlineStr">
        <is>
          <t>可開立電子發票
來源：訂閱型發票及收款紀錄 第 145 列</t>
        </is>
      </c>
      <c r="U140" t="inlineStr">
        <is>
          <t>收到發票後60天</t>
        </is>
      </c>
      <c r="V140" t="inlineStr">
        <is>
          <t>2026-05-18</t>
        </is>
      </c>
    </row>
    <row r="141">
      <c r="A141" t="inlineStr">
        <is>
          <t>inv_837739b14a56</t>
        </is>
      </c>
      <c r="B141" t="inlineStr">
        <is>
          <t>楊育承</t>
        </is>
      </c>
      <c r="C141" t="inlineStr">
        <is>
          <t>2023-06-08</t>
        </is>
      </c>
      <c r="D141" t="inlineStr">
        <is>
          <t>1698804</t>
        </is>
      </c>
      <c r="E141" t="inlineStr">
        <is>
          <t>2023-03-01 00:00:00</t>
        </is>
      </c>
      <c r="F141" t="inlineStr">
        <is>
          <t>2023-03-17</t>
        </is>
      </c>
      <c r="G141" t="inlineStr">
        <is>
          <t>MC44742055</t>
        </is>
      </c>
      <c r="H141" t="inlineStr">
        <is>
          <t>cus_9bf4e5d4c066</t>
        </is>
      </c>
      <c r="I141" t="inlineStr">
        <is>
          <t>台灣尼爾森愛科股份有限公司</t>
        </is>
      </c>
      <c r="J141" t="inlineStr">
        <is>
          <t>22318430</t>
        </is>
      </c>
      <c r="K141" t="n">
        <v>200000</v>
      </c>
      <c r="L141" t="n">
        <v>210000</v>
      </c>
      <c r="M141" t="inlineStr">
        <is>
          <t>數據收益</t>
        </is>
      </c>
      <c r="N141" t="inlineStr">
        <is>
          <t>楊書怡</t>
        </is>
      </c>
      <c r="O141" t="inlineStr">
        <is>
          <t>台北市松山區南京東路五段188號12樓</t>
        </is>
      </c>
      <c r="P141" t="inlineStr">
        <is>
          <t>will.wang@nielseniq.com(可開立電子發票)</t>
        </is>
      </c>
      <c r="Q141" t="inlineStr">
        <is>
          <t>02-2171-5713</t>
        </is>
      </c>
      <c r="R141" t="inlineStr"/>
      <c r="S141" t="inlineStr">
        <is>
          <t>已收款</t>
        </is>
      </c>
      <c r="T141" t="inlineStr">
        <is>
          <t>可開立電子發票
來源：訂閱型發票及收款紀錄 第 146 列</t>
        </is>
      </c>
      <c r="U141" t="inlineStr">
        <is>
          <t>收到發票後60天</t>
        </is>
      </c>
      <c r="V141" t="inlineStr">
        <is>
          <t>2026-05-18</t>
        </is>
      </c>
    </row>
    <row r="142">
      <c r="A142" t="inlineStr">
        <is>
          <t>inv_29120e07ede6</t>
        </is>
      </c>
      <c r="B142" t="inlineStr">
        <is>
          <t>思睿</t>
        </is>
      </c>
      <c r="C142" t="inlineStr">
        <is>
          <t>2023-07-06</t>
        </is>
      </c>
      <c r="D142" t="inlineStr">
        <is>
          <t>1746289</t>
        </is>
      </c>
      <c r="E142" t="inlineStr">
        <is>
          <t>2023-04-01 00:00:00</t>
        </is>
      </c>
      <c r="F142" t="inlineStr">
        <is>
          <t>2023-05-05</t>
        </is>
      </c>
      <c r="G142" t="inlineStr">
        <is>
          <t>PC44720144</t>
        </is>
      </c>
      <c r="H142" t="inlineStr">
        <is>
          <t>cus_9bf4e5d4c066</t>
        </is>
      </c>
      <c r="I142" t="inlineStr">
        <is>
          <t>台灣尼爾森愛科股份有限公司</t>
        </is>
      </c>
      <c r="J142" t="inlineStr">
        <is>
          <t>22318430</t>
        </is>
      </c>
      <c r="K142" t="n">
        <v>200000</v>
      </c>
      <c r="L142" t="n">
        <v>210000</v>
      </c>
      <c r="M142" t="inlineStr">
        <is>
          <t>數據收益</t>
        </is>
      </c>
      <c r="N142" t="inlineStr">
        <is>
          <t>楊書怡</t>
        </is>
      </c>
      <c r="O142" t="inlineStr">
        <is>
          <t>台北市松山區南京東路五段188號12樓</t>
        </is>
      </c>
      <c r="P142" t="inlineStr">
        <is>
          <t>will.wang@nielseniq.com(可開立電子發票)</t>
        </is>
      </c>
      <c r="Q142" t="inlineStr">
        <is>
          <t>02-2171-5713</t>
        </is>
      </c>
      <c r="R142" t="inlineStr"/>
      <c r="S142" t="inlineStr">
        <is>
          <t>已收款</t>
        </is>
      </c>
      <c r="T142" t="inlineStr">
        <is>
          <t>可開立電子發票
來源：訂閱型發票及收款紀錄 第 147 列</t>
        </is>
      </c>
      <c r="U142" t="inlineStr"/>
      <c r="V142" t="inlineStr">
        <is>
          <t>2026-05-18</t>
        </is>
      </c>
    </row>
    <row r="143">
      <c r="A143" t="inlineStr">
        <is>
          <t>inv_8dddc694e49e</t>
        </is>
      </c>
      <c r="B143" t="inlineStr">
        <is>
          <t>思睿</t>
        </is>
      </c>
      <c r="C143" t="inlineStr">
        <is>
          <t>2023-07-20</t>
        </is>
      </c>
      <c r="D143" t="inlineStr">
        <is>
          <t>1761722</t>
        </is>
      </c>
      <c r="E143" t="inlineStr">
        <is>
          <t>2023-05-01 00:00:00</t>
        </is>
      </c>
      <c r="F143" t="inlineStr">
        <is>
          <t>2023-05-16</t>
        </is>
      </c>
      <c r="G143" t="inlineStr">
        <is>
          <t>PC44732996</t>
        </is>
      </c>
      <c r="H143" t="inlineStr">
        <is>
          <t>cus_9bf4e5d4c066</t>
        </is>
      </c>
      <c r="I143" t="inlineStr">
        <is>
          <t>台灣尼爾森愛科股份有限公司</t>
        </is>
      </c>
      <c r="J143" t="inlineStr">
        <is>
          <t>22318430</t>
        </is>
      </c>
      <c r="K143" t="n">
        <v>200000</v>
      </c>
      <c r="L143" t="n">
        <v>210000</v>
      </c>
      <c r="M143" t="inlineStr">
        <is>
          <t>數據收益</t>
        </is>
      </c>
      <c r="N143" t="inlineStr">
        <is>
          <t>楊書怡</t>
        </is>
      </c>
      <c r="O143" t="inlineStr">
        <is>
          <t>台北市松山區南京東路五段188號12樓</t>
        </is>
      </c>
      <c r="P143" t="inlineStr">
        <is>
          <t>will.wang@nielseniq.com(可開立電子發票)</t>
        </is>
      </c>
      <c r="Q143" t="inlineStr">
        <is>
          <t>02-2171-5713</t>
        </is>
      </c>
      <c r="R143" t="inlineStr"/>
      <c r="S143" t="inlineStr">
        <is>
          <t>已收款</t>
        </is>
      </c>
      <c r="T143" t="inlineStr">
        <is>
          <t>可開立電子發票
來源：訂閱型發票及收款紀錄 第 148 列</t>
        </is>
      </c>
      <c r="U143" t="inlineStr"/>
      <c r="V143" t="inlineStr">
        <is>
          <t>2026-05-18</t>
        </is>
      </c>
    </row>
    <row r="144">
      <c r="A144" t="inlineStr">
        <is>
          <t>inv_53bc3a081d5c</t>
        </is>
      </c>
      <c r="B144" t="inlineStr">
        <is>
          <t>思睿</t>
        </is>
      </c>
      <c r="C144" t="inlineStr">
        <is>
          <t>2023-08-17</t>
        </is>
      </c>
      <c r="D144" t="inlineStr">
        <is>
          <t>1799552</t>
        </is>
      </c>
      <c r="E144" t="inlineStr">
        <is>
          <t>2023-06-01 00:00:00</t>
        </is>
      </c>
      <c r="F144" t="inlineStr">
        <is>
          <t>2023-06-14</t>
        </is>
      </c>
      <c r="G144" t="inlineStr">
        <is>
          <t>PC44767984</t>
        </is>
      </c>
      <c r="H144" t="inlineStr">
        <is>
          <t>cus_9bf4e5d4c066</t>
        </is>
      </c>
      <c r="I144" t="inlineStr">
        <is>
          <t>台灣尼爾森愛科股份有限公司</t>
        </is>
      </c>
      <c r="J144" t="inlineStr">
        <is>
          <t>22318430</t>
        </is>
      </c>
      <c r="K144" t="n">
        <v>200000</v>
      </c>
      <c r="L144" t="n">
        <v>210000</v>
      </c>
      <c r="M144" t="inlineStr">
        <is>
          <t>數據收益</t>
        </is>
      </c>
      <c r="N144" t="inlineStr">
        <is>
          <t>楊書怡</t>
        </is>
      </c>
      <c r="O144" t="inlineStr">
        <is>
          <t>台北市松山區南京東路五段188號12樓</t>
        </is>
      </c>
      <c r="P144" t="inlineStr">
        <is>
          <t>will.wang@nielseniq.com(可開立電子發票)</t>
        </is>
      </c>
      <c r="Q144" t="inlineStr">
        <is>
          <t>02-2171-5713</t>
        </is>
      </c>
      <c r="R144" t="inlineStr"/>
      <c r="S144" t="inlineStr">
        <is>
          <t>已收款</t>
        </is>
      </c>
      <c r="T144" t="inlineStr">
        <is>
          <t>可開立電子發票
來源：訂閱型發票及收款紀錄 第 149 列</t>
        </is>
      </c>
      <c r="U144" t="inlineStr"/>
      <c r="V144" t="inlineStr">
        <is>
          <t>2026-05-18</t>
        </is>
      </c>
    </row>
    <row r="145">
      <c r="A145" t="inlineStr">
        <is>
          <t>inv_81e00711e096</t>
        </is>
      </c>
      <c r="B145" t="inlineStr">
        <is>
          <t>思睿</t>
        </is>
      </c>
      <c r="C145" t="inlineStr">
        <is>
          <t>2023-09-14</t>
        </is>
      </c>
      <c r="D145" t="inlineStr">
        <is>
          <t>1829726</t>
        </is>
      </c>
      <c r="E145" t="inlineStr">
        <is>
          <t>2023-07-01 00:00:00</t>
        </is>
      </c>
      <c r="F145" t="inlineStr">
        <is>
          <t>2023-07-11</t>
        </is>
      </c>
      <c r="G145" t="inlineStr">
        <is>
          <t>RC44726928</t>
        </is>
      </c>
      <c r="H145" t="inlineStr">
        <is>
          <t>cus_9bf4e5d4c066</t>
        </is>
      </c>
      <c r="I145" t="inlineStr">
        <is>
          <t>台灣尼爾森愛科股份有限公司</t>
        </is>
      </c>
      <c r="J145" t="inlineStr">
        <is>
          <t>22318430</t>
        </is>
      </c>
      <c r="K145" t="n">
        <v>200000</v>
      </c>
      <c r="L145" t="n">
        <v>210000</v>
      </c>
      <c r="M145" t="inlineStr">
        <is>
          <t>數據收益</t>
        </is>
      </c>
      <c r="N145" t="inlineStr">
        <is>
          <t>楊書怡</t>
        </is>
      </c>
      <c r="O145" t="inlineStr">
        <is>
          <t>台北市松山區南京東路五段188號12樓</t>
        </is>
      </c>
      <c r="P145" t="inlineStr">
        <is>
          <t>will.wang@nielseniq.com(可開立電子發票)</t>
        </is>
      </c>
      <c r="Q145" t="inlineStr">
        <is>
          <t>02-2171-5713</t>
        </is>
      </c>
      <c r="R145" t="inlineStr"/>
      <c r="S145" t="inlineStr">
        <is>
          <t>已收款</t>
        </is>
      </c>
      <c r="T145" t="inlineStr">
        <is>
          <t>可開立電子發票
來源：訂閱型發票及收款紀錄 第 150 列</t>
        </is>
      </c>
      <c r="U145" t="inlineStr"/>
      <c r="V145" t="inlineStr">
        <is>
          <t>2026-05-18</t>
        </is>
      </c>
    </row>
    <row r="146">
      <c r="A146" t="inlineStr">
        <is>
          <t>inv_24d4549c56f3</t>
        </is>
      </c>
      <c r="B146" t="inlineStr">
        <is>
          <t>思睿</t>
        </is>
      </c>
      <c r="C146" t="inlineStr">
        <is>
          <t>2023-10-12</t>
        </is>
      </c>
      <c r="D146" t="inlineStr">
        <is>
          <t>1865956</t>
        </is>
      </c>
      <c r="E146" t="inlineStr">
        <is>
          <t>2023-08-01 00:00:00</t>
        </is>
      </c>
      <c r="F146" t="inlineStr">
        <is>
          <t>2023-08-11</t>
        </is>
      </c>
      <c r="G146" t="inlineStr">
        <is>
          <t>RC44765785</t>
        </is>
      </c>
      <c r="H146" t="inlineStr">
        <is>
          <t>cus_9bf4e5d4c066</t>
        </is>
      </c>
      <c r="I146" t="inlineStr">
        <is>
          <t>台灣尼爾森愛科股份有限公司</t>
        </is>
      </c>
      <c r="J146" t="inlineStr">
        <is>
          <t>22318430</t>
        </is>
      </c>
      <c r="K146" t="n">
        <v>200000</v>
      </c>
      <c r="L146" t="n">
        <v>210000</v>
      </c>
      <c r="M146" t="inlineStr">
        <is>
          <t>數據收益</t>
        </is>
      </c>
      <c r="N146" t="inlineStr">
        <is>
          <t>楊書怡</t>
        </is>
      </c>
      <c r="O146" t="inlineStr">
        <is>
          <t>台北市松山區南京東路五段188號12樓</t>
        </is>
      </c>
      <c r="P146" t="inlineStr">
        <is>
          <t>will.wang@nielseniq.com(可開立電子發票)</t>
        </is>
      </c>
      <c r="Q146" t="inlineStr">
        <is>
          <t>02-2171-5713</t>
        </is>
      </c>
      <c r="R146" t="inlineStr"/>
      <c r="S146" t="inlineStr">
        <is>
          <t>已收款</t>
        </is>
      </c>
      <c r="T146" t="inlineStr">
        <is>
          <t>可開立電子發票
來源：訂閱型發票及收款紀錄 第 151 列</t>
        </is>
      </c>
      <c r="U146" t="inlineStr"/>
      <c r="V146" t="inlineStr">
        <is>
          <t>2026-05-18</t>
        </is>
      </c>
    </row>
    <row r="147">
      <c r="A147" t="inlineStr">
        <is>
          <t>inv_f840997d95d2</t>
        </is>
      </c>
      <c r="B147" t="inlineStr">
        <is>
          <t>思睿</t>
        </is>
      </c>
      <c r="C147" t="inlineStr">
        <is>
          <t>2023-11-23</t>
        </is>
      </c>
      <c r="D147" t="inlineStr">
        <is>
          <t>1913622</t>
        </is>
      </c>
      <c r="E147" t="inlineStr">
        <is>
          <t>2023-09-01 00:00:00</t>
        </is>
      </c>
      <c r="F147" t="inlineStr">
        <is>
          <t>2023-09-22</t>
        </is>
      </c>
      <c r="G147" t="inlineStr">
        <is>
          <t>TC44736066</t>
        </is>
      </c>
      <c r="H147" t="inlineStr">
        <is>
          <t>cus_9bf4e5d4c066</t>
        </is>
      </c>
      <c r="I147" t="inlineStr">
        <is>
          <t>台灣尼爾森愛科股份有限公司</t>
        </is>
      </c>
      <c r="J147" t="inlineStr">
        <is>
          <t>22318430</t>
        </is>
      </c>
      <c r="K147" t="n">
        <v>200000</v>
      </c>
      <c r="L147" t="n">
        <v>210000</v>
      </c>
      <c r="M147" t="inlineStr">
        <is>
          <t>數據收益</t>
        </is>
      </c>
      <c r="N147" t="inlineStr">
        <is>
          <t>楊書怡</t>
        </is>
      </c>
      <c r="O147" t="inlineStr">
        <is>
          <t>台北市松山區南京東路五段188號12樓</t>
        </is>
      </c>
      <c r="P147" t="inlineStr">
        <is>
          <t>will.wang@nielseniq.com(可開立電子發票)</t>
        </is>
      </c>
      <c r="Q147" t="inlineStr">
        <is>
          <t>02-2171-5713</t>
        </is>
      </c>
      <c r="R147" t="inlineStr"/>
      <c r="S147" t="inlineStr">
        <is>
          <t>已收款</t>
        </is>
      </c>
      <c r="T147" t="inlineStr">
        <is>
          <t>可開立電子發票
來源：訂閱型發票及收款紀錄 第 152 列</t>
        </is>
      </c>
      <c r="U147" t="inlineStr">
        <is>
          <t>收到發票後90天</t>
        </is>
      </c>
      <c r="V147" t="inlineStr">
        <is>
          <t>2026-05-18</t>
        </is>
      </c>
    </row>
    <row r="148">
      <c r="A148" t="inlineStr">
        <is>
          <t>inv_a1f099c40ccc</t>
        </is>
      </c>
      <c r="B148" t="inlineStr">
        <is>
          <t>思睿</t>
        </is>
      </c>
      <c r="C148" t="inlineStr">
        <is>
          <t>2023-12-14</t>
        </is>
      </c>
      <c r="D148" t="inlineStr">
        <is>
          <t>1934497</t>
        </is>
      </c>
      <c r="E148" t="inlineStr">
        <is>
          <t>2023-10-01 00:00:00</t>
        </is>
      </c>
      <c r="F148" t="inlineStr">
        <is>
          <t>2023-10-12</t>
        </is>
      </c>
      <c r="G148" t="inlineStr">
        <is>
          <t>TC44755168</t>
        </is>
      </c>
      <c r="H148" t="inlineStr">
        <is>
          <t>cus_9bf4e5d4c066</t>
        </is>
      </c>
      <c r="I148" t="inlineStr">
        <is>
          <t>台灣尼爾森愛科股份有限公司</t>
        </is>
      </c>
      <c r="J148" t="inlineStr">
        <is>
          <t>22318430</t>
        </is>
      </c>
      <c r="K148" t="n">
        <v>200000</v>
      </c>
      <c r="L148" t="n">
        <v>210000</v>
      </c>
      <c r="M148" t="inlineStr">
        <is>
          <t>數據收益</t>
        </is>
      </c>
      <c r="N148" t="inlineStr">
        <is>
          <t>楊書怡</t>
        </is>
      </c>
      <c r="O148" t="inlineStr">
        <is>
          <t>台北市松山區南京東路五段188號12樓</t>
        </is>
      </c>
      <c r="P148" t="inlineStr">
        <is>
          <t>will.wang@nielseniq.com(可開立電子發票)</t>
        </is>
      </c>
      <c r="Q148" t="inlineStr">
        <is>
          <t>02-2171-5713</t>
        </is>
      </c>
      <c r="R148" t="inlineStr"/>
      <c r="S148" t="inlineStr">
        <is>
          <t>已收款</t>
        </is>
      </c>
      <c r="T148" t="inlineStr">
        <is>
          <t>可開立電子發票
來源：訂閱型發票及收款紀錄 第 153 列</t>
        </is>
      </c>
      <c r="U148" t="inlineStr">
        <is>
          <t>收到發票後90天</t>
        </is>
      </c>
      <c r="V148" t="inlineStr">
        <is>
          <t>2026-05-18</t>
        </is>
      </c>
    </row>
    <row r="149">
      <c r="A149" t="inlineStr">
        <is>
          <t>inv_0d2dfb057076</t>
        </is>
      </c>
      <c r="B149" t="inlineStr">
        <is>
          <t>思睿</t>
        </is>
      </c>
      <c r="C149" t="inlineStr">
        <is>
          <t>2024-01-11</t>
        </is>
      </c>
      <c r="D149" t="inlineStr">
        <is>
          <t>1967012</t>
        </is>
      </c>
      <c r="E149" t="inlineStr">
        <is>
          <t>2023-11-01 00:00:00</t>
        </is>
      </c>
      <c r="F149" t="inlineStr">
        <is>
          <t>2023-11-09</t>
        </is>
      </c>
      <c r="G149" t="inlineStr">
        <is>
          <t>VC44725462</t>
        </is>
      </c>
      <c r="H149" t="inlineStr">
        <is>
          <t>cus_9bf4e5d4c066</t>
        </is>
      </c>
      <c r="I149" t="inlineStr">
        <is>
          <t>台灣尼爾森愛科股份有限公司</t>
        </is>
      </c>
      <c r="J149" t="inlineStr">
        <is>
          <t>22318430</t>
        </is>
      </c>
      <c r="K149" t="n">
        <v>200000</v>
      </c>
      <c r="L149" t="n">
        <v>210000</v>
      </c>
      <c r="M149" t="inlineStr">
        <is>
          <t>數據收益</t>
        </is>
      </c>
      <c r="N149" t="inlineStr">
        <is>
          <t>楊書怡</t>
        </is>
      </c>
      <c r="O149" t="inlineStr">
        <is>
          <t>台北市松山區南京東路五段188號12樓</t>
        </is>
      </c>
      <c r="P149" t="inlineStr">
        <is>
          <t>will.wang@nielseniq.com(可開立電子發票)</t>
        </is>
      </c>
      <c r="Q149" t="inlineStr">
        <is>
          <t>02-2171-5713</t>
        </is>
      </c>
      <c r="R149" t="inlineStr"/>
      <c r="S149" t="inlineStr">
        <is>
          <t>已收款</t>
        </is>
      </c>
      <c r="T149" t="inlineStr">
        <is>
          <t>可開立電子發票
來源：訂閱型發票及收款紀錄 第 154 列</t>
        </is>
      </c>
      <c r="U149" t="inlineStr">
        <is>
          <t>收到發票後90天</t>
        </is>
      </c>
      <c r="V149" t="inlineStr">
        <is>
          <t>2026-05-18</t>
        </is>
      </c>
    </row>
    <row r="150">
      <c r="A150" t="inlineStr">
        <is>
          <t>inv_f7308afaf55a</t>
        </is>
      </c>
      <c r="B150" t="inlineStr">
        <is>
          <t>思睿</t>
        </is>
      </c>
      <c r="C150" t="inlineStr">
        <is>
          <t>2024-02-06</t>
        </is>
      </c>
      <c r="D150" t="inlineStr">
        <is>
          <t>2004786</t>
        </is>
      </c>
      <c r="E150" t="inlineStr">
        <is>
          <t>2023-12-01 00:00:00</t>
        </is>
      </c>
      <c r="F150" t="inlineStr">
        <is>
          <t>2023-12-06</t>
        </is>
      </c>
      <c r="G150" t="inlineStr">
        <is>
          <t>VC44759555</t>
        </is>
      </c>
      <c r="H150" t="inlineStr">
        <is>
          <t>cus_9bf4e5d4c066</t>
        </is>
      </c>
      <c r="I150" t="inlineStr">
        <is>
          <t>台灣尼爾森愛科股份有限公司</t>
        </is>
      </c>
      <c r="J150" t="inlineStr">
        <is>
          <t>22318430</t>
        </is>
      </c>
      <c r="K150" t="n">
        <v>200000</v>
      </c>
      <c r="L150" t="n">
        <v>210000</v>
      </c>
      <c r="M150" t="inlineStr">
        <is>
          <t>數據收益</t>
        </is>
      </c>
      <c r="N150" t="inlineStr">
        <is>
          <t>楊書怡</t>
        </is>
      </c>
      <c r="O150" t="inlineStr">
        <is>
          <t>台北市松山區南京東路五段188號12樓</t>
        </is>
      </c>
      <c r="P150" t="inlineStr">
        <is>
          <t>will.wang@nielseniq.com(可開立電子發票)</t>
        </is>
      </c>
      <c r="Q150" t="inlineStr">
        <is>
          <t>02-2171-5713</t>
        </is>
      </c>
      <c r="R150" t="inlineStr"/>
      <c r="S150" t="inlineStr">
        <is>
          <t>已收款</t>
        </is>
      </c>
      <c r="T150" t="inlineStr">
        <is>
          <t>可開立電子發票
來源：訂閱型發票及收款紀錄 第 155 列</t>
        </is>
      </c>
      <c r="U150" t="inlineStr">
        <is>
          <t>收到發票後90天</t>
        </is>
      </c>
      <c r="V150" t="inlineStr">
        <is>
          <t>2026-05-18</t>
        </is>
      </c>
    </row>
    <row r="151">
      <c r="A151" t="inlineStr">
        <is>
          <t>inv_e867f519fc7b</t>
        </is>
      </c>
      <c r="B151" t="inlineStr">
        <is>
          <t>Cobi</t>
        </is>
      </c>
      <c r="C151" t="inlineStr">
        <is>
          <t>2024-03-21</t>
        </is>
      </c>
      <c r="D151" t="inlineStr">
        <is>
          <t>2053506</t>
        </is>
      </c>
      <c r="E151" t="inlineStr">
        <is>
          <t>2024-01-01 00:00:00</t>
        </is>
      </c>
      <c r="F151" t="inlineStr">
        <is>
          <t>2024-01-16</t>
        </is>
      </c>
      <c r="G151" t="inlineStr">
        <is>
          <t>XE03662940</t>
        </is>
      </c>
      <c r="H151" t="inlineStr">
        <is>
          <t>cus_9bf4e5d4c066</t>
        </is>
      </c>
      <c r="I151" t="inlineStr">
        <is>
          <t>台灣尼爾森愛科股份有限公司</t>
        </is>
      </c>
      <c r="J151" t="inlineStr">
        <is>
          <t>22318430</t>
        </is>
      </c>
      <c r="K151" t="n">
        <v>200000</v>
      </c>
      <c r="L151" t="n">
        <v>210000</v>
      </c>
      <c r="M151" t="inlineStr">
        <is>
          <t>數據收益</t>
        </is>
      </c>
      <c r="N151" t="inlineStr">
        <is>
          <t>楊書怡</t>
        </is>
      </c>
      <c r="O151" t="inlineStr">
        <is>
          <t>台北市松山區南京東路五段188號12樓</t>
        </is>
      </c>
      <c r="P151" t="inlineStr">
        <is>
          <t>will.wang@nielseniq.com(可開立電子發票)</t>
        </is>
      </c>
      <c r="Q151" t="inlineStr">
        <is>
          <t>02-2171-5713</t>
        </is>
      </c>
      <c r="R151" t="inlineStr"/>
      <c r="S151" t="inlineStr">
        <is>
          <t>已收款</t>
        </is>
      </c>
      <c r="T151" t="inlineStr">
        <is>
          <t>可開立電子發票/2024年起合約價格調漲為360萬(未稅)/年, 於2026年中重新審視(可參考新約內容)
來源：訂閱型發票及收款紀錄 第 156 列</t>
        </is>
      </c>
      <c r="U151" t="inlineStr">
        <is>
          <t>收到發票後90天</t>
        </is>
      </c>
      <c r="V151" t="inlineStr">
        <is>
          <t>2026-05-18</t>
        </is>
      </c>
    </row>
    <row r="152">
      <c r="A152" t="inlineStr">
        <is>
          <t>inv_75de31568dbb</t>
        </is>
      </c>
      <c r="B152" t="inlineStr">
        <is>
          <t>Cobi</t>
        </is>
      </c>
      <c r="C152" t="inlineStr">
        <is>
          <t>2024-04-18</t>
        </is>
      </c>
      <c r="D152" t="inlineStr">
        <is>
          <t>2087473</t>
        </is>
      </c>
      <c r="E152" t="inlineStr">
        <is>
          <t>2024-02-01 00:00:00</t>
        </is>
      </c>
      <c r="F152" t="inlineStr">
        <is>
          <t>2024-02-16</t>
        </is>
      </c>
      <c r="G152" t="inlineStr">
        <is>
          <t>XE03693706</t>
        </is>
      </c>
      <c r="H152" t="inlineStr">
        <is>
          <t>cus_9bf4e5d4c066</t>
        </is>
      </c>
      <c r="I152" t="inlineStr">
        <is>
          <t>台灣尼爾森愛科股份有限公司</t>
        </is>
      </c>
      <c r="J152" t="inlineStr">
        <is>
          <t>22318430</t>
        </is>
      </c>
      <c r="K152" t="n">
        <v>300000</v>
      </c>
      <c r="L152" t="n">
        <v>315000</v>
      </c>
      <c r="M152" t="inlineStr">
        <is>
          <t>數據收益</t>
        </is>
      </c>
      <c r="N152" t="inlineStr">
        <is>
          <t>楊書怡</t>
        </is>
      </c>
      <c r="O152" t="inlineStr">
        <is>
          <t>台北市松山區南京東路五段188號12樓</t>
        </is>
      </c>
      <c r="P152" t="inlineStr">
        <is>
          <t>will.wang@nielseniq.com(可開立電子發票)</t>
        </is>
      </c>
      <c r="Q152" t="inlineStr">
        <is>
          <t>02-2171-5713</t>
        </is>
      </c>
      <c r="R152" t="inlineStr"/>
      <c r="S152" t="inlineStr">
        <is>
          <t>已收款</t>
        </is>
      </c>
      <c r="T152" t="inlineStr">
        <is>
          <t>可開立電子發票/2024年起合約價格調漲為360萬(未稅)/年, 於2026年中重新審視(可參考新約內容)
來源：訂閱型發票及收款紀錄 第 157 列</t>
        </is>
      </c>
      <c r="U152" t="inlineStr">
        <is>
          <t>收到發票後90天</t>
        </is>
      </c>
      <c r="V152" t="inlineStr">
        <is>
          <t>2026-05-18</t>
        </is>
      </c>
    </row>
    <row r="153">
      <c r="A153" t="inlineStr">
        <is>
          <t>inv_cd5372f9b2dd</t>
        </is>
      </c>
      <c r="B153" t="inlineStr">
        <is>
          <t>Cobi</t>
        </is>
      </c>
      <c r="C153" t="inlineStr">
        <is>
          <t>2024-05-23</t>
        </is>
      </c>
      <c r="D153" t="inlineStr">
        <is>
          <t>2131293</t>
        </is>
      </c>
      <c r="E153" t="inlineStr">
        <is>
          <t>2024-03-01 00:00:00</t>
        </is>
      </c>
      <c r="F153" t="inlineStr">
        <is>
          <t>2024-03-18</t>
        </is>
      </c>
      <c r="G153" t="inlineStr">
        <is>
          <t>ZD03667389</t>
        </is>
      </c>
      <c r="H153" t="inlineStr">
        <is>
          <t>cus_9bf4e5d4c066</t>
        </is>
      </c>
      <c r="I153" t="inlineStr">
        <is>
          <t>台灣尼爾森愛科股份有限公司</t>
        </is>
      </c>
      <c r="J153" t="inlineStr">
        <is>
          <t>22318430</t>
        </is>
      </c>
      <c r="K153" t="n">
        <v>300000</v>
      </c>
      <c r="L153" t="n">
        <v>315000</v>
      </c>
      <c r="M153" t="inlineStr">
        <is>
          <t>數據收益</t>
        </is>
      </c>
      <c r="N153" t="inlineStr">
        <is>
          <t>楊書怡</t>
        </is>
      </c>
      <c r="O153" t="inlineStr">
        <is>
          <t>台北市松山區南京東路五段188號12樓</t>
        </is>
      </c>
      <c r="P153" t="inlineStr">
        <is>
          <t>will.wang@nielseniq.com(可開立電子發票)</t>
        </is>
      </c>
      <c r="Q153" t="inlineStr">
        <is>
          <t>02-2171-5713</t>
        </is>
      </c>
      <c r="R153" t="inlineStr"/>
      <c r="S153" t="inlineStr">
        <is>
          <t>已收款</t>
        </is>
      </c>
      <c r="T153" t="inlineStr">
        <is>
          <t>可開立電子發票/2024年起合約價格調漲為360萬(未稅)/年, 於2026年中重新審視(可參考新約內容)
來源：訂閱型發票及收款紀錄 第 158 列</t>
        </is>
      </c>
      <c r="U153" t="inlineStr">
        <is>
          <t>收到發票後90天</t>
        </is>
      </c>
      <c r="V153" t="inlineStr">
        <is>
          <t>2026-05-18</t>
        </is>
      </c>
    </row>
    <row r="154">
      <c r="A154" t="inlineStr">
        <is>
          <t>inv_e97753b08934</t>
        </is>
      </c>
      <c r="B154" t="inlineStr">
        <is>
          <t>Cobi</t>
        </is>
      </c>
      <c r="C154" t="inlineStr">
        <is>
          <t>2024-06-20</t>
        </is>
      </c>
      <c r="D154" t="inlineStr">
        <is>
          <t>2174630</t>
        </is>
      </c>
      <c r="E154" t="inlineStr">
        <is>
          <t>2024-04-01 00:00:00</t>
        </is>
      </c>
      <c r="F154" t="inlineStr">
        <is>
          <t>2024-04-18</t>
        </is>
      </c>
      <c r="G154" t="inlineStr">
        <is>
          <t>ZD03703357</t>
        </is>
      </c>
      <c r="H154" t="inlineStr">
        <is>
          <t>cus_9bf4e5d4c066</t>
        </is>
      </c>
      <c r="I154" t="inlineStr">
        <is>
          <t>台灣尼爾森愛科股份有限公司</t>
        </is>
      </c>
      <c r="J154" t="inlineStr">
        <is>
          <t>22318430</t>
        </is>
      </c>
      <c r="K154" t="n">
        <v>300000</v>
      </c>
      <c r="L154" t="n">
        <v>315000</v>
      </c>
      <c r="M154" t="inlineStr">
        <is>
          <t>數據收益</t>
        </is>
      </c>
      <c r="N154" t="inlineStr">
        <is>
          <t>楊書怡</t>
        </is>
      </c>
      <c r="O154" t="inlineStr">
        <is>
          <t>台北市松山區南京東路五段188號12樓</t>
        </is>
      </c>
      <c r="P154" t="inlineStr">
        <is>
          <t>will.wang@nielseniq.com(可開立電子發票)</t>
        </is>
      </c>
      <c r="Q154" t="inlineStr">
        <is>
          <t>02-2171-5713</t>
        </is>
      </c>
      <c r="R154" t="inlineStr"/>
      <c r="S154" t="inlineStr">
        <is>
          <t>已收款</t>
        </is>
      </c>
      <c r="T154" t="inlineStr">
        <is>
          <t>可開立電子發票/2024年起合約價格調漲為360萬(未稅)/年, 於2026年中重新審視(可參考新約內容)
來源：訂閱型發票及收款紀錄 第 159 列</t>
        </is>
      </c>
      <c r="U154" t="inlineStr">
        <is>
          <t>收到發票後90天</t>
        </is>
      </c>
      <c r="V154" t="inlineStr">
        <is>
          <t>2026-05-18</t>
        </is>
      </c>
    </row>
    <row r="155">
      <c r="A155" t="inlineStr">
        <is>
          <t>inv_b569cdaf2286</t>
        </is>
      </c>
      <c r="B155" t="inlineStr">
        <is>
          <t>Cobi</t>
        </is>
      </c>
      <c r="C155" t="inlineStr">
        <is>
          <t>2024-07-18</t>
        </is>
      </c>
      <c r="D155" t="inlineStr">
        <is>
          <t>2210843</t>
        </is>
      </c>
      <c r="E155" t="inlineStr">
        <is>
          <t>2024-05-01 00:00:00</t>
        </is>
      </c>
      <c r="F155" t="inlineStr">
        <is>
          <t>2024-05-15</t>
        </is>
      </c>
      <c r="G155" t="inlineStr">
        <is>
          <t>BD03662763</t>
        </is>
      </c>
      <c r="H155" t="inlineStr">
        <is>
          <t>cus_9bf4e5d4c066</t>
        </is>
      </c>
      <c r="I155" t="inlineStr">
        <is>
          <t>台灣尼爾森愛科股份有限公司</t>
        </is>
      </c>
      <c r="J155" t="inlineStr">
        <is>
          <t>22318430</t>
        </is>
      </c>
      <c r="K155" t="n">
        <v>300000</v>
      </c>
      <c r="L155" t="n">
        <v>315000</v>
      </c>
      <c r="M155" t="inlineStr">
        <is>
          <t>數據收益</t>
        </is>
      </c>
      <c r="N155" t="inlineStr">
        <is>
          <t>楊書怡</t>
        </is>
      </c>
      <c r="O155" t="inlineStr">
        <is>
          <t>台北市松山區南京東路五段188號12樓</t>
        </is>
      </c>
      <c r="P155" t="inlineStr">
        <is>
          <t>will.wang@nielseniq.com(可開立電子發票)</t>
        </is>
      </c>
      <c r="Q155" t="inlineStr">
        <is>
          <t>02-2171-5713</t>
        </is>
      </c>
      <c r="R155" t="inlineStr"/>
      <c r="S155" t="inlineStr">
        <is>
          <t>已收款</t>
        </is>
      </c>
      <c r="T155" t="inlineStr">
        <is>
          <t>可開立電子發票/2024年起合約價格調漲為360萬(未稅)/年, 於2026年中重新審視(可參考新約內容)
來源：訂閱型發票及收款紀錄 第 160 列</t>
        </is>
      </c>
      <c r="U155" t="inlineStr">
        <is>
          <t>收到發票後90天</t>
        </is>
      </c>
      <c r="V155" t="inlineStr">
        <is>
          <t>2026-05-18</t>
        </is>
      </c>
    </row>
    <row r="156">
      <c r="A156" t="inlineStr">
        <is>
          <t>inv_2fc5b8a79a87</t>
        </is>
      </c>
      <c r="B156" t="inlineStr">
        <is>
          <t>Cobi</t>
        </is>
      </c>
      <c r="C156" t="inlineStr">
        <is>
          <t>2024-08-22</t>
        </is>
      </c>
      <c r="D156" t="inlineStr">
        <is>
          <t>2267211</t>
        </is>
      </c>
      <c r="E156" t="inlineStr">
        <is>
          <t>2024-06-01 00:00:00</t>
        </is>
      </c>
      <c r="F156" t="inlineStr">
        <is>
          <t>2024-06-21</t>
        </is>
      </c>
      <c r="G156" t="inlineStr">
        <is>
          <t>BD03713024</t>
        </is>
      </c>
      <c r="H156" t="inlineStr">
        <is>
          <t>cus_9bf4e5d4c066</t>
        </is>
      </c>
      <c r="I156" t="inlineStr">
        <is>
          <t>台灣尼爾森愛科股份有限公司</t>
        </is>
      </c>
      <c r="J156" t="inlineStr">
        <is>
          <t>22318430</t>
        </is>
      </c>
      <c r="K156" t="n">
        <v>300000</v>
      </c>
      <c r="L156" t="n">
        <v>315000</v>
      </c>
      <c r="M156" t="inlineStr">
        <is>
          <t>數據收益</t>
        </is>
      </c>
      <c r="N156" t="inlineStr">
        <is>
          <t>楊書怡</t>
        </is>
      </c>
      <c r="O156" t="inlineStr">
        <is>
          <t>台北市松山區南京東路五段188號12樓</t>
        </is>
      </c>
      <c r="P156" t="inlineStr">
        <is>
          <t>will.wang@nielseniq.com(可開立電子發票)</t>
        </is>
      </c>
      <c r="Q156" t="inlineStr">
        <is>
          <t>02-2171-5713</t>
        </is>
      </c>
      <c r="R156" t="inlineStr"/>
      <c r="S156" t="inlineStr">
        <is>
          <t>已收款</t>
        </is>
      </c>
      <c r="T156" t="inlineStr">
        <is>
          <t>可開立電子發票/2024年起合約價格調漲為360萬(未稅)/年, 於2026年中重新審視(可參考新約內容)
來源：訂閱型發票及收款紀錄 第 161 列</t>
        </is>
      </c>
      <c r="U156" t="inlineStr">
        <is>
          <t>收到發票後90天</t>
        </is>
      </c>
      <c r="V156" t="inlineStr">
        <is>
          <t>2026-05-18</t>
        </is>
      </c>
    </row>
    <row r="157">
      <c r="A157" t="inlineStr">
        <is>
          <t>inv_be3be518847e</t>
        </is>
      </c>
      <c r="B157" t="inlineStr">
        <is>
          <t>Cobi</t>
        </is>
      </c>
      <c r="C157" t="inlineStr">
        <is>
          <t>2024-09-19</t>
        </is>
      </c>
      <c r="D157" t="inlineStr">
        <is>
          <t>2302162</t>
        </is>
      </c>
      <c r="E157" t="inlineStr">
        <is>
          <t>2024-07-01 00:00:00</t>
        </is>
      </c>
      <c r="F157" t="inlineStr">
        <is>
          <t>2024-07-17</t>
        </is>
      </c>
      <c r="G157" t="inlineStr">
        <is>
          <t>DC03665232</t>
        </is>
      </c>
      <c r="H157" t="inlineStr">
        <is>
          <t>cus_9bf4e5d4c066</t>
        </is>
      </c>
      <c r="I157" t="inlineStr">
        <is>
          <t>台灣尼爾森愛科股份有限公司</t>
        </is>
      </c>
      <c r="J157" t="inlineStr">
        <is>
          <t>22318430</t>
        </is>
      </c>
      <c r="K157" t="n">
        <v>300000</v>
      </c>
      <c r="L157" t="n">
        <v>315000</v>
      </c>
      <c r="M157" t="inlineStr">
        <is>
          <t>數據收益</t>
        </is>
      </c>
      <c r="N157" t="inlineStr">
        <is>
          <t>楊書怡</t>
        </is>
      </c>
      <c r="O157" t="inlineStr">
        <is>
          <t>台北市松山區南京東路五段188號12樓</t>
        </is>
      </c>
      <c r="P157" t="inlineStr">
        <is>
          <t>will.wang@nielseniq.com(可開立電子發票)</t>
        </is>
      </c>
      <c r="Q157" t="inlineStr">
        <is>
          <t>02-2171-5713</t>
        </is>
      </c>
      <c r="R157" t="inlineStr"/>
      <c r="S157" t="inlineStr">
        <is>
          <t>已收款</t>
        </is>
      </c>
      <c r="T157" t="inlineStr">
        <is>
          <t>可開立電子發票/2024年起合約價格調漲為360萬(未稅)/年, 於2026年中重新審視(可參考新約內容)
來源：訂閱型發票及收款紀錄 第 162 列</t>
        </is>
      </c>
      <c r="U157" t="inlineStr">
        <is>
          <t>收到發票後90天</t>
        </is>
      </c>
      <c r="V157" t="inlineStr">
        <is>
          <t>2026-05-18</t>
        </is>
      </c>
    </row>
    <row r="158">
      <c r="A158" t="inlineStr">
        <is>
          <t>inv_3940978c8bbd</t>
        </is>
      </c>
      <c r="B158" t="inlineStr">
        <is>
          <t>Cobi</t>
        </is>
      </c>
      <c r="C158" t="inlineStr">
        <is>
          <t>2024-10-17</t>
        </is>
      </c>
      <c r="D158" t="inlineStr">
        <is>
          <t>2336486</t>
        </is>
      </c>
      <c r="E158" t="inlineStr">
        <is>
          <t>2024-08-01 00:00:00</t>
        </is>
      </c>
      <c r="F158" t="inlineStr">
        <is>
          <t>2024-08-15</t>
        </is>
      </c>
      <c r="G158" t="inlineStr">
        <is>
          <t>DC03695365</t>
        </is>
      </c>
      <c r="H158" t="inlineStr">
        <is>
          <t>cus_9bf4e5d4c066</t>
        </is>
      </c>
      <c r="I158" t="inlineStr">
        <is>
          <t>台灣尼爾森愛科股份有限公司</t>
        </is>
      </c>
      <c r="J158" t="inlineStr">
        <is>
          <t>22318430</t>
        </is>
      </c>
      <c r="K158" t="n">
        <v>300000</v>
      </c>
      <c r="L158" t="n">
        <v>315000</v>
      </c>
      <c r="M158" t="inlineStr">
        <is>
          <t>數據收益</t>
        </is>
      </c>
      <c r="N158" t="inlineStr">
        <is>
          <t>楊書怡</t>
        </is>
      </c>
      <c r="O158" t="inlineStr">
        <is>
          <t>台北市松山區南京東路五段188號12樓</t>
        </is>
      </c>
      <c r="P158" t="inlineStr">
        <is>
          <t>will.wang@nielseniq.com(可開立電子發票)</t>
        </is>
      </c>
      <c r="Q158" t="inlineStr">
        <is>
          <t>02-2171-5713</t>
        </is>
      </c>
      <c r="R158" t="inlineStr"/>
      <c r="S158" t="inlineStr">
        <is>
          <t>已收款</t>
        </is>
      </c>
      <c r="T158" t="inlineStr">
        <is>
          <t>可開立電子發票/2024年起合約價格調漲為360萬(未稅)/年, 於2026年中重新審視(可參考新約內容)
來源：訂閱型發票及收款紀錄 第 163 列</t>
        </is>
      </c>
      <c r="U158" t="inlineStr">
        <is>
          <t>收到發票後90天</t>
        </is>
      </c>
      <c r="V158" t="inlineStr">
        <is>
          <t>2026-05-18</t>
        </is>
      </c>
    </row>
    <row r="159">
      <c r="A159" t="inlineStr">
        <is>
          <t>inv_e8b86d993ada</t>
        </is>
      </c>
      <c r="B159" t="inlineStr">
        <is>
          <t>Cobi</t>
        </is>
      </c>
      <c r="C159" t="inlineStr">
        <is>
          <t>2024-11-14</t>
        </is>
      </c>
      <c r="D159" t="inlineStr">
        <is>
          <t>2369237</t>
        </is>
      </c>
      <c r="E159" t="inlineStr">
        <is>
          <t>2024-09-01 00:00:00</t>
        </is>
      </c>
      <c r="F159" t="inlineStr">
        <is>
          <t>2024-09-13</t>
        </is>
      </c>
      <c r="G159" t="inlineStr">
        <is>
          <t>FB03658179</t>
        </is>
      </c>
      <c r="H159" t="inlineStr">
        <is>
          <t>cus_9bf4e5d4c066</t>
        </is>
      </c>
      <c r="I159" t="inlineStr">
        <is>
          <t>台灣尼爾森愛科股份有限公司</t>
        </is>
      </c>
      <c r="J159" t="inlineStr">
        <is>
          <t>22318430</t>
        </is>
      </c>
      <c r="K159" t="n">
        <v>300000</v>
      </c>
      <c r="L159" t="n">
        <v>315000</v>
      </c>
      <c r="M159" t="inlineStr">
        <is>
          <t>數據收益</t>
        </is>
      </c>
      <c r="N159" t="inlineStr">
        <is>
          <t>楊書怡</t>
        </is>
      </c>
      <c r="O159" t="inlineStr">
        <is>
          <t>台北市松山區南京東路五段188號12樓</t>
        </is>
      </c>
      <c r="P159" t="inlineStr">
        <is>
          <t>will.wang@nielseniq.com(可開立電子發票)</t>
        </is>
      </c>
      <c r="Q159" t="inlineStr">
        <is>
          <t>02-2171-5713</t>
        </is>
      </c>
      <c r="R159" t="inlineStr"/>
      <c r="S159" t="inlineStr">
        <is>
          <t>已收款</t>
        </is>
      </c>
      <c r="T159" t="inlineStr">
        <is>
          <t>可開立電子發票/2024年起合約價格調漲為360萬(未稅)/年, 於2026年中重新審視(可參考新約內容)
來源：訂閱型發票及收款紀錄 第 164 列</t>
        </is>
      </c>
      <c r="U159" t="inlineStr">
        <is>
          <t>收到發票後90天</t>
        </is>
      </c>
      <c r="V159" t="inlineStr">
        <is>
          <t>2026-05-18</t>
        </is>
      </c>
    </row>
    <row r="160">
      <c r="A160" t="inlineStr">
        <is>
          <t>inv_6dfb56be2d41</t>
        </is>
      </c>
      <c r="B160" t="inlineStr">
        <is>
          <t>Cobi</t>
        </is>
      </c>
      <c r="C160" t="inlineStr">
        <is>
          <t>2024-12-19</t>
        </is>
      </c>
      <c r="D160" t="inlineStr">
        <is>
          <t>2402161</t>
        </is>
      </c>
      <c r="E160" t="inlineStr">
        <is>
          <t>2024-10-01 00:00:00</t>
        </is>
      </c>
      <c r="F160" t="inlineStr"/>
      <c r="G160" t="inlineStr">
        <is>
          <t>FB03688269</t>
        </is>
      </c>
      <c r="H160" t="inlineStr">
        <is>
          <t>cus_9bf4e5d4c066</t>
        </is>
      </c>
      <c r="I160" t="inlineStr">
        <is>
          <t>台灣尼爾森愛科股份有限公司</t>
        </is>
      </c>
      <c r="J160" t="inlineStr">
        <is>
          <t>22318430</t>
        </is>
      </c>
      <c r="K160" t="n">
        <v>300000</v>
      </c>
      <c r="L160" t="n">
        <v>315000</v>
      </c>
      <c r="M160" t="inlineStr">
        <is>
          <t>數據收益</t>
        </is>
      </c>
      <c r="N160" t="inlineStr">
        <is>
          <t>楊書怡</t>
        </is>
      </c>
      <c r="O160" t="inlineStr">
        <is>
          <t>台北市松山區南京東路五段188號12樓</t>
        </is>
      </c>
      <c r="P160" t="inlineStr">
        <is>
          <t>will.wang@nielseniq.com(可開立電子發票)</t>
        </is>
      </c>
      <c r="Q160" t="inlineStr">
        <is>
          <t>02-2171-5713</t>
        </is>
      </c>
      <c r="R160" t="inlineStr"/>
      <c r="S160" t="inlineStr">
        <is>
          <t>已收款</t>
        </is>
      </c>
      <c r="T160" t="inlineStr">
        <is>
          <t>可開立電子發票/2024年起合約價格調漲為360萬(未稅)/年, 於2026年中重新審視(可參考新約內容)
來源：訂閱型發票及收款紀錄 第 165 列</t>
        </is>
      </c>
      <c r="U160" t="inlineStr">
        <is>
          <t>收到發票後90天</t>
        </is>
      </c>
      <c r="V160" t="inlineStr">
        <is>
          <t>2026-05-18</t>
        </is>
      </c>
    </row>
    <row r="161">
      <c r="A161" t="inlineStr">
        <is>
          <t>inv_ba2fd97daee2</t>
        </is>
      </c>
      <c r="B161" t="inlineStr">
        <is>
          <t>許瀞鍶</t>
        </is>
      </c>
      <c r="C161" t="inlineStr">
        <is>
          <t>2025-01-16</t>
        </is>
      </c>
      <c r="D161" t="inlineStr">
        <is>
          <t>2438781</t>
        </is>
      </c>
      <c r="E161" t="inlineStr">
        <is>
          <t>2024-11-01 00:00:00</t>
        </is>
      </c>
      <c r="F161" t="inlineStr">
        <is>
          <t>2024-11-15</t>
        </is>
      </c>
      <c r="G161" t="inlineStr">
        <is>
          <t>HA03664248</t>
        </is>
      </c>
      <c r="H161" t="inlineStr">
        <is>
          <t>cus_9bf4e5d4c066</t>
        </is>
      </c>
      <c r="I161" t="inlineStr">
        <is>
          <t>台灣尼爾森愛科股份有限公司</t>
        </is>
      </c>
      <c r="J161" t="inlineStr">
        <is>
          <t>22318430</t>
        </is>
      </c>
      <c r="K161" t="n">
        <v>300000</v>
      </c>
      <c r="L161" t="n">
        <v>315000</v>
      </c>
      <c r="M161" t="inlineStr">
        <is>
          <t>數據收益</t>
        </is>
      </c>
      <c r="N161" t="inlineStr">
        <is>
          <t>楊書怡</t>
        </is>
      </c>
      <c r="O161" t="inlineStr">
        <is>
          <t>台北市松山區南京東路五段188號12樓</t>
        </is>
      </c>
      <c r="P161" t="inlineStr">
        <is>
          <t>will.wang@nielseniq.com(可開立電子發票)</t>
        </is>
      </c>
      <c r="Q161" t="inlineStr">
        <is>
          <t>02-2171-5713</t>
        </is>
      </c>
      <c r="R161" t="inlineStr"/>
      <c r="S161" t="inlineStr">
        <is>
          <t>已收款</t>
        </is>
      </c>
      <c r="T161" t="inlineStr">
        <is>
          <t>可開立電子發票/2024年起合約價格調漲為360萬(未稅)/年, 於2026年中重新審視(可參考新約內容)
來源：訂閱型發票及收款紀錄 第 166 列</t>
        </is>
      </c>
      <c r="U161" t="inlineStr">
        <is>
          <t>收到發票後90天</t>
        </is>
      </c>
      <c r="V161" t="inlineStr">
        <is>
          <t>2026-05-18</t>
        </is>
      </c>
    </row>
    <row r="162">
      <c r="A162" t="inlineStr">
        <is>
          <t>inv_bcf3372f6166</t>
        </is>
      </c>
      <c r="B162" t="inlineStr">
        <is>
          <t>許瀞鍶</t>
        </is>
      </c>
      <c r="C162" t="inlineStr">
        <is>
          <t>2025-02-13</t>
        </is>
      </c>
      <c r="D162" t="inlineStr">
        <is>
          <t>2464508</t>
        </is>
      </c>
      <c r="E162" t="inlineStr">
        <is>
          <t>2024-12-01 00:00:00</t>
        </is>
      </c>
      <c r="F162" t="inlineStr">
        <is>
          <t>2024-12-10</t>
        </is>
      </c>
      <c r="G162" t="inlineStr">
        <is>
          <t>HA03687683</t>
        </is>
      </c>
      <c r="H162" t="inlineStr">
        <is>
          <t>cus_9bf4e5d4c066</t>
        </is>
      </c>
      <c r="I162" t="inlineStr">
        <is>
          <t>台灣尼爾森愛科股份有限公司</t>
        </is>
      </c>
      <c r="J162" t="inlineStr">
        <is>
          <t>22318430</t>
        </is>
      </c>
      <c r="K162" t="n">
        <v>300000</v>
      </c>
      <c r="L162" t="n">
        <v>315000</v>
      </c>
      <c r="M162" t="inlineStr">
        <is>
          <t>數據收益</t>
        </is>
      </c>
      <c r="N162" t="inlineStr">
        <is>
          <t>楊書怡</t>
        </is>
      </c>
      <c r="O162" t="inlineStr">
        <is>
          <t>台北市松山區南京東路五段188號12樓</t>
        </is>
      </c>
      <c r="P162" t="inlineStr">
        <is>
          <t>will.wang@nielseniq.com(可開立電子發票)</t>
        </is>
      </c>
      <c r="Q162" t="inlineStr">
        <is>
          <t>02-2171-5713</t>
        </is>
      </c>
      <c r="R162" t="inlineStr"/>
      <c r="S162" t="inlineStr">
        <is>
          <t>已收款</t>
        </is>
      </c>
      <c r="T162" t="inlineStr">
        <is>
          <t>可開立電子發票/2024年起合約價格調漲為360萬(未稅)/年, 於2026年中重新審視(可參考新約內容)
來源：訂閱型發票及收款紀錄 第 167 列</t>
        </is>
      </c>
      <c r="U162" t="inlineStr">
        <is>
          <t>收到發票後90天</t>
        </is>
      </c>
      <c r="V162" t="inlineStr">
        <is>
          <t>2026-05-18</t>
        </is>
      </c>
    </row>
    <row r="163">
      <c r="A163" t="inlineStr">
        <is>
          <t>inv_16589452ef60</t>
        </is>
      </c>
      <c r="B163" t="inlineStr">
        <is>
          <t>許瀞鍶</t>
        </is>
      </c>
      <c r="C163" t="inlineStr">
        <is>
          <t>2025-03-20</t>
        </is>
      </c>
      <c r="D163" t="inlineStr">
        <is>
          <t>2501906(作廢)
2504623(重開)</t>
        </is>
      </c>
      <c r="E163" t="inlineStr">
        <is>
          <t>2025-01-01 00:00:00</t>
        </is>
      </c>
      <c r="F163" t="inlineStr">
        <is>
          <t>2025.01.13
2025.01.16重開</t>
        </is>
      </c>
      <c r="G163" t="inlineStr">
        <is>
          <t>JY43833658 (1/14作廢)</t>
        </is>
      </c>
      <c r="H163" t="inlineStr">
        <is>
          <t>cus_9bf4e5d4c066</t>
        </is>
      </c>
      <c r="I163" t="inlineStr">
        <is>
          <t>台灣尼爾森愛科股份有限公司</t>
        </is>
      </c>
      <c r="J163" t="inlineStr">
        <is>
          <t>22318430</t>
        </is>
      </c>
      <c r="K163" t="n">
        <v>300000</v>
      </c>
      <c r="L163" t="n">
        <v>315000</v>
      </c>
      <c r="M163" t="inlineStr">
        <is>
          <t>數據收益</t>
        </is>
      </c>
      <c r="N163" t="inlineStr">
        <is>
          <t>楊書怡</t>
        </is>
      </c>
      <c r="O163" t="inlineStr">
        <is>
          <t>台北市松山區南京東路五段188號12樓</t>
        </is>
      </c>
      <c r="P163" t="inlineStr">
        <is>
          <t>will.wang@nielseniq.com(可開立電子發票)</t>
        </is>
      </c>
      <c r="Q163" t="inlineStr">
        <is>
          <t>02-2171-5713</t>
        </is>
      </c>
      <c r="R163" t="inlineStr"/>
      <c r="S163" t="inlineStr">
        <is>
          <t>已收款</t>
        </is>
      </c>
      <c r="T163" t="inlineStr">
        <is>
          <t>可開立電子發票/2024年起合約價格調漲為360萬(未稅)/年, 於2026年中重新審視(可參考新約內容)
來源：訂閱型發票及收款紀錄 第 168 列</t>
        </is>
      </c>
      <c r="U163" t="inlineStr">
        <is>
          <t>收到發票後90天</t>
        </is>
      </c>
      <c r="V163" t="inlineStr">
        <is>
          <t>2026-05-18</t>
        </is>
      </c>
    </row>
    <row r="164">
      <c r="A164" t="inlineStr">
        <is>
          <t>inv_933155282d26</t>
        </is>
      </c>
      <c r="B164" t="inlineStr">
        <is>
          <t>許瀞鍶</t>
        </is>
      </c>
      <c r="C164" t="inlineStr">
        <is>
          <t>2025-04-17</t>
        </is>
      </c>
      <c r="D164" t="inlineStr">
        <is>
          <t>2533816</t>
        </is>
      </c>
      <c r="E164" t="inlineStr">
        <is>
          <t>2025-02-01 00:00:00</t>
        </is>
      </c>
      <c r="F164" t="inlineStr">
        <is>
          <t>2025-02-14</t>
        </is>
      </c>
      <c r="G164" t="inlineStr">
        <is>
          <t>JY43863212</t>
        </is>
      </c>
      <c r="H164" t="inlineStr">
        <is>
          <t>cus_9bf4e5d4c066</t>
        </is>
      </c>
      <c r="I164" t="inlineStr">
        <is>
          <t>台灣尼爾森愛科股份有限公司</t>
        </is>
      </c>
      <c r="J164" t="inlineStr">
        <is>
          <t>22318430</t>
        </is>
      </c>
      <c r="K164" t="n">
        <v>300000</v>
      </c>
      <c r="L164" t="n">
        <v>315000</v>
      </c>
      <c r="M164" t="inlineStr">
        <is>
          <t>數據收益</t>
        </is>
      </c>
      <c r="N164" t="inlineStr">
        <is>
          <t>楊書怡</t>
        </is>
      </c>
      <c r="O164" t="inlineStr">
        <is>
          <t>台北市松山區南京東路五段188號12樓</t>
        </is>
      </c>
      <c r="P164" t="inlineStr">
        <is>
          <t>will.wang@nielseniq.com(可開立電子發票)</t>
        </is>
      </c>
      <c r="Q164" t="inlineStr">
        <is>
          <t>02-2171-5713</t>
        </is>
      </c>
      <c r="R164" t="inlineStr"/>
      <c r="S164" t="inlineStr">
        <is>
          <t>已收款</t>
        </is>
      </c>
      <c r="T164" t="inlineStr">
        <is>
          <t>可開立電子發票/2024年起合約價格調漲為360萬(未稅)/年, 於2026年中重新審視(可參考新約內容)
來源：訂閱型發票及收款紀錄 第 169 列</t>
        </is>
      </c>
      <c r="U164" t="inlineStr">
        <is>
          <t>收到發票後90天</t>
        </is>
      </c>
      <c r="V164" t="inlineStr">
        <is>
          <t>2026-05-18</t>
        </is>
      </c>
    </row>
    <row r="165">
      <c r="A165" t="inlineStr">
        <is>
          <t>inv_f2959c91d06d</t>
        </is>
      </c>
      <c r="B165" t="inlineStr">
        <is>
          <t>許瀞鍶</t>
        </is>
      </c>
      <c r="C165" t="inlineStr">
        <is>
          <t>2025-05-22</t>
        </is>
      </c>
      <c r="D165" t="inlineStr">
        <is>
          <t>2565606</t>
        </is>
      </c>
      <c r="E165" t="inlineStr">
        <is>
          <t>2025-03-01 00:00:00</t>
        </is>
      </c>
      <c r="F165" t="inlineStr">
        <is>
          <t>025.03.17</t>
        </is>
      </c>
      <c r="G165" t="inlineStr">
        <is>
          <t>LY43836521</t>
        </is>
      </c>
      <c r="H165" t="inlineStr">
        <is>
          <t>cus_9bf4e5d4c066</t>
        </is>
      </c>
      <c r="I165" t="inlineStr">
        <is>
          <t>台灣尼爾森愛科股份有限公司</t>
        </is>
      </c>
      <c r="J165" t="inlineStr">
        <is>
          <t>22318430</t>
        </is>
      </c>
      <c r="K165" t="n">
        <v>300000</v>
      </c>
      <c r="L165" t="n">
        <v>315000</v>
      </c>
      <c r="M165" t="inlineStr">
        <is>
          <t>數據收益</t>
        </is>
      </c>
      <c r="N165" t="inlineStr">
        <is>
          <t>楊書怡</t>
        </is>
      </c>
      <c r="O165" t="inlineStr">
        <is>
          <t>台北市松山區南京東路五段188號12樓</t>
        </is>
      </c>
      <c r="P165" t="inlineStr">
        <is>
          <t>will.wang@nielseniq.com(可開立電子發票)</t>
        </is>
      </c>
      <c r="Q165" t="inlineStr">
        <is>
          <t>02-2171-5713</t>
        </is>
      </c>
      <c r="R165" t="inlineStr"/>
      <c r="S165" t="inlineStr">
        <is>
          <t>已收款</t>
        </is>
      </c>
      <c r="T165" t="inlineStr">
        <is>
          <t>可開立電子發票/2024年起合約價格調漲為360萬(未稅)/年, 於2026年中重新審視(可參考新約內容)
來源：訂閱型發票及收款紀錄 第 170 列</t>
        </is>
      </c>
      <c r="U165" t="inlineStr">
        <is>
          <t>收到發票後90天</t>
        </is>
      </c>
      <c r="V165" t="inlineStr">
        <is>
          <t>2026-05-18</t>
        </is>
      </c>
    </row>
    <row r="166">
      <c r="A166" t="inlineStr">
        <is>
          <t>inv_bf655d6669ac</t>
        </is>
      </c>
      <c r="B166" t="inlineStr">
        <is>
          <t>許瀞鍶</t>
        </is>
      </c>
      <c r="C166" t="inlineStr">
        <is>
          <t>2025-06-20</t>
        </is>
      </c>
      <c r="D166" t="inlineStr">
        <is>
          <t>2596417</t>
        </is>
      </c>
      <c r="E166" t="inlineStr">
        <is>
          <t>2025-04-01 00:00:00</t>
        </is>
      </c>
      <c r="F166" t="inlineStr">
        <is>
          <t>2025-04-15</t>
        </is>
      </c>
      <c r="G166" t="inlineStr">
        <is>
          <t>LY43863874</t>
        </is>
      </c>
      <c r="H166" t="inlineStr">
        <is>
          <t>cus_9bf4e5d4c066</t>
        </is>
      </c>
      <c r="I166" t="inlineStr">
        <is>
          <t>台灣尼爾森愛科股份有限公司</t>
        </is>
      </c>
      <c r="J166" t="inlineStr">
        <is>
          <t>22318430</t>
        </is>
      </c>
      <c r="K166" t="n">
        <v>300000</v>
      </c>
      <c r="L166" t="n">
        <v>315000</v>
      </c>
      <c r="M166" t="inlineStr">
        <is>
          <t>數據收益</t>
        </is>
      </c>
      <c r="N166" t="inlineStr">
        <is>
          <t>楊書怡</t>
        </is>
      </c>
      <c r="O166" t="inlineStr">
        <is>
          <t>台北市松山區南京東路五段188號12樓</t>
        </is>
      </c>
      <c r="P166" t="inlineStr">
        <is>
          <t>will.wang@nielseniq.com(可開立電子發票)</t>
        </is>
      </c>
      <c r="Q166" t="inlineStr">
        <is>
          <t>02-2171-5713</t>
        </is>
      </c>
      <c r="R166" t="inlineStr"/>
      <c r="S166" t="inlineStr">
        <is>
          <t>已收款</t>
        </is>
      </c>
      <c r="T166" t="inlineStr">
        <is>
          <t>可開立電子發票/2024年起合約價格調漲為360萬(未稅)/年, 於2026年中重新審視(可參考新約內容)
來源：訂閱型發票及收款紀錄 第 171 列</t>
        </is>
      </c>
      <c r="U166" t="inlineStr">
        <is>
          <t>收到發票後90天</t>
        </is>
      </c>
      <c r="V166" t="inlineStr">
        <is>
          <t>2026-05-18</t>
        </is>
      </c>
    </row>
    <row r="167">
      <c r="A167" t="inlineStr">
        <is>
          <t>inv_ffa6e843d83c</t>
        </is>
      </c>
      <c r="B167" t="inlineStr">
        <is>
          <t>許瀞鍶</t>
        </is>
      </c>
      <c r="C167" t="inlineStr">
        <is>
          <t>2025-07-17</t>
        </is>
      </c>
      <c r="D167" t="inlineStr">
        <is>
          <t>2627670</t>
        </is>
      </c>
      <c r="E167" t="inlineStr">
        <is>
          <t>2025-05-01 00:00:00</t>
        </is>
      </c>
      <c r="F167" t="inlineStr">
        <is>
          <t>2025-05-15</t>
        </is>
      </c>
      <c r="G167" t="inlineStr">
        <is>
          <t>NY43836276</t>
        </is>
      </c>
      <c r="H167" t="inlineStr">
        <is>
          <t>cus_9bf4e5d4c066</t>
        </is>
      </c>
      <c r="I167" t="inlineStr">
        <is>
          <t>台灣尼爾森愛科股份有限公司</t>
        </is>
      </c>
      <c r="J167" t="inlineStr">
        <is>
          <t>22318430</t>
        </is>
      </c>
      <c r="K167" t="n">
        <v>300000</v>
      </c>
      <c r="L167" t="n">
        <v>315000</v>
      </c>
      <c r="M167" t="inlineStr">
        <is>
          <t>數據收益</t>
        </is>
      </c>
      <c r="N167" t="inlineStr">
        <is>
          <t>楊書怡</t>
        </is>
      </c>
      <c r="O167" t="inlineStr">
        <is>
          <t>台北市松山區南京東路五段188號12樓</t>
        </is>
      </c>
      <c r="P167" t="inlineStr">
        <is>
          <t>will.wang@nielseniq.com(可開立電子發票)</t>
        </is>
      </c>
      <c r="Q167" t="inlineStr">
        <is>
          <t>02-2171-5713</t>
        </is>
      </c>
      <c r="R167" t="inlineStr"/>
      <c r="S167" t="inlineStr">
        <is>
          <t>已收款</t>
        </is>
      </c>
      <c r="T167" t="inlineStr">
        <is>
          <t>可開立電子發票/2024年起合約價格調漲為360萬(未稅)/年, 於2026年中重新審視(可參考新約內容)
來源：訂閱型發票及收款紀錄 第 172 列</t>
        </is>
      </c>
      <c r="U167" t="inlineStr">
        <is>
          <t>收到發票後90天</t>
        </is>
      </c>
      <c r="V167" t="inlineStr">
        <is>
          <t>2026-05-18</t>
        </is>
      </c>
    </row>
    <row r="168">
      <c r="A168" t="inlineStr">
        <is>
          <t>inv_3d4e5451796b</t>
        </is>
      </c>
      <c r="B168" t="inlineStr">
        <is>
          <t>許瀞鍶</t>
        </is>
      </c>
      <c r="C168" t="inlineStr">
        <is>
          <t>2025-09-10</t>
        </is>
      </c>
      <c r="D168" t="inlineStr">
        <is>
          <t>2661574</t>
        </is>
      </c>
      <c r="E168" t="inlineStr">
        <is>
          <t>2025-06-01 00:00:00</t>
        </is>
      </c>
      <c r="F168" t="inlineStr">
        <is>
          <t>2025-06-13</t>
        </is>
      </c>
      <c r="G168" t="inlineStr">
        <is>
          <t>NY43866730</t>
        </is>
      </c>
      <c r="H168" t="inlineStr">
        <is>
          <t>cus_9bf4e5d4c066</t>
        </is>
      </c>
      <c r="I168" t="inlineStr">
        <is>
          <t>台灣尼爾森愛科股份有限公司</t>
        </is>
      </c>
      <c r="J168" t="inlineStr">
        <is>
          <t>22318430</t>
        </is>
      </c>
      <c r="K168" t="n">
        <v>300000</v>
      </c>
      <c r="L168" t="n">
        <v>315000</v>
      </c>
      <c r="M168" t="inlineStr">
        <is>
          <t>數據收益</t>
        </is>
      </c>
      <c r="N168" t="inlineStr">
        <is>
          <t>楊書怡</t>
        </is>
      </c>
      <c r="O168" t="inlineStr">
        <is>
          <t>台北市松山區南京東路五段188號12樓</t>
        </is>
      </c>
      <c r="P168" t="inlineStr">
        <is>
          <t>will.wang@nielseniq.com(可開立電子發票)</t>
        </is>
      </c>
      <c r="Q168" t="inlineStr">
        <is>
          <t>02-2171-5713</t>
        </is>
      </c>
      <c r="R168" t="inlineStr"/>
      <c r="S168" t="inlineStr">
        <is>
          <t>已收款</t>
        </is>
      </c>
      <c r="T168" t="inlineStr">
        <is>
          <t>可開立電子發票/2024年起合約價格調漲為360萬(未稅)/年, 於2026年中重新審視(可參考新約內容)
來源：訂閱型發票及收款紀錄 第 173 列</t>
        </is>
      </c>
      <c r="U168" t="inlineStr">
        <is>
          <t>收到發票後90天</t>
        </is>
      </c>
      <c r="V168" t="inlineStr">
        <is>
          <t>2026-05-18</t>
        </is>
      </c>
    </row>
    <row r="169">
      <c r="A169" t="inlineStr">
        <is>
          <t>inv_cc77301ebc33</t>
        </is>
      </c>
      <c r="B169" t="inlineStr">
        <is>
          <t>許瀞鍶</t>
        </is>
      </c>
      <c r="C169" t="inlineStr">
        <is>
          <t>2025-10-13</t>
        </is>
      </c>
      <c r="D169" t="inlineStr">
        <is>
          <t>2698643</t>
        </is>
      </c>
      <c r="E169" t="inlineStr">
        <is>
          <t>2025-07-01 00:00:00</t>
        </is>
      </c>
      <c r="F169" t="inlineStr">
        <is>
          <t>2025-07-15</t>
        </is>
      </c>
      <c r="G169" t="inlineStr"/>
      <c r="H169" t="inlineStr">
        <is>
          <t>cus_9bf4e5d4c066</t>
        </is>
      </c>
      <c r="I169" t="inlineStr">
        <is>
          <t>台灣尼爾森愛科股份有限公司</t>
        </is>
      </c>
      <c r="J169" t="inlineStr">
        <is>
          <t>22318430</t>
        </is>
      </c>
      <c r="K169" t="n">
        <v>300000</v>
      </c>
      <c r="L169" t="n">
        <v>315000</v>
      </c>
      <c r="M169" t="inlineStr">
        <is>
          <t>數據收益</t>
        </is>
      </c>
      <c r="N169" t="inlineStr">
        <is>
          <t>楊書怡</t>
        </is>
      </c>
      <c r="O169" t="inlineStr">
        <is>
          <t>台北市松山區南京東路五段188號12樓</t>
        </is>
      </c>
      <c r="P169" t="inlineStr">
        <is>
          <t>will.wang@nielseniq.com(可開立電子發票)</t>
        </is>
      </c>
      <c r="Q169" t="inlineStr">
        <is>
          <t>02-2171-5713</t>
        </is>
      </c>
      <c r="R169" t="inlineStr"/>
      <c r="S169" t="inlineStr">
        <is>
          <t>已收款</t>
        </is>
      </c>
      <c r="T169" t="inlineStr">
        <is>
          <t>可開立電子發票/2024年起合約價格調漲為360萬(未稅)/年, 於2026年中重新審視(可參考新約內容)
來源：訂閱型發票及收款紀錄 第 174 列</t>
        </is>
      </c>
      <c r="U169" t="inlineStr">
        <is>
          <t>收到發票後90天</t>
        </is>
      </c>
      <c r="V169" t="inlineStr">
        <is>
          <t>2026-05-18</t>
        </is>
      </c>
    </row>
    <row r="170">
      <c r="A170" t="inlineStr">
        <is>
          <t>inv_65bba48d3b8e</t>
        </is>
      </c>
      <c r="B170" t="inlineStr">
        <is>
          <t>許瀞鍶</t>
        </is>
      </c>
      <c r="C170" t="inlineStr">
        <is>
          <t>2025-11-13</t>
        </is>
      </c>
      <c r="D170" t="inlineStr">
        <is>
          <t>2735155</t>
        </is>
      </c>
      <c r="E170" t="inlineStr">
        <is>
          <t>2025-08-01 00:00:00</t>
        </is>
      </c>
      <c r="F170" t="inlineStr">
        <is>
          <t>2025-08-15</t>
        </is>
      </c>
      <c r="G170" t="inlineStr"/>
      <c r="H170" t="inlineStr">
        <is>
          <t>cus_9bf4e5d4c066</t>
        </is>
      </c>
      <c r="I170" t="inlineStr">
        <is>
          <t>台灣尼爾森愛科股份有限公司</t>
        </is>
      </c>
      <c r="J170" t="inlineStr">
        <is>
          <t>22318430</t>
        </is>
      </c>
      <c r="K170" t="n">
        <v>300000</v>
      </c>
      <c r="L170" t="n">
        <v>315000</v>
      </c>
      <c r="M170" t="inlineStr">
        <is>
          <t>數據收益</t>
        </is>
      </c>
      <c r="N170" t="inlineStr">
        <is>
          <t>楊書怡</t>
        </is>
      </c>
      <c r="O170" t="inlineStr">
        <is>
          <t>台北市松山區南京東路五段188號12樓</t>
        </is>
      </c>
      <c r="P170" t="inlineStr">
        <is>
          <t>will.wang@nielseniq.com(可開立電子發票)</t>
        </is>
      </c>
      <c r="Q170" t="inlineStr">
        <is>
          <t>02-2171-5713</t>
        </is>
      </c>
      <c r="R170" t="inlineStr"/>
      <c r="S170" t="inlineStr">
        <is>
          <t>已收款</t>
        </is>
      </c>
      <c r="T170" t="inlineStr">
        <is>
          <t>可開立電子發票/2024年起合約價格調漲為360萬(未稅)/年, 於2026年中重新審視(可參考新約內容)
來源：訂閱型發票及收款紀錄 第 175 列</t>
        </is>
      </c>
      <c r="U170" t="inlineStr">
        <is>
          <t>收到發票後90天</t>
        </is>
      </c>
      <c r="V170" t="inlineStr">
        <is>
          <t>2026-05-18</t>
        </is>
      </c>
    </row>
    <row r="171">
      <c r="A171" t="inlineStr">
        <is>
          <t>inv_a9d935152f35</t>
        </is>
      </c>
      <c r="B171" t="inlineStr">
        <is>
          <t>許瀞鍶</t>
        </is>
      </c>
      <c r="C171" t="inlineStr">
        <is>
          <t>2025-12-11</t>
        </is>
      </c>
      <c r="D171" t="inlineStr">
        <is>
          <t>2772898</t>
        </is>
      </c>
      <c r="E171" t="inlineStr">
        <is>
          <t>2025-09-01 00:00:00</t>
        </is>
      </c>
      <c r="F171" t="inlineStr">
        <is>
          <t>2025-09-15</t>
        </is>
      </c>
      <c r="G171" t="inlineStr"/>
      <c r="H171" t="inlineStr">
        <is>
          <t>cus_9bf4e5d4c066</t>
        </is>
      </c>
      <c r="I171" t="inlineStr">
        <is>
          <t>台灣尼爾森愛科股份有限公司</t>
        </is>
      </c>
      <c r="J171" t="inlineStr">
        <is>
          <t>22318430</t>
        </is>
      </c>
      <c r="K171" t="n">
        <v>300000</v>
      </c>
      <c r="L171" t="n">
        <v>315000</v>
      </c>
      <c r="M171" t="inlineStr">
        <is>
          <t>數據收益</t>
        </is>
      </c>
      <c r="N171" t="inlineStr">
        <is>
          <t>楊書怡</t>
        </is>
      </c>
      <c r="O171" t="inlineStr">
        <is>
          <t>台北市松山區南京東路五段188號12樓</t>
        </is>
      </c>
      <c r="P171" t="inlineStr">
        <is>
          <t>will.wang@nielseniq.com(可開立電子發票)</t>
        </is>
      </c>
      <c r="Q171" t="inlineStr">
        <is>
          <t>02-2171-5713</t>
        </is>
      </c>
      <c r="R171" t="inlineStr"/>
      <c r="S171" t="inlineStr">
        <is>
          <t>已收款</t>
        </is>
      </c>
      <c r="T171" t="inlineStr">
        <is>
          <t>可開立電子發票/2024年起合約價格調漲為360萬(未稅)/年, 於2026年中重新審視(可參考新約內容)
來源：訂閱型發票及收款紀錄 第 176 列</t>
        </is>
      </c>
      <c r="U171" t="inlineStr">
        <is>
          <t>收到發票後90天</t>
        </is>
      </c>
      <c r="V171" t="inlineStr">
        <is>
          <t>2026-05-18</t>
        </is>
      </c>
    </row>
    <row r="172">
      <c r="A172" t="inlineStr">
        <is>
          <t>inv_a25259fc8404</t>
        </is>
      </c>
      <c r="B172" t="inlineStr">
        <is>
          <t>許瀞鍶</t>
        </is>
      </c>
      <c r="C172" t="inlineStr">
        <is>
          <t>2025-01-14</t>
        </is>
      </c>
      <c r="D172" t="inlineStr">
        <is>
          <t>2806650</t>
        </is>
      </c>
      <c r="E172" t="inlineStr">
        <is>
          <t>2025-10-01 00:00:00</t>
        </is>
      </c>
      <c r="F172" t="inlineStr">
        <is>
          <t>2025-10-15</t>
        </is>
      </c>
      <c r="G172" t="inlineStr"/>
      <c r="H172" t="inlineStr">
        <is>
          <t>cus_9bf4e5d4c066</t>
        </is>
      </c>
      <c r="I172" t="inlineStr">
        <is>
          <t>台灣尼爾森愛科股份有限公司</t>
        </is>
      </c>
      <c r="J172" t="inlineStr">
        <is>
          <t>22318430</t>
        </is>
      </c>
      <c r="K172" t="n">
        <v>300000</v>
      </c>
      <c r="L172" t="n">
        <v>315000</v>
      </c>
      <c r="M172" t="inlineStr">
        <is>
          <t>數據收益</t>
        </is>
      </c>
      <c r="N172" t="inlineStr">
        <is>
          <t>楊書怡</t>
        </is>
      </c>
      <c r="O172" t="inlineStr">
        <is>
          <t>台北市松山區南京東路五段188號12樓</t>
        </is>
      </c>
      <c r="P172" t="inlineStr">
        <is>
          <t>will.wang@nielseniq.com(可開立電子發票)</t>
        </is>
      </c>
      <c r="Q172" t="inlineStr">
        <is>
          <t>02-2171-5713</t>
        </is>
      </c>
      <c r="R172" t="inlineStr"/>
      <c r="S172" t="inlineStr">
        <is>
          <t>已收款</t>
        </is>
      </c>
      <c r="T172" t="inlineStr">
        <is>
          <t>可開立電子發票/2024年起合約價格調漲為360萬(未稅)/年, 於2026年中重新審視(可參考新約內容)
來源：訂閱型發票及收款紀錄 第 177 列</t>
        </is>
      </c>
      <c r="U172" t="inlineStr">
        <is>
          <t>收到發票後90天</t>
        </is>
      </c>
      <c r="V172" t="inlineStr">
        <is>
          <t>2026-05-18</t>
        </is>
      </c>
    </row>
    <row r="173">
      <c r="A173" t="inlineStr">
        <is>
          <t>inv_2e3ebdaec1ac</t>
        </is>
      </c>
      <c r="B173" t="inlineStr">
        <is>
          <t>許瀞鍶</t>
        </is>
      </c>
      <c r="C173" t="inlineStr">
        <is>
          <t>2026-02-10</t>
        </is>
      </c>
      <c r="D173" t="inlineStr">
        <is>
          <t>2844623</t>
        </is>
      </c>
      <c r="E173" t="inlineStr">
        <is>
          <t>2025-11-01 00:00:00</t>
        </is>
      </c>
      <c r="F173" t="inlineStr">
        <is>
          <t>2025-11-15</t>
        </is>
      </c>
      <c r="G173" t="inlineStr"/>
      <c r="H173" t="inlineStr">
        <is>
          <t>cus_9bf4e5d4c066</t>
        </is>
      </c>
      <c r="I173" t="inlineStr">
        <is>
          <t>台灣尼爾森愛科股份有限公司</t>
        </is>
      </c>
      <c r="J173" t="inlineStr">
        <is>
          <t>22318430</t>
        </is>
      </c>
      <c r="K173" t="n">
        <v>300000</v>
      </c>
      <c r="L173" t="n">
        <v>315000</v>
      </c>
      <c r="M173" t="inlineStr">
        <is>
          <t>數據收益</t>
        </is>
      </c>
      <c r="N173" t="inlineStr">
        <is>
          <t>楊書怡</t>
        </is>
      </c>
      <c r="O173" t="inlineStr">
        <is>
          <t>台北市松山區南京東路五段188號12樓</t>
        </is>
      </c>
      <c r="P173" t="inlineStr">
        <is>
          <t>will.wang@nielseniq.com(可開立電子發票)</t>
        </is>
      </c>
      <c r="Q173" t="inlineStr">
        <is>
          <t>02-2171-5713</t>
        </is>
      </c>
      <c r="R173" t="inlineStr"/>
      <c r="S173" t="inlineStr">
        <is>
          <t>已收款</t>
        </is>
      </c>
      <c r="T173" t="inlineStr">
        <is>
          <t>可開立電子發票/2024年起合約價格調漲為360萬(未稅)/年, 於2026年中重新審視(可參考新約內容)
來源：訂閱型發票及收款紀錄 第 178 列</t>
        </is>
      </c>
      <c r="U173" t="inlineStr">
        <is>
          <t>收到發票後90天</t>
        </is>
      </c>
      <c r="V173" t="inlineStr">
        <is>
          <t>2026-05-18</t>
        </is>
      </c>
    </row>
    <row r="174">
      <c r="A174" t="inlineStr">
        <is>
          <t>inv_d82ef7993ebe</t>
        </is>
      </c>
      <c r="B174" t="inlineStr">
        <is>
          <t>許瀞鍶</t>
        </is>
      </c>
      <c r="C174" t="inlineStr">
        <is>
          <t>2026-02-10</t>
        </is>
      </c>
      <c r="D174" t="inlineStr">
        <is>
          <t>2867321</t>
        </is>
      </c>
      <c r="E174" t="inlineStr">
        <is>
          <t>2025-12-01 00:00:00</t>
        </is>
      </c>
      <c r="F174" t="inlineStr">
        <is>
          <t>2025-12-05</t>
        </is>
      </c>
      <c r="G174" t="inlineStr"/>
      <c r="H174" t="inlineStr">
        <is>
          <t>cus_9bf4e5d4c066</t>
        </is>
      </c>
      <c r="I174" t="inlineStr">
        <is>
          <t>台灣尼爾森愛科股份有限公司</t>
        </is>
      </c>
      <c r="J174" t="inlineStr">
        <is>
          <t>22318430</t>
        </is>
      </c>
      <c r="K174" t="n">
        <v>300000</v>
      </c>
      <c r="L174" t="n">
        <v>315000</v>
      </c>
      <c r="M174" t="inlineStr">
        <is>
          <t>數據收益</t>
        </is>
      </c>
      <c r="N174" t="inlineStr">
        <is>
          <t>楊書怡</t>
        </is>
      </c>
      <c r="O174" t="inlineStr">
        <is>
          <t>台北市松山區南京東路五段188號12樓</t>
        </is>
      </c>
      <c r="P174" t="inlineStr">
        <is>
          <t>will.wang@nielseniq.com(可開立電子發票)</t>
        </is>
      </c>
      <c r="Q174" t="inlineStr">
        <is>
          <t>02-2171-5713</t>
        </is>
      </c>
      <c r="R174" t="inlineStr"/>
      <c r="S174" t="inlineStr">
        <is>
          <t>已收款</t>
        </is>
      </c>
      <c r="T174" t="inlineStr">
        <is>
          <t>可開立電子發票/2024年起合約價格調漲為360萬(未稅)/年, 於2026年中重新審視(可參考新約內容)
來源：訂閱型發票及收款紀錄 第 179 列</t>
        </is>
      </c>
      <c r="U174" t="inlineStr">
        <is>
          <t>收到發票後90天</t>
        </is>
      </c>
      <c r="V174" t="inlineStr">
        <is>
          <t>2026-05-18</t>
        </is>
      </c>
    </row>
    <row r="175">
      <c r="A175" t="inlineStr">
        <is>
          <t>inv_2b231acd999e</t>
        </is>
      </c>
      <c r="B175" t="inlineStr">
        <is>
          <t>許瀞鍶</t>
        </is>
      </c>
      <c r="C175" t="inlineStr">
        <is>
          <t>2026-04-13</t>
        </is>
      </c>
      <c r="D175" t="inlineStr">
        <is>
          <t>2916260</t>
        </is>
      </c>
      <c r="E175" t="inlineStr">
        <is>
          <t>2026-01-01 00:00:00</t>
        </is>
      </c>
      <c r="F175" t="inlineStr">
        <is>
          <t>2026-01-15</t>
        </is>
      </c>
      <c r="G175" t="inlineStr"/>
      <c r="H175" t="inlineStr">
        <is>
          <t>cus_9bf4e5d4c066</t>
        </is>
      </c>
      <c r="I175" t="inlineStr">
        <is>
          <t>台灣尼爾森愛科股份有限公司</t>
        </is>
      </c>
      <c r="J175" t="inlineStr">
        <is>
          <t>22318430</t>
        </is>
      </c>
      <c r="K175" t="n">
        <v>300000</v>
      </c>
      <c r="L175" t="n">
        <v>315000</v>
      </c>
      <c r="M175" t="inlineStr">
        <is>
          <t>數據收益</t>
        </is>
      </c>
      <c r="N175" t="inlineStr">
        <is>
          <t>楊書怡</t>
        </is>
      </c>
      <c r="O175" t="inlineStr">
        <is>
          <t>台北市松山區南京東路五段188號12樓</t>
        </is>
      </c>
      <c r="P175" t="inlineStr">
        <is>
          <t>will.wang@nielseniq.com(可開立電子發票)</t>
        </is>
      </c>
      <c r="Q175" t="inlineStr">
        <is>
          <t>02-2171-5713</t>
        </is>
      </c>
      <c r="R175" t="inlineStr"/>
      <c r="S175" t="inlineStr">
        <is>
          <t>已收款</t>
        </is>
      </c>
      <c r="T175" t="inlineStr">
        <is>
          <t>可開立電子發票/2024年起合約價格調漲為360萬(未稅)/年, 於2026年中重新審視(可參考新約內容)
來源：訂閱型發票及收款紀錄 第 180 列</t>
        </is>
      </c>
      <c r="U175" t="inlineStr">
        <is>
          <t>收到發票後90天</t>
        </is>
      </c>
      <c r="V175" t="inlineStr">
        <is>
          <t>2026-05-18</t>
        </is>
      </c>
    </row>
    <row r="176">
      <c r="A176" t="inlineStr">
        <is>
          <t>inv_092e085c1a3e</t>
        </is>
      </c>
      <c r="B176" t="inlineStr">
        <is>
          <t>許瀞鍶</t>
        </is>
      </c>
      <c r="C176" t="inlineStr"/>
      <c r="D176" t="inlineStr">
        <is>
          <t>2948529</t>
        </is>
      </c>
      <c r="E176" t="inlineStr">
        <is>
          <t>2026-02-01 00:00:00</t>
        </is>
      </c>
      <c r="F176" t="inlineStr">
        <is>
          <t>2026-02-10</t>
        </is>
      </c>
      <c r="G176" t="inlineStr"/>
      <c r="H176" t="inlineStr">
        <is>
          <t>cus_9bf4e5d4c066</t>
        </is>
      </c>
      <c r="I176" t="inlineStr">
        <is>
          <t>台灣尼爾森愛科股份有限公司</t>
        </is>
      </c>
      <c r="J176" t="inlineStr">
        <is>
          <t>22318430</t>
        </is>
      </c>
      <c r="K176" t="n">
        <v>300000</v>
      </c>
      <c r="L176" t="n">
        <v>315000</v>
      </c>
      <c r="M176" t="inlineStr">
        <is>
          <t>數據收益</t>
        </is>
      </c>
      <c r="N176" t="inlineStr">
        <is>
          <t>HongLok.Chin</t>
        </is>
      </c>
      <c r="O176" t="inlineStr">
        <is>
          <t>台北市松山區南京東路五段188號12樓</t>
        </is>
      </c>
      <c r="P176" t="inlineStr">
        <is>
          <t>HongLok.Chin@nielseniq.com</t>
        </is>
      </c>
      <c r="Q176" t="inlineStr">
        <is>
          <t>02-2171-5713</t>
        </is>
      </c>
      <c r="R176" t="inlineStr"/>
      <c r="S176" t="inlineStr">
        <is>
          <t>未收款</t>
        </is>
      </c>
      <c r="T176" t="inlineStr">
        <is>
          <t>可開立電子發票/2024年起合約價格調漲為360萬(未稅)/年, 於2026年中重新審視(可參考新約內容)
來源：訂閱型發票及收款紀錄 第 181 列</t>
        </is>
      </c>
      <c r="U176" t="inlineStr">
        <is>
          <t>收到發票後90天</t>
        </is>
      </c>
      <c r="V176" t="inlineStr">
        <is>
          <t>2026-05-18</t>
        </is>
      </c>
    </row>
    <row r="177">
      <c r="A177" t="inlineStr">
        <is>
          <t>inv_c206a4af56fd</t>
        </is>
      </c>
      <c r="B177" t="inlineStr">
        <is>
          <t>許瀞鍶</t>
        </is>
      </c>
      <c r="C177" t="inlineStr"/>
      <c r="D177" t="inlineStr">
        <is>
          <t>2978927</t>
        </is>
      </c>
      <c r="E177" t="inlineStr">
        <is>
          <t>2026-03-01 00:00:00</t>
        </is>
      </c>
      <c r="F177" t="inlineStr">
        <is>
          <t>2026-03-13</t>
        </is>
      </c>
      <c r="G177" t="inlineStr"/>
      <c r="H177" t="inlineStr">
        <is>
          <t>cus_9bf4e5d4c066</t>
        </is>
      </c>
      <c r="I177" t="inlineStr">
        <is>
          <t>台灣尼爾森愛科股份有限公司</t>
        </is>
      </c>
      <c r="J177" t="inlineStr">
        <is>
          <t>22318430</t>
        </is>
      </c>
      <c r="K177" t="n">
        <v>300000</v>
      </c>
      <c r="L177" t="n">
        <v>315000</v>
      </c>
      <c r="M177" t="inlineStr">
        <is>
          <t>數據收益</t>
        </is>
      </c>
      <c r="N177" t="inlineStr">
        <is>
          <t>HongLok.Chin</t>
        </is>
      </c>
      <c r="O177" t="inlineStr">
        <is>
          <t>台北市松山區南京東路五段188號12樓</t>
        </is>
      </c>
      <c r="P177" t="inlineStr">
        <is>
          <t>HongLok.Chin@nielseniq.com</t>
        </is>
      </c>
      <c r="Q177" t="inlineStr">
        <is>
          <t>02-2171-5713</t>
        </is>
      </c>
      <c r="R177" t="inlineStr"/>
      <c r="S177" t="inlineStr">
        <is>
          <t>未收款</t>
        </is>
      </c>
      <c r="T177" t="inlineStr">
        <is>
          <t>可開立電子發票/2024年起合約價格調漲為360萬(未稅)/年, 於2026年中重新審視(可參考新約內容)
來源：訂閱型發票及收款紀錄 第 182 列</t>
        </is>
      </c>
      <c r="U177" t="inlineStr">
        <is>
          <t>收到發票後90天</t>
        </is>
      </c>
      <c r="V177" t="inlineStr">
        <is>
          <t>2026-05-18</t>
        </is>
      </c>
    </row>
    <row r="178">
      <c r="A178" t="inlineStr">
        <is>
          <t>inv_2a81c141a0f0</t>
        </is>
      </c>
      <c r="B178" t="inlineStr">
        <is>
          <t>Cobi</t>
        </is>
      </c>
      <c r="C178" t="inlineStr"/>
      <c r="D178" t="inlineStr">
        <is>
          <t>B01213</t>
        </is>
      </c>
      <c r="E178" t="inlineStr">
        <is>
          <t>2026-04-01 00:00:00</t>
        </is>
      </c>
      <c r="F178" t="inlineStr">
        <is>
          <t>2026-04-20</t>
        </is>
      </c>
      <c r="G178" t="inlineStr">
        <is>
          <t>ZA96395960</t>
        </is>
      </c>
      <c r="H178" t="inlineStr">
        <is>
          <t>cus_9bf4e5d4c066</t>
        </is>
      </c>
      <c r="I178" t="inlineStr">
        <is>
          <t>台灣尼爾森愛科股份有限公司</t>
        </is>
      </c>
      <c r="J178" t="inlineStr">
        <is>
          <t>22318430</t>
        </is>
      </c>
      <c r="K178" t="n">
        <v>300000</v>
      </c>
      <c r="L178" t="n">
        <v>315000</v>
      </c>
      <c r="M178" t="inlineStr">
        <is>
          <t>數據收益</t>
        </is>
      </c>
      <c r="N178" t="inlineStr">
        <is>
          <t>HongLok.Chin</t>
        </is>
      </c>
      <c r="O178" t="inlineStr">
        <is>
          <t>台北市松山區南京東路五段188號12樓</t>
        </is>
      </c>
      <c r="P178" t="inlineStr">
        <is>
          <t>HongLok.Chin@nielseniq.com</t>
        </is>
      </c>
      <c r="Q178" t="inlineStr">
        <is>
          <t>02-2171-5713</t>
        </is>
      </c>
      <c r="R178" t="inlineStr"/>
      <c r="S178" t="inlineStr">
        <is>
          <t>未收款</t>
        </is>
      </c>
      <c r="T178" t="inlineStr">
        <is>
          <t>可開立電子發票/2024年起合約價格調漲為360萬(未稅)/年, 於2026年中重新審視(可參考新約內容)
來源：訂閱型發票及收款紀錄 第 183 列</t>
        </is>
      </c>
      <c r="U178" t="inlineStr">
        <is>
          <t>收到發票後90天</t>
        </is>
      </c>
      <c r="V178" t="inlineStr">
        <is>
          <t>2026-05-18</t>
        </is>
      </c>
    </row>
    <row r="179">
      <c r="A179" t="inlineStr">
        <is>
          <t>inv_349dc66b7f35</t>
        </is>
      </c>
      <c r="B179" t="inlineStr">
        <is>
          <t>Cobi</t>
        </is>
      </c>
      <c r="C179" t="inlineStr"/>
      <c r="D179" t="inlineStr"/>
      <c r="E179" t="inlineStr">
        <is>
          <t>2026-05-01 00:00:00</t>
        </is>
      </c>
      <c r="F179" t="inlineStr"/>
      <c r="G179" t="inlineStr"/>
      <c r="H179" t="inlineStr">
        <is>
          <t>cus_9bf4e5d4c066</t>
        </is>
      </c>
      <c r="I179" t="inlineStr">
        <is>
          <t>台灣尼爾森愛科股份有限公司</t>
        </is>
      </c>
      <c r="J179" t="inlineStr">
        <is>
          <t>22318430</t>
        </is>
      </c>
      <c r="K179" t="n">
        <v>300000</v>
      </c>
      <c r="L179" t="n">
        <v>315000</v>
      </c>
      <c r="M179" t="inlineStr">
        <is>
          <t>數據收益</t>
        </is>
      </c>
      <c r="N179" t="inlineStr">
        <is>
          <t>HongLok.Chin</t>
        </is>
      </c>
      <c r="O179" t="inlineStr">
        <is>
          <t>台北市松山區南京東路五段188號12樓</t>
        </is>
      </c>
      <c r="P179" t="inlineStr">
        <is>
          <t>HongLok.Chin@nielseniq.com</t>
        </is>
      </c>
      <c r="Q179" t="inlineStr">
        <is>
          <t>02-2171-5713</t>
        </is>
      </c>
      <c r="R179" t="inlineStr"/>
      <c r="S179" t="inlineStr">
        <is>
          <t>未收款</t>
        </is>
      </c>
      <c r="T179" t="inlineStr">
        <is>
          <t>可開立電子發票/2024年起合約價格調漲為360萬(未稅)/年, 於2026年中重新審視(可參考新約內容)
來源：訂閱型發票及收款紀錄 第 184 列</t>
        </is>
      </c>
      <c r="U179" t="inlineStr">
        <is>
          <t>收到發票後90天</t>
        </is>
      </c>
      <c r="V179" t="inlineStr">
        <is>
          <t>2026-05-18</t>
        </is>
      </c>
    </row>
    <row r="180">
      <c r="A180" t="inlineStr">
        <is>
          <t>inv_bfa88febd478</t>
        </is>
      </c>
      <c r="B180" t="inlineStr">
        <is>
          <t>Cobi</t>
        </is>
      </c>
      <c r="C180" t="inlineStr"/>
      <c r="D180" t="inlineStr"/>
      <c r="E180" t="inlineStr">
        <is>
          <t>2026-06-01 00:00:00</t>
        </is>
      </c>
      <c r="F180" t="inlineStr"/>
      <c r="G180" t="inlineStr"/>
      <c r="H180" t="inlineStr">
        <is>
          <t>cus_9bf4e5d4c066</t>
        </is>
      </c>
      <c r="I180" t="inlineStr">
        <is>
          <t>台灣尼爾森愛科股份有限公司</t>
        </is>
      </c>
      <c r="J180" t="inlineStr">
        <is>
          <t>22318430</t>
        </is>
      </c>
      <c r="K180" t="n">
        <v>300000</v>
      </c>
      <c r="L180" t="n">
        <v>315000</v>
      </c>
      <c r="M180" t="inlineStr">
        <is>
          <t>數據收益</t>
        </is>
      </c>
      <c r="N180" t="inlineStr">
        <is>
          <t>HongLok.Chin</t>
        </is>
      </c>
      <c r="O180" t="inlineStr">
        <is>
          <t>台北市松山區南京東路五段188號12樓</t>
        </is>
      </c>
      <c r="P180" t="inlineStr">
        <is>
          <t>HongLok.Chin@nielseniq.com</t>
        </is>
      </c>
      <c r="Q180" t="inlineStr">
        <is>
          <t>02-2171-5713</t>
        </is>
      </c>
      <c r="R180" t="inlineStr"/>
      <c r="S180" t="inlineStr">
        <is>
          <t>未收款</t>
        </is>
      </c>
      <c r="T180" t="inlineStr">
        <is>
          <t>可開立電子發票/2024年起合約價格調漲為360萬(未稅)/年, 於2026年中重新審視(可參考新約內容)
來源：訂閱型發票及收款紀錄 第 185 列</t>
        </is>
      </c>
      <c r="U180" t="inlineStr">
        <is>
          <t>收到發票後90天</t>
        </is>
      </c>
      <c r="V180" t="inlineStr">
        <is>
          <t>2026-05-18</t>
        </is>
      </c>
    </row>
    <row r="181">
      <c r="A181" t="inlineStr">
        <is>
          <t>inv_14dc20b3f145</t>
        </is>
      </c>
      <c r="B181" t="inlineStr">
        <is>
          <t>楊育承</t>
        </is>
      </c>
      <c r="C181" t="inlineStr">
        <is>
          <t>2022-04-29</t>
        </is>
      </c>
      <c r="D181" t="inlineStr">
        <is>
          <t>1264638</t>
        </is>
      </c>
      <c r="E181" t="inlineStr">
        <is>
          <t>2022-03-03 00:00:00</t>
        </is>
      </c>
      <c r="F181" t="inlineStr">
        <is>
          <t>2022-03-16</t>
        </is>
      </c>
      <c r="G181" t="inlineStr">
        <is>
          <t>YU70135035</t>
        </is>
      </c>
      <c r="H181" t="inlineStr">
        <is>
          <t>cus_ea78377525ac</t>
        </is>
      </c>
      <c r="I181" t="inlineStr">
        <is>
          <t>麟數據科技股份有限公司</t>
        </is>
      </c>
      <c r="J181" t="inlineStr">
        <is>
          <t>42840667</t>
        </is>
      </c>
      <c r="K181" t="n">
        <v>130952</v>
      </c>
      <c r="L181" t="n">
        <v>137500</v>
      </c>
      <c r="M181" t="inlineStr">
        <is>
          <t>數據收益</t>
        </is>
      </c>
      <c r="N181" t="inlineStr">
        <is>
          <t>徐靖詠Jenny</t>
        </is>
      </c>
      <c r="O181" t="inlineStr">
        <is>
          <t>台北市大安區和平東路一段75巷3號2F</t>
        </is>
      </c>
      <c r="P181" t="inlineStr">
        <is>
          <t>Jenny.hsu@LnData.com，可收電子發票</t>
        </is>
      </c>
      <c r="Q181" t="inlineStr">
        <is>
          <t>02 23948800 #118</t>
        </is>
      </c>
      <c r="R181" t="inlineStr"/>
      <c r="S181" t="inlineStr">
        <is>
          <t>已收款</t>
        </is>
      </c>
      <c r="T181" t="inlineStr">
        <is>
          <t>後續預計會簽年約，本期先以單期報價單請款
來源：訂閱型發票及收款紀錄 第 187 列</t>
        </is>
      </c>
      <c r="U181" t="inlineStr">
        <is>
          <t>收到發票後30天</t>
        </is>
      </c>
      <c r="V181" t="inlineStr">
        <is>
          <t>2026-05-18</t>
        </is>
      </c>
    </row>
    <row r="182">
      <c r="A182" t="inlineStr">
        <is>
          <t>inv_ff8f60f89990</t>
        </is>
      </c>
      <c r="B182" t="inlineStr">
        <is>
          <t>楊育承</t>
        </is>
      </c>
      <c r="C182" t="inlineStr">
        <is>
          <t>2022-06-30</t>
        </is>
      </c>
      <c r="D182" t="inlineStr">
        <is>
          <t>1332502</t>
        </is>
      </c>
      <c r="E182" t="inlineStr">
        <is>
          <t>2022-05-15 00:00:00</t>
        </is>
      </c>
      <c r="F182" t="inlineStr">
        <is>
          <t>2022-05-19</t>
        </is>
      </c>
      <c r="G182" t="inlineStr">
        <is>
          <t>AZ70138703</t>
        </is>
      </c>
      <c r="H182" t="inlineStr">
        <is>
          <t>cus_ea78377525ac</t>
        </is>
      </c>
      <c r="I182" t="inlineStr">
        <is>
          <t>麟數據科技股份有限公司</t>
        </is>
      </c>
      <c r="J182" t="inlineStr">
        <is>
          <t>42840667</t>
        </is>
      </c>
      <c r="K182" t="n">
        <v>357143</v>
      </c>
      <c r="L182" t="n">
        <v>375000</v>
      </c>
      <c r="M182" t="inlineStr">
        <is>
          <t>數據收益</t>
        </is>
      </c>
      <c r="N182" t="inlineStr">
        <is>
          <t>徐靖詠Jenny</t>
        </is>
      </c>
      <c r="O182" t="inlineStr">
        <is>
          <t>台北市大安區和平東路一段75巷3號2F</t>
        </is>
      </c>
      <c r="P182" t="inlineStr">
        <is>
          <t>Jenny.hsu@LnData.com，可收電子發票</t>
        </is>
      </c>
      <c r="Q182" t="inlineStr">
        <is>
          <t>02 23948800 #118</t>
        </is>
      </c>
      <c r="R182" t="inlineStr"/>
      <c r="S182" t="inlineStr">
        <is>
          <t>已收款</t>
        </is>
      </c>
      <c r="T182" t="inlineStr">
        <is>
          <t>後續預計會簽年約，本期先以單期報價單請款
來源：訂閱型發票及收款紀錄 第 188 列</t>
        </is>
      </c>
      <c r="U182" t="inlineStr">
        <is>
          <t>收到發票後30天</t>
        </is>
      </c>
      <c r="V182" t="inlineStr">
        <is>
          <t>2026-05-18</t>
        </is>
      </c>
    </row>
    <row r="183">
      <c r="A183" t="inlineStr">
        <is>
          <t>inv_b0a6fec25bde</t>
        </is>
      </c>
      <c r="B183" t="inlineStr">
        <is>
          <t>楊育承</t>
        </is>
      </c>
      <c r="C183" t="inlineStr">
        <is>
          <t>2022-09-30</t>
        </is>
      </c>
      <c r="D183" t="inlineStr">
        <is>
          <t>1441298</t>
        </is>
      </c>
      <c r="E183" t="inlineStr">
        <is>
          <t>2022-08-15 00:00:00</t>
        </is>
      </c>
      <c r="F183" t="inlineStr">
        <is>
          <t>2022-08-23</t>
        </is>
      </c>
      <c r="G183" t="inlineStr">
        <is>
          <t>CZ70175865</t>
        </is>
      </c>
      <c r="H183" t="inlineStr">
        <is>
          <t>cus_ea78377525ac</t>
        </is>
      </c>
      <c r="I183" t="inlineStr">
        <is>
          <t>麟數據科技股份有限公司</t>
        </is>
      </c>
      <c r="J183" t="inlineStr">
        <is>
          <t>42840667</t>
        </is>
      </c>
      <c r="K183" t="n">
        <v>357143</v>
      </c>
      <c r="L183" t="n">
        <v>375000</v>
      </c>
      <c r="M183" t="inlineStr">
        <is>
          <t>數據收益</t>
        </is>
      </c>
      <c r="N183" t="inlineStr">
        <is>
          <t>徐靖詠Jenny</t>
        </is>
      </c>
      <c r="O183" t="inlineStr">
        <is>
          <t>台北市大安區和平東路一段75巷3號2F</t>
        </is>
      </c>
      <c r="P183" t="inlineStr">
        <is>
          <t>Jenny.hsu@LnData.com，可收電子發票</t>
        </is>
      </c>
      <c r="Q183" t="inlineStr">
        <is>
          <t>02 23948800 #118</t>
        </is>
      </c>
      <c r="R183" t="inlineStr"/>
      <c r="S183" t="inlineStr">
        <is>
          <t>已收款</t>
        </is>
      </c>
      <c r="T183" t="inlineStr">
        <is>
          <t>後續預計會簽年約，本期先以單期報價單請款
來源：訂閱型發票及收款紀錄 第 189 列</t>
        </is>
      </c>
      <c r="U183" t="inlineStr">
        <is>
          <t>收到發票後30天</t>
        </is>
      </c>
      <c r="V183" t="inlineStr">
        <is>
          <t>2026-05-18</t>
        </is>
      </c>
    </row>
    <row r="184">
      <c r="A184" t="inlineStr">
        <is>
          <t>inv_89639da57510</t>
        </is>
      </c>
      <c r="B184" t="inlineStr">
        <is>
          <t>楊育承</t>
        </is>
      </c>
      <c r="C184" t="inlineStr">
        <is>
          <t>2022-12-30</t>
        </is>
      </c>
      <c r="D184" t="inlineStr">
        <is>
          <t>1546835</t>
        </is>
      </c>
      <c r="E184" t="inlineStr">
        <is>
          <t>2022-11-15 00:00:00</t>
        </is>
      </c>
      <c r="F184" t="inlineStr">
        <is>
          <t>2022-11-17</t>
        </is>
      </c>
      <c r="G184" t="inlineStr">
        <is>
          <t>HD70138040</t>
        </is>
      </c>
      <c r="H184" t="inlineStr">
        <is>
          <t>cus_ea78377525ac</t>
        </is>
      </c>
      <c r="I184" t="inlineStr">
        <is>
          <t>麟數據科技股份有限公司</t>
        </is>
      </c>
      <c r="J184" t="inlineStr">
        <is>
          <t>42840667</t>
        </is>
      </c>
      <c r="K184" t="n">
        <v>357143</v>
      </c>
      <c r="L184" t="n">
        <v>375000</v>
      </c>
      <c r="M184" t="inlineStr">
        <is>
          <t>數據收益</t>
        </is>
      </c>
      <c r="N184" t="inlineStr">
        <is>
          <t>徐靖詠Jenny</t>
        </is>
      </c>
      <c r="O184" t="inlineStr">
        <is>
          <t>台北市大安區和平東路一段75巷3號2F</t>
        </is>
      </c>
      <c r="P184" t="inlineStr">
        <is>
          <t>Jenny.hsu@LnData.com，可收電子發票</t>
        </is>
      </c>
      <c r="Q184" t="inlineStr">
        <is>
          <t>02 23948800 #118</t>
        </is>
      </c>
      <c r="R184" t="inlineStr"/>
      <c r="S184" t="inlineStr">
        <is>
          <t>已收款</t>
        </is>
      </c>
      <c r="T184" t="inlineStr">
        <is>
          <t>後續預計會簽年約，本期先以單期報價單請款
來源：訂閱型發票及收款紀錄 第 190 列</t>
        </is>
      </c>
      <c r="U184" t="inlineStr">
        <is>
          <t>收到發票後30天</t>
        </is>
      </c>
      <c r="V184" t="inlineStr">
        <is>
          <t>2026-05-18</t>
        </is>
      </c>
    </row>
    <row r="185">
      <c r="A185" t="inlineStr">
        <is>
          <t>inv_c557553e964f</t>
        </is>
      </c>
      <c r="B185" t="inlineStr">
        <is>
          <t>楊育承</t>
        </is>
      </c>
      <c r="C185" t="inlineStr">
        <is>
          <t>2023-04-28</t>
        </is>
      </c>
      <c r="D185" t="inlineStr">
        <is>
          <t>1656761</t>
        </is>
      </c>
      <c r="E185" t="inlineStr">
        <is>
          <t>2023-02-15 00:00:00</t>
        </is>
      </c>
      <c r="F185" t="inlineStr">
        <is>
          <t>2023-02-16</t>
        </is>
      </c>
      <c r="G185" t="inlineStr">
        <is>
          <t>KC44764194</t>
        </is>
      </c>
      <c r="H185" t="inlineStr">
        <is>
          <t>cus_ea78377525ac</t>
        </is>
      </c>
      <c r="I185" t="inlineStr">
        <is>
          <t>麟數據科技股份有限公司</t>
        </is>
      </c>
      <c r="J185" t="inlineStr">
        <is>
          <t>42840667</t>
        </is>
      </c>
      <c r="K185" t="n">
        <v>357143</v>
      </c>
      <c r="L185" t="n">
        <v>375000</v>
      </c>
      <c r="M185" t="inlineStr">
        <is>
          <t>數據收益</t>
        </is>
      </c>
      <c r="N185" t="inlineStr">
        <is>
          <t>徐靖詠Jenny</t>
        </is>
      </c>
      <c r="O185" t="inlineStr">
        <is>
          <t>台北市大安區和平東路一段75巷3號2F</t>
        </is>
      </c>
      <c r="P185" t="inlineStr">
        <is>
          <t>Jenny.hsu@LnData.com，可收電子發票</t>
        </is>
      </c>
      <c r="Q185" t="inlineStr">
        <is>
          <t>02 23948800 #118</t>
        </is>
      </c>
      <c r="R185" t="inlineStr"/>
      <c r="S185" t="inlineStr">
        <is>
          <t>已收款</t>
        </is>
      </c>
      <c r="T185" t="inlineStr">
        <is>
          <t>後續預計會簽年約，本期先以單期報價單請款
來源：訂閱型發票及收款紀錄 第 191 列</t>
        </is>
      </c>
      <c r="U185" t="inlineStr">
        <is>
          <t>收到發票後30天</t>
        </is>
      </c>
      <c r="V185" t="inlineStr">
        <is>
          <t>2026-05-18</t>
        </is>
      </c>
    </row>
    <row r="186">
      <c r="A186" t="inlineStr">
        <is>
          <t>inv_eeeec23c36b3</t>
        </is>
      </c>
      <c r="B186" t="inlineStr">
        <is>
          <t>思睿</t>
        </is>
      </c>
      <c r="C186" t="inlineStr">
        <is>
          <t>2023-12-28</t>
        </is>
      </c>
      <c r="D186" t="inlineStr">
        <is>
          <t>1865957</t>
        </is>
      </c>
      <c r="E186" t="inlineStr">
        <is>
          <t>2023-07-01 00:00:00</t>
        </is>
      </c>
      <c r="F186" t="inlineStr">
        <is>
          <t>2023-08-11</t>
        </is>
      </c>
      <c r="G186" t="inlineStr">
        <is>
          <t>RC44765786</t>
        </is>
      </c>
      <c r="H186" t="inlineStr">
        <is>
          <t>cus_ea78377525ac</t>
        </is>
      </c>
      <c r="I186" t="inlineStr">
        <is>
          <t>麟數據科技股份有限公司</t>
        </is>
      </c>
      <c r="J186" t="inlineStr">
        <is>
          <t>42840667</t>
        </is>
      </c>
      <c r="K186" t="n">
        <v>119048</v>
      </c>
      <c r="L186" t="n">
        <v>125000</v>
      </c>
      <c r="M186" t="inlineStr">
        <is>
          <t>數據收益</t>
        </is>
      </c>
      <c r="N186" t="inlineStr">
        <is>
          <t>徐靖詠Jenny</t>
        </is>
      </c>
      <c r="O186" t="inlineStr">
        <is>
          <t>台北市大安區和平東路一段75巷3號2F</t>
        </is>
      </c>
      <c r="P186" t="inlineStr">
        <is>
          <t>Jenny.hsu@LnData.com，可收電子發票</t>
        </is>
      </c>
      <c r="Q186" t="inlineStr">
        <is>
          <t>02 23948800 #118</t>
        </is>
      </c>
      <c r="R186" t="inlineStr"/>
      <c r="S186" t="inlineStr">
        <is>
          <t>已收款</t>
        </is>
      </c>
      <c r="T186" t="inlineStr">
        <is>
          <t>全曜與麟數據合作電子發票數據採購專案費用2023第1期(共12期)，申請開立發票。
來源：訂閱型發票及收款紀錄 第 192 列</t>
        </is>
      </c>
      <c r="U186" t="inlineStr">
        <is>
          <t>收到發票後45天</t>
        </is>
      </c>
      <c r="V186" t="inlineStr">
        <is>
          <t>2026-05-18</t>
        </is>
      </c>
    </row>
    <row r="187">
      <c r="A187" t="inlineStr">
        <is>
          <t>inv_f68e550c849c</t>
        </is>
      </c>
      <c r="B187" t="inlineStr">
        <is>
          <t>思睿</t>
        </is>
      </c>
      <c r="C187" t="inlineStr">
        <is>
          <t>2023-12-28</t>
        </is>
      </c>
      <c r="D187" t="inlineStr">
        <is>
          <t>1865957</t>
        </is>
      </c>
      <c r="E187" t="inlineStr">
        <is>
          <t>2023-08-01 00:00:00</t>
        </is>
      </c>
      <c r="F187" t="inlineStr">
        <is>
          <t>2023-08-11</t>
        </is>
      </c>
      <c r="G187" t="inlineStr">
        <is>
          <t>RC44765786</t>
        </is>
      </c>
      <c r="H187" t="inlineStr">
        <is>
          <t>cus_ea78377525ac</t>
        </is>
      </c>
      <c r="I187" t="inlineStr">
        <is>
          <t>麟數據科技股份有限公司</t>
        </is>
      </c>
      <c r="J187" t="inlineStr">
        <is>
          <t>42840667</t>
        </is>
      </c>
      <c r="K187" t="n">
        <v>119048</v>
      </c>
      <c r="L187" t="n">
        <v>125000</v>
      </c>
      <c r="M187" t="inlineStr">
        <is>
          <t>數據收益</t>
        </is>
      </c>
      <c r="N187" t="inlineStr">
        <is>
          <t>徐靖詠Jenny</t>
        </is>
      </c>
      <c r="O187" t="inlineStr">
        <is>
          <t>台北市大安區和平東路一段75巷3號2F</t>
        </is>
      </c>
      <c r="P187" t="inlineStr">
        <is>
          <t>Jenny.hsu@LnData.com，可收電子發票</t>
        </is>
      </c>
      <c r="Q187" t="inlineStr">
        <is>
          <t>02 23948800 #118</t>
        </is>
      </c>
      <c r="R187" t="inlineStr"/>
      <c r="S187" t="inlineStr">
        <is>
          <t>已收款</t>
        </is>
      </c>
      <c r="T187" t="inlineStr">
        <is>
          <t>全曜與麟數據合作電子發票數據採購專案費用2023第2期(共12期)，申請開立發票。
來源：訂閱型發票及收款紀錄 第 193 列</t>
        </is>
      </c>
      <c r="U187" t="inlineStr">
        <is>
          <t>收到發票後45天</t>
        </is>
      </c>
      <c r="V187" t="inlineStr">
        <is>
          <t>2026-05-18</t>
        </is>
      </c>
    </row>
    <row r="188">
      <c r="A188" t="inlineStr">
        <is>
          <t>inv_7244f2cde43c</t>
        </is>
      </c>
      <c r="B188" t="inlineStr">
        <is>
          <t>思睿</t>
        </is>
      </c>
      <c r="C188" t="inlineStr">
        <is>
          <t>2023-11-30</t>
        </is>
      </c>
      <c r="D188" t="inlineStr">
        <is>
          <t>1907942</t>
        </is>
      </c>
      <c r="E188" t="inlineStr">
        <is>
          <t>2023-09-01 00:00:00</t>
        </is>
      </c>
      <c r="F188" t="inlineStr">
        <is>
          <t>2023-09-15</t>
        </is>
      </c>
      <c r="G188" t="inlineStr">
        <is>
          <t>TC44730000</t>
        </is>
      </c>
      <c r="H188" t="inlineStr">
        <is>
          <t>cus_ea78377525ac</t>
        </is>
      </c>
      <c r="I188" t="inlineStr">
        <is>
          <t>麟數據科技股份有限公司</t>
        </is>
      </c>
      <c r="J188" t="inlineStr">
        <is>
          <t>42840667</t>
        </is>
      </c>
      <c r="K188" t="n">
        <v>119048</v>
      </c>
      <c r="L188" t="n">
        <v>125000</v>
      </c>
      <c r="M188" t="inlineStr">
        <is>
          <t>數據收益</t>
        </is>
      </c>
      <c r="N188" t="inlineStr">
        <is>
          <t>徐靖詠Jenny</t>
        </is>
      </c>
      <c r="O188" t="inlineStr">
        <is>
          <t>台北市大安區和平東路一段75巷3號2F</t>
        </is>
      </c>
      <c r="P188" t="inlineStr">
        <is>
          <t>Jenny.hsu@LnData.com，可收電子發票</t>
        </is>
      </c>
      <c r="Q188" t="inlineStr">
        <is>
          <t>02 23948800 #118</t>
        </is>
      </c>
      <c r="R188" t="inlineStr"/>
      <c r="S188" t="inlineStr">
        <is>
          <t>已收款</t>
        </is>
      </c>
      <c r="T188" t="inlineStr">
        <is>
          <t>全曜與麟數據合作電子發票數據採購專案費用2023第3期(共12期)，申請開立發票。
來源：訂閱型發票及收款紀錄 第 194 列</t>
        </is>
      </c>
      <c r="U188" t="inlineStr">
        <is>
          <t>收到發票後45天</t>
        </is>
      </c>
      <c r="V188" t="inlineStr">
        <is>
          <t>2026-05-18</t>
        </is>
      </c>
    </row>
    <row r="189">
      <c r="A189" t="inlineStr">
        <is>
          <t>inv_f82054901ce1</t>
        </is>
      </c>
      <c r="B189" t="inlineStr">
        <is>
          <t>思睿</t>
        </is>
      </c>
      <c r="C189" t="inlineStr">
        <is>
          <t>2023-12-28</t>
        </is>
      </c>
      <c r="D189" t="inlineStr">
        <is>
          <t>1934498</t>
        </is>
      </c>
      <c r="E189" t="inlineStr">
        <is>
          <t>2023-10-01 00:00:00</t>
        </is>
      </c>
      <c r="F189" t="inlineStr">
        <is>
          <t>2023-10-12</t>
        </is>
      </c>
      <c r="G189" t="inlineStr">
        <is>
          <t>TC44755169</t>
        </is>
      </c>
      <c r="H189" t="inlineStr">
        <is>
          <t>cus_ea78377525ac</t>
        </is>
      </c>
      <c r="I189" t="inlineStr">
        <is>
          <t>麟數據科技股份有限公司</t>
        </is>
      </c>
      <c r="J189" t="inlineStr">
        <is>
          <t>42840667</t>
        </is>
      </c>
      <c r="K189" t="n">
        <v>119048</v>
      </c>
      <c r="L189" t="n">
        <v>125000</v>
      </c>
      <c r="M189" t="inlineStr">
        <is>
          <t>數據收益</t>
        </is>
      </c>
      <c r="N189" t="inlineStr">
        <is>
          <t>徐靖詠Jenny</t>
        </is>
      </c>
      <c r="O189" t="inlineStr">
        <is>
          <t>台北市大安區和平東路一段75巷3號2F</t>
        </is>
      </c>
      <c r="P189" t="inlineStr">
        <is>
          <t>Jenny.hsu@LnData.com，可收電子發票</t>
        </is>
      </c>
      <c r="Q189" t="inlineStr">
        <is>
          <t>02 23948800 #118</t>
        </is>
      </c>
      <c r="R189" t="inlineStr"/>
      <c r="S189" t="inlineStr">
        <is>
          <t>已收款</t>
        </is>
      </c>
      <c r="T189" t="inlineStr">
        <is>
          <t>全曜與麟數據合作電子發票數據採購專案費用2023第4期(共12期)，申請開立發票。
來源：訂閱型發票及收款紀錄 第 195 列</t>
        </is>
      </c>
      <c r="U189" t="inlineStr">
        <is>
          <t>收到發票後45天</t>
        </is>
      </c>
      <c r="V189" t="inlineStr">
        <is>
          <t>2026-05-18</t>
        </is>
      </c>
    </row>
    <row r="190">
      <c r="A190" t="inlineStr">
        <is>
          <t>inv_168229a314fb</t>
        </is>
      </c>
      <c r="B190" t="inlineStr">
        <is>
          <t>思睿</t>
        </is>
      </c>
      <c r="C190" t="inlineStr">
        <is>
          <t>2023-12-28</t>
        </is>
      </c>
      <c r="D190" t="inlineStr">
        <is>
          <t>1967013</t>
        </is>
      </c>
      <c r="E190" t="inlineStr">
        <is>
          <t>2023-11-01 00:00:00</t>
        </is>
      </c>
      <c r="F190" t="inlineStr">
        <is>
          <t>2023-11-09</t>
        </is>
      </c>
      <c r="G190" t="inlineStr">
        <is>
          <t>VC44725463</t>
        </is>
      </c>
      <c r="H190" t="inlineStr">
        <is>
          <t>cus_ea78377525ac</t>
        </is>
      </c>
      <c r="I190" t="inlineStr">
        <is>
          <t>麟數據科技股份有限公司</t>
        </is>
      </c>
      <c r="J190" t="inlineStr">
        <is>
          <t>42840667</t>
        </is>
      </c>
      <c r="K190" t="n">
        <v>119048</v>
      </c>
      <c r="L190" t="n">
        <v>125000</v>
      </c>
      <c r="M190" t="inlineStr">
        <is>
          <t>數據收益</t>
        </is>
      </c>
      <c r="N190" t="inlineStr">
        <is>
          <t>徐靖詠Jenny</t>
        </is>
      </c>
      <c r="O190" t="inlineStr">
        <is>
          <t>台北市大安區和平東路一段75巷3號2F</t>
        </is>
      </c>
      <c r="P190" t="inlineStr">
        <is>
          <t>Jenny.hsu@LnData.com，可收電子發票</t>
        </is>
      </c>
      <c r="Q190" t="inlineStr">
        <is>
          <t>02 23948800 #118</t>
        </is>
      </c>
      <c r="R190" t="inlineStr"/>
      <c r="S190" t="inlineStr">
        <is>
          <t>已收款</t>
        </is>
      </c>
      <c r="T190" t="inlineStr">
        <is>
          <t>全曜與麟數據合作電子發票數據採購專案費用2023第5期(共12期)，申請開立發票。
來源：訂閱型發票及收款紀錄 第 196 列</t>
        </is>
      </c>
      <c r="U190" t="inlineStr">
        <is>
          <t>收到發票後45天</t>
        </is>
      </c>
      <c r="V190" t="inlineStr">
        <is>
          <t>2026-05-18</t>
        </is>
      </c>
    </row>
    <row r="191">
      <c r="A191" t="inlineStr">
        <is>
          <t>inv_25df088f5607</t>
        </is>
      </c>
      <c r="B191" t="inlineStr">
        <is>
          <t>思睿</t>
        </is>
      </c>
      <c r="C191" t="inlineStr">
        <is>
          <t>2024-01-31</t>
        </is>
      </c>
      <c r="D191" t="inlineStr">
        <is>
          <t>2004787</t>
        </is>
      </c>
      <c r="E191" t="inlineStr">
        <is>
          <t>2023-12-01 00:00:00</t>
        </is>
      </c>
      <c r="F191" t="inlineStr">
        <is>
          <t>2023-12-06</t>
        </is>
      </c>
      <c r="G191" t="inlineStr">
        <is>
          <t>VC44759556</t>
        </is>
      </c>
      <c r="H191" t="inlineStr">
        <is>
          <t>cus_ea78377525ac</t>
        </is>
      </c>
      <c r="I191" t="inlineStr">
        <is>
          <t>麟數據科技股份有限公司</t>
        </is>
      </c>
      <c r="J191" t="inlineStr">
        <is>
          <t>42840667</t>
        </is>
      </c>
      <c r="K191" t="n">
        <v>119048</v>
      </c>
      <c r="L191" t="n">
        <v>125000</v>
      </c>
      <c r="M191" t="inlineStr">
        <is>
          <t>數據收益</t>
        </is>
      </c>
      <c r="N191" t="inlineStr">
        <is>
          <t>徐靖詠Jenny</t>
        </is>
      </c>
      <c r="O191" t="inlineStr">
        <is>
          <t>台北市大安區和平東路一段75巷3號2F</t>
        </is>
      </c>
      <c r="P191" t="inlineStr">
        <is>
          <t>Jenny.hsu@LnData.com，可收電子發票</t>
        </is>
      </c>
      <c r="Q191" t="inlineStr">
        <is>
          <t>02 23948800 #118</t>
        </is>
      </c>
      <c r="R191" t="inlineStr"/>
      <c r="S191" t="inlineStr">
        <is>
          <t>已收款</t>
        </is>
      </c>
      <c r="T191" t="inlineStr">
        <is>
          <t>全曜與麟數據合作電子發票數據採購專案費用2023第6期(共12期)，申請開立發票。
來源：訂閱型發票及收款紀錄 第 197 列</t>
        </is>
      </c>
      <c r="U191" t="inlineStr">
        <is>
          <t>收到發票後45天</t>
        </is>
      </c>
      <c r="V191" t="inlineStr">
        <is>
          <t>2026-05-18</t>
        </is>
      </c>
    </row>
    <row r="192">
      <c r="A192" t="inlineStr">
        <is>
          <t>inv_2607392a89a4</t>
        </is>
      </c>
      <c r="B192" t="inlineStr">
        <is>
          <t>Cobi</t>
        </is>
      </c>
      <c r="C192" t="inlineStr">
        <is>
          <t>2024-03-01</t>
        </is>
      </c>
      <c r="D192" t="inlineStr">
        <is>
          <t>2053507</t>
        </is>
      </c>
      <c r="E192" t="inlineStr">
        <is>
          <t>2024-01-01 00:00:00</t>
        </is>
      </c>
      <c r="F192" t="inlineStr">
        <is>
          <t>2024-01-16</t>
        </is>
      </c>
      <c r="G192" t="inlineStr">
        <is>
          <t>XE03662941</t>
        </is>
      </c>
      <c r="H192" t="inlineStr">
        <is>
          <t>cus_ea78377525ac</t>
        </is>
      </c>
      <c r="I192" t="inlineStr">
        <is>
          <t>麟數據科技股份有限公司</t>
        </is>
      </c>
      <c r="J192" t="inlineStr">
        <is>
          <t>42840667</t>
        </is>
      </c>
      <c r="K192" t="n">
        <v>119048</v>
      </c>
      <c r="L192" t="n">
        <v>125000</v>
      </c>
      <c r="M192" t="inlineStr">
        <is>
          <t>數據收益</t>
        </is>
      </c>
      <c r="N192" t="inlineStr">
        <is>
          <t>徐靖詠Jenny</t>
        </is>
      </c>
      <c r="O192" t="inlineStr">
        <is>
          <t>台北市大安區和平東路一段75巷3號2F</t>
        </is>
      </c>
      <c r="P192" t="inlineStr">
        <is>
          <t>Jenny.hsu@LnData.com，可收電子發票</t>
        </is>
      </c>
      <c r="Q192" t="inlineStr">
        <is>
          <t>02 23948800 #118</t>
        </is>
      </c>
      <c r="R192" t="inlineStr"/>
      <c r="S192" t="inlineStr">
        <is>
          <t>已收款</t>
        </is>
      </c>
      <c r="T192" t="inlineStr">
        <is>
          <t>全曜與麟數據合作電子發票數據採購專案費用2023第7期(共12期)，申請開立發票。
來源：訂閱型發票及收款紀錄 第 198 列</t>
        </is>
      </c>
      <c r="U192" t="inlineStr">
        <is>
          <t>收到發票後45天</t>
        </is>
      </c>
      <c r="V192" t="inlineStr">
        <is>
          <t>2026-05-18</t>
        </is>
      </c>
    </row>
    <row r="193">
      <c r="A193" t="inlineStr">
        <is>
          <t>inv_cad6da919447</t>
        </is>
      </c>
      <c r="B193" t="inlineStr">
        <is>
          <t>Cobi</t>
        </is>
      </c>
      <c r="C193" t="inlineStr">
        <is>
          <t>2024-03-29</t>
        </is>
      </c>
      <c r="D193" t="inlineStr">
        <is>
          <t>2087474</t>
        </is>
      </c>
      <c r="E193" t="inlineStr">
        <is>
          <t>2024-02-01 00:00:00</t>
        </is>
      </c>
      <c r="F193" t="inlineStr">
        <is>
          <t>2024-02-16</t>
        </is>
      </c>
      <c r="G193" t="inlineStr">
        <is>
          <t>XE03693707</t>
        </is>
      </c>
      <c r="H193" t="inlineStr">
        <is>
          <t>cus_ea78377525ac</t>
        </is>
      </c>
      <c r="I193" t="inlineStr">
        <is>
          <t>麟數據科技股份有限公司</t>
        </is>
      </c>
      <c r="J193" t="inlineStr">
        <is>
          <t>42840667</t>
        </is>
      </c>
      <c r="K193" t="n">
        <v>119048</v>
      </c>
      <c r="L193" t="n">
        <v>125000</v>
      </c>
      <c r="M193" t="inlineStr">
        <is>
          <t>數據收益</t>
        </is>
      </c>
      <c r="N193" t="inlineStr">
        <is>
          <t>徐靖詠Jenny</t>
        </is>
      </c>
      <c r="O193" t="inlineStr">
        <is>
          <t>台北市大安區和平東路一段75巷3號2F</t>
        </is>
      </c>
      <c r="P193" t="inlineStr">
        <is>
          <t>Jenny.hsu@LnData.com，可收電子發票</t>
        </is>
      </c>
      <c r="Q193" t="inlineStr">
        <is>
          <t>02 23948800 #118</t>
        </is>
      </c>
      <c r="R193" t="inlineStr"/>
      <c r="S193" t="inlineStr">
        <is>
          <t>已收款</t>
        </is>
      </c>
      <c r="T193" t="inlineStr">
        <is>
          <t>全曜與麟數據合作電子發票數據採購專案費用2023第8期(共12期)，申請開立發票。
來源：訂閱型發票及收款紀錄 第 199 列</t>
        </is>
      </c>
      <c r="U193" t="inlineStr">
        <is>
          <t>收到發票後45天</t>
        </is>
      </c>
      <c r="V193" t="inlineStr">
        <is>
          <t>2026-05-18</t>
        </is>
      </c>
    </row>
    <row r="194">
      <c r="A194" t="inlineStr">
        <is>
          <t>inv_46148b977afd</t>
        </is>
      </c>
      <c r="B194" t="inlineStr">
        <is>
          <t>Cobi</t>
        </is>
      </c>
      <c r="C194" t="inlineStr">
        <is>
          <t>2024-04-30</t>
        </is>
      </c>
      <c r="D194" t="inlineStr">
        <is>
          <t>2131294</t>
        </is>
      </c>
      <c r="E194" t="inlineStr">
        <is>
          <t>2024-03-01 00:00:00</t>
        </is>
      </c>
      <c r="F194" t="inlineStr">
        <is>
          <t>2024-03-18</t>
        </is>
      </c>
      <c r="G194" t="inlineStr">
        <is>
          <t>ZD03667390</t>
        </is>
      </c>
      <c r="H194" t="inlineStr">
        <is>
          <t>cus_ea78377525ac</t>
        </is>
      </c>
      <c r="I194" t="inlineStr">
        <is>
          <t>麟數據科技股份有限公司</t>
        </is>
      </c>
      <c r="J194" t="inlineStr">
        <is>
          <t>42840667</t>
        </is>
      </c>
      <c r="K194" t="n">
        <v>119048</v>
      </c>
      <c r="L194" t="n">
        <v>125000</v>
      </c>
      <c r="M194" t="inlineStr">
        <is>
          <t>數據收益</t>
        </is>
      </c>
      <c r="N194" t="inlineStr">
        <is>
          <t>徐靖詠Jenny</t>
        </is>
      </c>
      <c r="O194" t="inlineStr">
        <is>
          <t>台北市大安區和平東路一段75巷3號2F</t>
        </is>
      </c>
      <c r="P194" t="inlineStr">
        <is>
          <t>Jenny.hsu@LnData.com，可收電子發票</t>
        </is>
      </c>
      <c r="Q194" t="inlineStr">
        <is>
          <t>02 23948800 #118</t>
        </is>
      </c>
      <c r="R194" t="inlineStr"/>
      <c r="S194" t="inlineStr">
        <is>
          <t>已收款</t>
        </is>
      </c>
      <c r="T194" t="inlineStr">
        <is>
          <t>全曜與麟數據合作電子發票數據採購專案費用2023第9期(共12期)，申請開立發票。
來源：訂閱型發票及收款紀錄 第 200 列</t>
        </is>
      </c>
      <c r="U194" t="inlineStr">
        <is>
          <t>收到發票後45天</t>
        </is>
      </c>
      <c r="V194" t="inlineStr">
        <is>
          <t>2026-05-18</t>
        </is>
      </c>
    </row>
    <row r="195">
      <c r="A195" t="inlineStr">
        <is>
          <t>inv_61b6840b3a88</t>
        </is>
      </c>
      <c r="B195" t="inlineStr">
        <is>
          <t>Cobi</t>
        </is>
      </c>
      <c r="C195" t="inlineStr">
        <is>
          <t>2024-05-31</t>
        </is>
      </c>
      <c r="D195" t="inlineStr">
        <is>
          <t>2174631</t>
        </is>
      </c>
      <c r="E195" t="inlineStr">
        <is>
          <t>2024-04-01 00:00:00</t>
        </is>
      </c>
      <c r="F195" t="inlineStr">
        <is>
          <t>2024-04-18</t>
        </is>
      </c>
      <c r="G195" t="inlineStr">
        <is>
          <t>ZD03703358</t>
        </is>
      </c>
      <c r="H195" t="inlineStr">
        <is>
          <t>cus_ea78377525ac</t>
        </is>
      </c>
      <c r="I195" t="inlineStr">
        <is>
          <t>麟數據科技股份有限公司</t>
        </is>
      </c>
      <c r="J195" t="inlineStr">
        <is>
          <t>42840667</t>
        </is>
      </c>
      <c r="K195" t="n">
        <v>119048</v>
      </c>
      <c r="L195" t="n">
        <v>125000</v>
      </c>
      <c r="M195" t="inlineStr">
        <is>
          <t>數據收益</t>
        </is>
      </c>
      <c r="N195" t="inlineStr">
        <is>
          <t>徐靖詠Jenny</t>
        </is>
      </c>
      <c r="O195" t="inlineStr">
        <is>
          <t>台北市大安區和平東路一段75巷3號2F</t>
        </is>
      </c>
      <c r="P195" t="inlineStr">
        <is>
          <t>Jenny.hsu@LnData.com，可收電子發票</t>
        </is>
      </c>
      <c r="Q195" t="inlineStr">
        <is>
          <t>02 23948800 #118</t>
        </is>
      </c>
      <c r="R195" t="inlineStr"/>
      <c r="S195" t="inlineStr">
        <is>
          <t>已收款</t>
        </is>
      </c>
      <c r="T195" t="inlineStr">
        <is>
          <t>全曜與麟數據合作電子發票數據採購專案費用2023第10期(共12期)，申請開立發票。
來源：訂閱型發票及收款紀錄 第 201 列</t>
        </is>
      </c>
      <c r="U195" t="inlineStr">
        <is>
          <t>收到發票後45天</t>
        </is>
      </c>
      <c r="V195" t="inlineStr">
        <is>
          <t>2026-05-18</t>
        </is>
      </c>
    </row>
    <row r="196">
      <c r="A196" t="inlineStr">
        <is>
          <t>inv_57fadbb14183</t>
        </is>
      </c>
      <c r="B196" t="inlineStr">
        <is>
          <t>Cobi</t>
        </is>
      </c>
      <c r="C196" t="inlineStr">
        <is>
          <t>2024-07-31</t>
        </is>
      </c>
      <c r="D196" t="inlineStr">
        <is>
          <t>2210844</t>
        </is>
      </c>
      <c r="E196" t="inlineStr">
        <is>
          <t>2024-05-01 00:00:00</t>
        </is>
      </c>
      <c r="F196" t="inlineStr">
        <is>
          <t>2024-05-15</t>
        </is>
      </c>
      <c r="G196" t="inlineStr">
        <is>
          <t>BD03662764</t>
        </is>
      </c>
      <c r="H196" t="inlineStr">
        <is>
          <t>cus_ea78377525ac</t>
        </is>
      </c>
      <c r="I196" t="inlineStr">
        <is>
          <t>麟數據科技股份有限公司</t>
        </is>
      </c>
      <c r="J196" t="inlineStr">
        <is>
          <t>42840667</t>
        </is>
      </c>
      <c r="K196" t="n">
        <v>119048</v>
      </c>
      <c r="L196" t="n">
        <v>125000</v>
      </c>
      <c r="M196" t="inlineStr">
        <is>
          <t>數據收益</t>
        </is>
      </c>
      <c r="N196" t="inlineStr">
        <is>
          <t>徐靖詠Jenny</t>
        </is>
      </c>
      <c r="O196" t="inlineStr">
        <is>
          <t>台北市大安區和平東路一段75巷3號2F</t>
        </is>
      </c>
      <c r="P196" t="inlineStr">
        <is>
          <t>Jenny.hsu@LnData.com，可收電子發票</t>
        </is>
      </c>
      <c r="Q196" t="inlineStr">
        <is>
          <t>02 23948800 #118</t>
        </is>
      </c>
      <c r="R196" t="inlineStr"/>
      <c r="S196" t="inlineStr">
        <is>
          <t>已收款</t>
        </is>
      </c>
      <c r="T196" t="inlineStr">
        <is>
          <t>全曜與麟數據合作電子發票數據採購專案費用2023第11期(共12期)，申請開立發票。
來源：訂閱型發票及收款紀錄 第 202 列</t>
        </is>
      </c>
      <c r="U196" t="inlineStr">
        <is>
          <t>收到發票後45天</t>
        </is>
      </c>
      <c r="V196" t="inlineStr">
        <is>
          <t>2026-05-18</t>
        </is>
      </c>
    </row>
    <row r="197">
      <c r="A197" t="inlineStr">
        <is>
          <t>inv_fd2d72383dc4</t>
        </is>
      </c>
      <c r="B197" t="inlineStr">
        <is>
          <t>Cobi</t>
        </is>
      </c>
      <c r="C197" t="inlineStr">
        <is>
          <t>2024-09-02</t>
        </is>
      </c>
      <c r="D197" t="inlineStr">
        <is>
          <t>2262932</t>
        </is>
      </c>
      <c r="E197" t="inlineStr">
        <is>
          <t>2024-06-01 00:00:00</t>
        </is>
      </c>
      <c r="F197" t="inlineStr">
        <is>
          <t>2024-06-19</t>
        </is>
      </c>
      <c r="G197" t="inlineStr">
        <is>
          <t>BD03710245</t>
        </is>
      </c>
      <c r="H197" t="inlineStr">
        <is>
          <t>cus_ea78377525ac</t>
        </is>
      </c>
      <c r="I197" t="inlineStr">
        <is>
          <t>麟數據科技股份有限公司</t>
        </is>
      </c>
      <c r="J197" t="inlineStr">
        <is>
          <t>42840667</t>
        </is>
      </c>
      <c r="K197" t="n">
        <v>119048</v>
      </c>
      <c r="L197" t="n">
        <v>125000</v>
      </c>
      <c r="M197" t="inlineStr">
        <is>
          <t>數據收益</t>
        </is>
      </c>
      <c r="N197" t="inlineStr">
        <is>
          <t>徐靖詠Jenny</t>
        </is>
      </c>
      <c r="O197" t="inlineStr">
        <is>
          <t>台北市大安區和平東路一段75巷3號2F</t>
        </is>
      </c>
      <c r="P197" t="inlineStr">
        <is>
          <t>Jenny.hsu@LnData.com，可收電子發票</t>
        </is>
      </c>
      <c r="Q197" t="inlineStr">
        <is>
          <t>02 23948800 #118</t>
        </is>
      </c>
      <c r="R197" t="inlineStr"/>
      <c r="S197" t="inlineStr">
        <is>
          <t>已收款</t>
        </is>
      </c>
      <c r="T197" t="inlineStr">
        <is>
          <t>全曜與麟數據合作電子發票數據採購專案費用2023第12期(共12期)，申請開立發票。
來源：訂閱型發票及收款紀錄 第 203 列</t>
        </is>
      </c>
      <c r="U197" t="inlineStr">
        <is>
          <t>收到發票後45天</t>
        </is>
      </c>
      <c r="V197" t="inlineStr">
        <is>
          <t>2026-05-18</t>
        </is>
      </c>
    </row>
    <row r="198">
      <c r="A198" t="inlineStr">
        <is>
          <t>inv_c36d5cb61ca7</t>
        </is>
      </c>
      <c r="B198" t="inlineStr">
        <is>
          <t>Cobi</t>
        </is>
      </c>
      <c r="C198" t="inlineStr">
        <is>
          <t>2024-09-02</t>
        </is>
      </c>
      <c r="D198" t="inlineStr">
        <is>
          <t>2302163</t>
        </is>
      </c>
      <c r="E198" t="inlineStr">
        <is>
          <t>2024-07-01 00:00:00</t>
        </is>
      </c>
      <c r="F198" t="inlineStr">
        <is>
          <t>2024-07-17</t>
        </is>
      </c>
      <c r="G198" t="inlineStr">
        <is>
          <t>DC03665233</t>
        </is>
      </c>
      <c r="H198" t="inlineStr">
        <is>
          <t>cus_ea78377525ac</t>
        </is>
      </c>
      <c r="I198" t="inlineStr">
        <is>
          <t>麟數據科技股份有限公司</t>
        </is>
      </c>
      <c r="J198" t="inlineStr">
        <is>
          <t>42840667</t>
        </is>
      </c>
      <c r="K198" t="n">
        <v>119048</v>
      </c>
      <c r="L198" t="n">
        <v>125000</v>
      </c>
      <c r="M198" t="inlineStr">
        <is>
          <t>數據收益</t>
        </is>
      </c>
      <c r="N198" t="inlineStr">
        <is>
          <t>徐靖詠Jenny</t>
        </is>
      </c>
      <c r="O198" t="inlineStr">
        <is>
          <t>台北市大安區和平東路一段75巷3號2F</t>
        </is>
      </c>
      <c r="P198" t="inlineStr">
        <is>
          <t>Jenny.hsu@LnData.com，可收電子發票</t>
        </is>
      </c>
      <c r="Q198" t="inlineStr">
        <is>
          <t>02 23948800 #118</t>
        </is>
      </c>
      <c r="R198" t="inlineStr"/>
      <c r="S198" t="inlineStr">
        <is>
          <t>已收款</t>
        </is>
      </c>
      <c r="T198" t="inlineStr">
        <is>
          <t>全曜與麟數據合作電子發票數據採購專案費用2024第1期(共12期)，申請開立發票。
來源：訂閱型發票及收款紀錄 第 204 列</t>
        </is>
      </c>
      <c r="U198" t="inlineStr">
        <is>
          <t>收到發票後45天</t>
        </is>
      </c>
      <c r="V198" t="inlineStr">
        <is>
          <t>2026-05-18</t>
        </is>
      </c>
    </row>
    <row r="199">
      <c r="A199" t="inlineStr">
        <is>
          <t>inv_5944e6090014</t>
        </is>
      </c>
      <c r="B199" t="inlineStr">
        <is>
          <t>Cobi</t>
        </is>
      </c>
      <c r="C199" t="inlineStr">
        <is>
          <t>2024-09-30</t>
        </is>
      </c>
      <c r="D199" t="inlineStr">
        <is>
          <t>2336487</t>
        </is>
      </c>
      <c r="E199" t="inlineStr">
        <is>
          <t>2024-08-01 00:00:00</t>
        </is>
      </c>
      <c r="F199" t="inlineStr">
        <is>
          <t>2024-08-15</t>
        </is>
      </c>
      <c r="G199" t="inlineStr">
        <is>
          <t>DC03695366</t>
        </is>
      </c>
      <c r="H199" t="inlineStr">
        <is>
          <t>cus_ea78377525ac</t>
        </is>
      </c>
      <c r="I199" t="inlineStr">
        <is>
          <t>麟數據科技股份有限公司</t>
        </is>
      </c>
      <c r="J199" t="inlineStr">
        <is>
          <t>42840667</t>
        </is>
      </c>
      <c r="K199" t="n">
        <v>119048</v>
      </c>
      <c r="L199" t="n">
        <v>125000</v>
      </c>
      <c r="M199" t="inlineStr">
        <is>
          <t>數據收益</t>
        </is>
      </c>
      <c r="N199" t="inlineStr">
        <is>
          <t>徐靖詠Jenny</t>
        </is>
      </c>
      <c r="O199" t="inlineStr">
        <is>
          <t>台北市大安區和平東路一段75巷3號2F</t>
        </is>
      </c>
      <c r="P199" t="inlineStr">
        <is>
          <t>Jenny.hsu@LnData.com，可收電子發票</t>
        </is>
      </c>
      <c r="Q199" t="inlineStr">
        <is>
          <t>02 23948800 #118</t>
        </is>
      </c>
      <c r="R199" t="inlineStr"/>
      <c r="S199" t="inlineStr">
        <is>
          <t>已收款</t>
        </is>
      </c>
      <c r="T199" t="inlineStr">
        <is>
          <t>全曜與麟數據合作電子發票數據採購專案費用2024第2期(共12期)，申請開立發票。
來源：訂閱型發票及收款紀錄 第 205 列</t>
        </is>
      </c>
      <c r="U199" t="inlineStr">
        <is>
          <t>收到發票後45天</t>
        </is>
      </c>
      <c r="V199" t="inlineStr">
        <is>
          <t>2026-05-18</t>
        </is>
      </c>
    </row>
    <row r="200">
      <c r="A200" t="inlineStr">
        <is>
          <t>inv_e0106a135aae</t>
        </is>
      </c>
      <c r="B200" t="inlineStr">
        <is>
          <t>Cobi</t>
        </is>
      </c>
      <c r="C200" t="inlineStr">
        <is>
          <t>2024-10-31</t>
        </is>
      </c>
      <c r="D200" t="inlineStr">
        <is>
          <t>2369238</t>
        </is>
      </c>
      <c r="E200" t="inlineStr">
        <is>
          <t>2024-09-01 00:00:00</t>
        </is>
      </c>
      <c r="F200" t="inlineStr">
        <is>
          <t>2024-09-13</t>
        </is>
      </c>
      <c r="G200" t="inlineStr">
        <is>
          <t>FB03658180</t>
        </is>
      </c>
      <c r="H200" t="inlineStr">
        <is>
          <t>cus_ea78377525ac</t>
        </is>
      </c>
      <c r="I200" t="inlineStr">
        <is>
          <t>麟數據科技股份有限公司</t>
        </is>
      </c>
      <c r="J200" t="inlineStr">
        <is>
          <t>42840667</t>
        </is>
      </c>
      <c r="K200" t="n">
        <v>119048</v>
      </c>
      <c r="L200" t="n">
        <v>125000</v>
      </c>
      <c r="M200" t="inlineStr">
        <is>
          <t>數據收益</t>
        </is>
      </c>
      <c r="N200" t="inlineStr">
        <is>
          <t>徐靖詠Jenny</t>
        </is>
      </c>
      <c r="O200" t="inlineStr">
        <is>
          <t>台北市大安區和平東路一段75巷3號2F</t>
        </is>
      </c>
      <c r="P200" t="inlineStr">
        <is>
          <t>Jenny.hsu@LnData.com，可收電子發票</t>
        </is>
      </c>
      <c r="Q200" t="inlineStr">
        <is>
          <t>02 23948800 #118</t>
        </is>
      </c>
      <c r="R200" t="inlineStr"/>
      <c r="S200" t="inlineStr">
        <is>
          <t>已收款</t>
        </is>
      </c>
      <c r="T200" t="inlineStr">
        <is>
          <t>全曜與麟數據合作電子發票數據採購專案費用2024第3期(共12期)，申請開立發票。
來源：訂閱型發票及收款紀錄 第 206 列</t>
        </is>
      </c>
      <c r="U200" t="inlineStr">
        <is>
          <t>收到發票後45天</t>
        </is>
      </c>
      <c r="V200" t="inlineStr">
        <is>
          <t>2026-05-18</t>
        </is>
      </c>
    </row>
    <row r="201">
      <c r="A201" t="inlineStr">
        <is>
          <t>inv_70f1cac5653f</t>
        </is>
      </c>
      <c r="B201" t="inlineStr">
        <is>
          <t>Cobi</t>
        </is>
      </c>
      <c r="C201" t="inlineStr">
        <is>
          <t>2024-11-29</t>
        </is>
      </c>
      <c r="D201" t="inlineStr">
        <is>
          <t>2402162</t>
        </is>
      </c>
      <c r="E201" t="inlineStr">
        <is>
          <t>2024-10-01 00:00:00</t>
        </is>
      </c>
      <c r="F201" t="inlineStr"/>
      <c r="G201" t="inlineStr">
        <is>
          <t>FB03688270</t>
        </is>
      </c>
      <c r="H201" t="inlineStr">
        <is>
          <t>cus_ea78377525ac</t>
        </is>
      </c>
      <c r="I201" t="inlineStr">
        <is>
          <t>麟數據科技股份有限公司</t>
        </is>
      </c>
      <c r="J201" t="inlineStr">
        <is>
          <t>42840667</t>
        </is>
      </c>
      <c r="K201" t="n">
        <v>119048</v>
      </c>
      <c r="L201" t="n">
        <v>125000</v>
      </c>
      <c r="M201" t="inlineStr">
        <is>
          <t>數據收益</t>
        </is>
      </c>
      <c r="N201" t="inlineStr">
        <is>
          <t>徐靖詠Jenny</t>
        </is>
      </c>
      <c r="O201" t="inlineStr">
        <is>
          <t>台北市大安區和平東路一段75巷3號2F</t>
        </is>
      </c>
      <c r="P201" t="inlineStr">
        <is>
          <t>Jenny.hsu@LnData.com，可收電子發票</t>
        </is>
      </c>
      <c r="Q201" t="inlineStr">
        <is>
          <t>02 23948800 #118</t>
        </is>
      </c>
      <c r="R201" t="inlineStr"/>
      <c r="S201" t="inlineStr">
        <is>
          <t>已收款</t>
        </is>
      </c>
      <c r="T201" t="inlineStr">
        <is>
          <t>全曜與麟數據合作電子發票數據採購專案費用2024第4期(共12期)，申請開立發票。
來源：訂閱型發票及收款紀錄 第 207 列</t>
        </is>
      </c>
      <c r="U201" t="inlineStr">
        <is>
          <t>收到發票後45天</t>
        </is>
      </c>
      <c r="V201" t="inlineStr">
        <is>
          <t>2026-05-18</t>
        </is>
      </c>
    </row>
    <row r="202">
      <c r="A202" t="inlineStr">
        <is>
          <t>inv_89f663061d29</t>
        </is>
      </c>
      <c r="B202" t="inlineStr">
        <is>
          <t>許瀞鍶</t>
        </is>
      </c>
      <c r="C202" t="inlineStr">
        <is>
          <t>2024-12-31</t>
        </is>
      </c>
      <c r="D202" t="inlineStr">
        <is>
          <t>2438782</t>
        </is>
      </c>
      <c r="E202" t="inlineStr">
        <is>
          <t>2024-11-01 00:00:00</t>
        </is>
      </c>
      <c r="F202" t="inlineStr">
        <is>
          <t>2024-11-15</t>
        </is>
      </c>
      <c r="G202" t="inlineStr">
        <is>
          <t>HA03664249</t>
        </is>
      </c>
      <c r="H202" t="inlineStr">
        <is>
          <t>cus_ea78377525ac</t>
        </is>
      </c>
      <c r="I202" t="inlineStr">
        <is>
          <t>麟數據科技股份有限公司</t>
        </is>
      </c>
      <c r="J202" t="inlineStr">
        <is>
          <t>42840667</t>
        </is>
      </c>
      <c r="K202" t="n">
        <v>119048</v>
      </c>
      <c r="L202" t="n">
        <v>125000</v>
      </c>
      <c r="M202" t="inlineStr">
        <is>
          <t>數據收益</t>
        </is>
      </c>
      <c r="N202" t="inlineStr">
        <is>
          <t>徐靖詠Jenny</t>
        </is>
      </c>
      <c r="O202" t="inlineStr">
        <is>
          <t>台北市大安區和平東路一段75巷3號2F</t>
        </is>
      </c>
      <c r="P202" t="inlineStr">
        <is>
          <t>Jenny.hsu@LnData.com，可收電子發票</t>
        </is>
      </c>
      <c r="Q202" t="inlineStr">
        <is>
          <t>02 23948800 #118</t>
        </is>
      </c>
      <c r="R202" t="inlineStr"/>
      <c r="S202" t="inlineStr">
        <is>
          <t>已收款</t>
        </is>
      </c>
      <c r="T202" t="inlineStr">
        <is>
          <t>全曜與麟數據合作電子發票數據採購專案費用2024第5期(共12期)，申請開立發票。
來源：訂閱型發票及收款紀錄 第 208 列</t>
        </is>
      </c>
      <c r="U202" t="inlineStr">
        <is>
          <t>收到發票後45天</t>
        </is>
      </c>
      <c r="V202" t="inlineStr">
        <is>
          <t>2026-05-18</t>
        </is>
      </c>
    </row>
    <row r="203">
      <c r="A203" t="inlineStr">
        <is>
          <t>inv_3e880d6602de</t>
        </is>
      </c>
      <c r="B203" t="inlineStr">
        <is>
          <t>許瀞鍶</t>
        </is>
      </c>
      <c r="C203" t="inlineStr">
        <is>
          <t>2025-02-03</t>
        </is>
      </c>
      <c r="D203" t="inlineStr">
        <is>
          <t>2464509</t>
        </is>
      </c>
      <c r="E203" t="inlineStr">
        <is>
          <t>2024-12-01 00:00:00</t>
        </is>
      </c>
      <c r="F203" t="inlineStr">
        <is>
          <t>2024-12-10</t>
        </is>
      </c>
      <c r="G203" t="inlineStr">
        <is>
          <t>HA03687684</t>
        </is>
      </c>
      <c r="H203" t="inlineStr">
        <is>
          <t>cus_ea78377525ac</t>
        </is>
      </c>
      <c r="I203" t="inlineStr">
        <is>
          <t>麟數據科技股份有限公司</t>
        </is>
      </c>
      <c r="J203" t="inlineStr">
        <is>
          <t>42840667</t>
        </is>
      </c>
      <c r="K203" t="n">
        <v>119048</v>
      </c>
      <c r="L203" t="n">
        <v>125000</v>
      </c>
      <c r="M203" t="inlineStr">
        <is>
          <t>數據收益</t>
        </is>
      </c>
      <c r="N203" t="inlineStr">
        <is>
          <t>徐靖詠Jenny</t>
        </is>
      </c>
      <c r="O203" t="inlineStr">
        <is>
          <t>台北市大安區和平東路一段75巷3號2F</t>
        </is>
      </c>
      <c r="P203" t="inlineStr">
        <is>
          <t>Jenny.hsu@LnData.com，可收電子發票</t>
        </is>
      </c>
      <c r="Q203" t="inlineStr">
        <is>
          <t>02 23948800 #118</t>
        </is>
      </c>
      <c r="R203" t="inlineStr"/>
      <c r="S203" t="inlineStr">
        <is>
          <t>已收款</t>
        </is>
      </c>
      <c r="T203" t="inlineStr">
        <is>
          <t>全曜與麟數據合作電子發票數據採購專案費用2024第6期(共12期)，申請開立發票。
來源：訂閱型發票及收款紀錄 第 209 列</t>
        </is>
      </c>
      <c r="U203" t="inlineStr">
        <is>
          <t>收到發票後45天</t>
        </is>
      </c>
      <c r="V203" t="inlineStr">
        <is>
          <t>2026-05-18</t>
        </is>
      </c>
    </row>
    <row r="204">
      <c r="A204" t="inlineStr">
        <is>
          <t>inv_202cf702b51a</t>
        </is>
      </c>
      <c r="B204" t="inlineStr">
        <is>
          <t>許瀞鍶</t>
        </is>
      </c>
      <c r="C204" t="inlineStr">
        <is>
          <t>2025-02-28</t>
        </is>
      </c>
      <c r="D204" t="inlineStr">
        <is>
          <t>2501907</t>
        </is>
      </c>
      <c r="E204" t="inlineStr">
        <is>
          <t>2025-01-01 00:00:00</t>
        </is>
      </c>
      <c r="F204" t="inlineStr">
        <is>
          <t>2025-01-13</t>
        </is>
      </c>
      <c r="G204" t="inlineStr">
        <is>
          <t>JY43833659</t>
        </is>
      </c>
      <c r="H204" t="inlineStr">
        <is>
          <t>cus_ea78377525ac</t>
        </is>
      </c>
      <c r="I204" t="inlineStr">
        <is>
          <t>麟數據科技股份有限公司</t>
        </is>
      </c>
      <c r="J204" t="inlineStr">
        <is>
          <t>42840667</t>
        </is>
      </c>
      <c r="K204" t="n">
        <v>119048</v>
      </c>
      <c r="L204" t="n">
        <v>125000</v>
      </c>
      <c r="M204" t="inlineStr">
        <is>
          <t>數據收益</t>
        </is>
      </c>
      <c r="N204" t="inlineStr">
        <is>
          <t>徐靖詠Jenny</t>
        </is>
      </c>
      <c r="O204" t="inlineStr">
        <is>
          <t>台北市大安區和平東路一段75巷3號2F</t>
        </is>
      </c>
      <c r="P204" t="inlineStr">
        <is>
          <t>Jenny.hsu@LnData.com，可收電子發票</t>
        </is>
      </c>
      <c r="Q204" t="inlineStr">
        <is>
          <t>02 23948800 #118</t>
        </is>
      </c>
      <c r="R204" t="inlineStr"/>
      <c r="S204" t="inlineStr">
        <is>
          <t>已收款</t>
        </is>
      </c>
      <c r="T204" t="inlineStr">
        <is>
          <t>全曜與麟數據合作電子發票數據採購專案費用2024第7期(共12期)，申請開立發票。
來源：訂閱型發票及收款紀錄 第 210 列</t>
        </is>
      </c>
      <c r="U204" t="inlineStr">
        <is>
          <t>收到發票後45天</t>
        </is>
      </c>
      <c r="V204" t="inlineStr">
        <is>
          <t>2026-05-18</t>
        </is>
      </c>
    </row>
    <row r="205">
      <c r="A205" t="inlineStr">
        <is>
          <t>inv_b09b9de6e951</t>
        </is>
      </c>
      <c r="B205" t="inlineStr">
        <is>
          <t>許瀞鍶</t>
        </is>
      </c>
      <c r="C205" t="inlineStr">
        <is>
          <t>2025-03-31</t>
        </is>
      </c>
      <c r="D205" t="inlineStr">
        <is>
          <t>2533817</t>
        </is>
      </c>
      <c r="E205" t="inlineStr">
        <is>
          <t>2025-02-01 00:00:00</t>
        </is>
      </c>
      <c r="F205" t="inlineStr">
        <is>
          <t>2025-02-14</t>
        </is>
      </c>
      <c r="G205" t="inlineStr">
        <is>
          <t>JY43863213</t>
        </is>
      </c>
      <c r="H205" t="inlineStr">
        <is>
          <t>cus_ea78377525ac</t>
        </is>
      </c>
      <c r="I205" t="inlineStr">
        <is>
          <t>麟數據科技股份有限公司</t>
        </is>
      </c>
      <c r="J205" t="inlineStr">
        <is>
          <t>42840667</t>
        </is>
      </c>
      <c r="K205" t="n">
        <v>119048</v>
      </c>
      <c r="L205" t="n">
        <v>125000</v>
      </c>
      <c r="M205" t="inlineStr">
        <is>
          <t>數據收益</t>
        </is>
      </c>
      <c r="N205" t="inlineStr">
        <is>
          <t>徐靖詠Jenny</t>
        </is>
      </c>
      <c r="O205" t="inlineStr">
        <is>
          <t>台北市大安區和平東路一段75巷3號2F</t>
        </is>
      </c>
      <c r="P205" t="inlineStr">
        <is>
          <t>Jenny.hsu@LnData.com，可收電子發票</t>
        </is>
      </c>
      <c r="Q205" t="inlineStr">
        <is>
          <t>02 23948800 #118</t>
        </is>
      </c>
      <c r="R205" t="inlineStr"/>
      <c r="S205" t="inlineStr">
        <is>
          <t>已收款</t>
        </is>
      </c>
      <c r="T205" t="inlineStr">
        <is>
          <t>全曜與麟數據合作電子發票數據採購專案費用2024第8期(共12期)，申請開立發票。
來源：訂閱型發票及收款紀錄 第 211 列</t>
        </is>
      </c>
      <c r="U205" t="inlineStr">
        <is>
          <t>收到發票後45天</t>
        </is>
      </c>
      <c r="V205" t="inlineStr">
        <is>
          <t>2026-05-18</t>
        </is>
      </c>
    </row>
    <row r="206">
      <c r="A206" t="inlineStr">
        <is>
          <t>inv_a05a9a7fe913</t>
        </is>
      </c>
      <c r="B206" t="inlineStr">
        <is>
          <t>許瀞鍶</t>
        </is>
      </c>
      <c r="C206" t="inlineStr">
        <is>
          <t>2025-04-30</t>
        </is>
      </c>
      <c r="D206" t="inlineStr">
        <is>
          <t>2565607</t>
        </is>
      </c>
      <c r="E206" t="inlineStr">
        <is>
          <t>2025-03-01 00:00:00</t>
        </is>
      </c>
      <c r="F206" t="inlineStr">
        <is>
          <t>2025-03-17</t>
        </is>
      </c>
      <c r="G206" t="inlineStr">
        <is>
          <t>LY43836522</t>
        </is>
      </c>
      <c r="H206" t="inlineStr">
        <is>
          <t>cus_ea78377525ac</t>
        </is>
      </c>
      <c r="I206" t="inlineStr">
        <is>
          <t>麟數據科技股份有限公司</t>
        </is>
      </c>
      <c r="J206" t="inlineStr">
        <is>
          <t>42840667</t>
        </is>
      </c>
      <c r="K206" t="n">
        <v>119048</v>
      </c>
      <c r="L206" t="n">
        <v>125000</v>
      </c>
      <c r="M206" t="inlineStr">
        <is>
          <t>數據收益</t>
        </is>
      </c>
      <c r="N206" t="inlineStr">
        <is>
          <t>徐靖詠Jenny</t>
        </is>
      </c>
      <c r="O206" t="inlineStr">
        <is>
          <t>台北市大安區和平東路一段75巷3號2F</t>
        </is>
      </c>
      <c r="P206" t="inlineStr">
        <is>
          <t>Jenny.hsu@LnData.com，可收電子發票</t>
        </is>
      </c>
      <c r="Q206" t="inlineStr">
        <is>
          <t>02 23948800 #118</t>
        </is>
      </c>
      <c r="R206" t="inlineStr"/>
      <c r="S206" t="inlineStr">
        <is>
          <t>已收款</t>
        </is>
      </c>
      <c r="T206" t="inlineStr">
        <is>
          <t>全曜與麟數據合作電子發票數據採購專案費用2024第9期(共12期)，申請開立發票。
來源：訂閱型發票及收款紀錄 第 212 列</t>
        </is>
      </c>
      <c r="U206" t="inlineStr">
        <is>
          <t>收到發票後45天</t>
        </is>
      </c>
      <c r="V206" t="inlineStr">
        <is>
          <t>2026-05-18</t>
        </is>
      </c>
    </row>
    <row r="207">
      <c r="A207" t="inlineStr">
        <is>
          <t>inv_c18de629e0b8</t>
        </is>
      </c>
      <c r="B207" t="inlineStr">
        <is>
          <t>許瀞鍶</t>
        </is>
      </c>
      <c r="C207" t="inlineStr">
        <is>
          <t>2025-05-29</t>
        </is>
      </c>
      <c r="D207" t="inlineStr">
        <is>
          <t>2596418</t>
        </is>
      </c>
      <c r="E207" t="inlineStr">
        <is>
          <t>2025-04-01 00:00:00</t>
        </is>
      </c>
      <c r="F207" t="inlineStr">
        <is>
          <t>2025-04-15</t>
        </is>
      </c>
      <c r="G207" t="inlineStr">
        <is>
          <t>LY43863875</t>
        </is>
      </c>
      <c r="H207" t="inlineStr">
        <is>
          <t>cus_ea78377525ac</t>
        </is>
      </c>
      <c r="I207" t="inlineStr">
        <is>
          <t>麟數據科技股份有限公司</t>
        </is>
      </c>
      <c r="J207" t="inlineStr">
        <is>
          <t>42840667</t>
        </is>
      </c>
      <c r="K207" t="n">
        <v>119048</v>
      </c>
      <c r="L207" t="n">
        <v>125000</v>
      </c>
      <c r="M207" t="inlineStr">
        <is>
          <t>數據收益</t>
        </is>
      </c>
      <c r="N207" t="inlineStr">
        <is>
          <t>徐靖詠Jenny</t>
        </is>
      </c>
      <c r="O207" t="inlineStr">
        <is>
          <t>台北市大安區和平東路一段75巷3號2F</t>
        </is>
      </c>
      <c r="P207" t="inlineStr">
        <is>
          <t>Jenny.hsu@LnData.com，可收電子發票</t>
        </is>
      </c>
      <c r="Q207" t="inlineStr">
        <is>
          <t>02 23948800 #118</t>
        </is>
      </c>
      <c r="R207" t="inlineStr"/>
      <c r="S207" t="inlineStr">
        <is>
          <t>已收款</t>
        </is>
      </c>
      <c r="T207" t="inlineStr">
        <is>
          <t>全曜與麟數據合作電子發票數據採購專案費用2024第10期(共12期)，申請開立發票。
來源：訂閱型發票及收款紀錄 第 213 列</t>
        </is>
      </c>
      <c r="U207" t="inlineStr">
        <is>
          <t>收到發票後45天</t>
        </is>
      </c>
      <c r="V207" t="inlineStr">
        <is>
          <t>2026-05-18</t>
        </is>
      </c>
    </row>
    <row r="208">
      <c r="A208" t="inlineStr">
        <is>
          <t>inv_3893d27f1f67</t>
        </is>
      </c>
      <c r="B208" t="inlineStr">
        <is>
          <t>許瀞鍶</t>
        </is>
      </c>
      <c r="C208" t="inlineStr">
        <is>
          <t>2025-06-30</t>
        </is>
      </c>
      <c r="D208" t="inlineStr">
        <is>
          <t>2627671</t>
        </is>
      </c>
      <c r="E208" t="inlineStr">
        <is>
          <t>2025-05-01 00:00:00</t>
        </is>
      </c>
      <c r="F208" t="inlineStr">
        <is>
          <t>2025-05-15</t>
        </is>
      </c>
      <c r="G208" t="inlineStr">
        <is>
          <t>NY43836277</t>
        </is>
      </c>
      <c r="H208" t="inlineStr">
        <is>
          <t>cus_ea78377525ac</t>
        </is>
      </c>
      <c r="I208" t="inlineStr">
        <is>
          <t>麟數據科技股份有限公司</t>
        </is>
      </c>
      <c r="J208" t="inlineStr">
        <is>
          <t>42840667</t>
        </is>
      </c>
      <c r="K208" t="n">
        <v>119048</v>
      </c>
      <c r="L208" t="n">
        <v>125000</v>
      </c>
      <c r="M208" t="inlineStr">
        <is>
          <t>數據收益</t>
        </is>
      </c>
      <c r="N208" t="inlineStr">
        <is>
          <t>徐靖詠Jenny</t>
        </is>
      </c>
      <c r="O208" t="inlineStr">
        <is>
          <t>台北市大安區和平東路一段75巷3號2F</t>
        </is>
      </c>
      <c r="P208" t="inlineStr">
        <is>
          <t>Jenny.hsu@LnData.com，可收電子發票</t>
        </is>
      </c>
      <c r="Q208" t="inlineStr">
        <is>
          <t>02 23948800 #118</t>
        </is>
      </c>
      <c r="R208" t="inlineStr"/>
      <c r="S208" t="inlineStr">
        <is>
          <t>已收款</t>
        </is>
      </c>
      <c r="T208" t="inlineStr">
        <is>
          <t>全曜與麟數據合作電子發票數據採購專案費用2024第11期(共12期)，申請開立發票。
來源：訂閱型發票及收款紀錄 第 214 列</t>
        </is>
      </c>
      <c r="U208" t="inlineStr">
        <is>
          <t>收到發票後45天</t>
        </is>
      </c>
      <c r="V208" t="inlineStr">
        <is>
          <t>2026-05-18</t>
        </is>
      </c>
    </row>
    <row r="209">
      <c r="A209" t="inlineStr">
        <is>
          <t>inv_f8eb20dab06d</t>
        </is>
      </c>
      <c r="B209" t="inlineStr">
        <is>
          <t>許瀞鍶</t>
        </is>
      </c>
      <c r="C209" t="inlineStr">
        <is>
          <t>2025-09-01</t>
        </is>
      </c>
      <c r="D209" t="inlineStr">
        <is>
          <t>2661575</t>
        </is>
      </c>
      <c r="E209" t="inlineStr">
        <is>
          <t>2025-06-01 00:00:00</t>
        </is>
      </c>
      <c r="F209" t="inlineStr">
        <is>
          <t>2025-06-13</t>
        </is>
      </c>
      <c r="G209" t="inlineStr">
        <is>
          <t>NY43866731</t>
        </is>
      </c>
      <c r="H209" t="inlineStr">
        <is>
          <t>cus_ea78377525ac</t>
        </is>
      </c>
      <c r="I209" t="inlineStr">
        <is>
          <t>麟數據科技股份有限公司</t>
        </is>
      </c>
      <c r="J209" t="inlineStr">
        <is>
          <t>42840667</t>
        </is>
      </c>
      <c r="K209" t="n">
        <v>119048</v>
      </c>
      <c r="L209" t="n">
        <v>125000</v>
      </c>
      <c r="M209" t="inlineStr">
        <is>
          <t>數據收益</t>
        </is>
      </c>
      <c r="N209" t="inlineStr">
        <is>
          <t>徐靖詠Jenny</t>
        </is>
      </c>
      <c r="O209" t="inlineStr">
        <is>
          <t>台北市大安區和平東路一段75巷3號2F</t>
        </is>
      </c>
      <c r="P209" t="inlineStr">
        <is>
          <t>Jenny.hsu@LnData.com，可收電子發票</t>
        </is>
      </c>
      <c r="Q209" t="inlineStr">
        <is>
          <t>02 23948800 #118</t>
        </is>
      </c>
      <c r="R209" t="inlineStr"/>
      <c r="S209" t="inlineStr">
        <is>
          <t>已收款</t>
        </is>
      </c>
      <c r="T209" t="inlineStr">
        <is>
          <t>全曜與麟數據合作電子發票數據採購專案費用2024第12期(共12期)，申請開立發票。
來源：訂閱型發票及收款紀錄 第 215 列</t>
        </is>
      </c>
      <c r="U209" t="inlineStr">
        <is>
          <t>收到發票後45天</t>
        </is>
      </c>
      <c r="V209" t="inlineStr">
        <is>
          <t>2026-05-18</t>
        </is>
      </c>
    </row>
    <row r="210">
      <c r="A210" t="inlineStr">
        <is>
          <t>inv_4c5354c09c43</t>
        </is>
      </c>
      <c r="B210" t="inlineStr">
        <is>
          <t>許瀞鍶</t>
        </is>
      </c>
      <c r="C210" t="inlineStr">
        <is>
          <t>2025-10-01</t>
        </is>
      </c>
      <c r="D210" t="inlineStr">
        <is>
          <t>2698644</t>
        </is>
      </c>
      <c r="E210" t="inlineStr">
        <is>
          <t>2025-07-01 00:00:00</t>
        </is>
      </c>
      <c r="F210" t="inlineStr">
        <is>
          <t>2025-07-15</t>
        </is>
      </c>
      <c r="G210" t="inlineStr"/>
      <c r="H210" t="inlineStr">
        <is>
          <t>cus_ea78377525ac</t>
        </is>
      </c>
      <c r="I210" t="inlineStr">
        <is>
          <t>麟數據科技股份有限公司</t>
        </is>
      </c>
      <c r="J210" t="inlineStr">
        <is>
          <t>42840667</t>
        </is>
      </c>
      <c r="K210" t="n">
        <v>125000</v>
      </c>
      <c r="L210" t="n">
        <v>131250</v>
      </c>
      <c r="M210" t="inlineStr">
        <is>
          <t>數據收益</t>
        </is>
      </c>
      <c r="N210" t="inlineStr">
        <is>
          <t>徐靖詠Jenny</t>
        </is>
      </c>
      <c r="O210" t="inlineStr">
        <is>
          <t>台北市信義區松德路159號16樓之1</t>
        </is>
      </c>
      <c r="P210" t="inlineStr">
        <is>
          <t>Jenny.hsu@LnData.com，可收電子發票</t>
        </is>
      </c>
      <c r="Q210" t="inlineStr">
        <is>
          <t>02 23948800 #118</t>
        </is>
      </c>
      <c r="R210" t="inlineStr"/>
      <c r="S210" t="inlineStr">
        <is>
          <t>已收款</t>
        </is>
      </c>
      <c r="T210" t="inlineStr">
        <is>
          <t>全曜與麟數據合作電子發票數據採購專案費用2025第1期(共12期)，申請開立發票。
來源：訂閱型發票及收款紀錄 第 216 列</t>
        </is>
      </c>
      <c r="U210" t="inlineStr">
        <is>
          <t>收到發票後45天</t>
        </is>
      </c>
      <c r="V210" t="inlineStr">
        <is>
          <t>2026-05-18</t>
        </is>
      </c>
    </row>
    <row r="211">
      <c r="A211" t="inlineStr">
        <is>
          <t>inv_0c3d8ea7c34f</t>
        </is>
      </c>
      <c r="B211" t="inlineStr">
        <is>
          <t>許瀞鍶</t>
        </is>
      </c>
      <c r="C211" t="inlineStr">
        <is>
          <t>2025-11-05</t>
        </is>
      </c>
      <c r="D211" t="inlineStr">
        <is>
          <t>2735156</t>
        </is>
      </c>
      <c r="E211" t="inlineStr">
        <is>
          <t>2025-08-01 00:00:00</t>
        </is>
      </c>
      <c r="F211" t="inlineStr">
        <is>
          <t>2025-08-15</t>
        </is>
      </c>
      <c r="G211" t="inlineStr"/>
      <c r="H211" t="inlineStr">
        <is>
          <t>cus_ea78377525ac</t>
        </is>
      </c>
      <c r="I211" t="inlineStr">
        <is>
          <t>麟數據科技股份有限公司</t>
        </is>
      </c>
      <c r="J211" t="inlineStr">
        <is>
          <t>42840667</t>
        </is>
      </c>
      <c r="K211" t="n">
        <v>125000</v>
      </c>
      <c r="L211" t="n">
        <v>131250</v>
      </c>
      <c r="M211" t="inlineStr">
        <is>
          <t>數據收益</t>
        </is>
      </c>
      <c r="N211" t="inlineStr">
        <is>
          <t>徐靖詠Jenny</t>
        </is>
      </c>
      <c r="O211" t="inlineStr">
        <is>
          <t>台北市信義區松德路159號16樓之1</t>
        </is>
      </c>
      <c r="P211" t="inlineStr">
        <is>
          <t>Jenny.hsu@LnData.com，可收電子發票</t>
        </is>
      </c>
      <c r="Q211" t="inlineStr">
        <is>
          <t>02 23948800 #118</t>
        </is>
      </c>
      <c r="R211" t="inlineStr"/>
      <c r="S211" t="inlineStr">
        <is>
          <t>已收款</t>
        </is>
      </c>
      <c r="T211" t="inlineStr">
        <is>
          <t>全曜與麟數據合作電子發票數據採購專案費用2025第2期(共12期)，申請開立發票。
來源：訂閱型發票及收款紀錄 第 217 列</t>
        </is>
      </c>
      <c r="U211" t="inlineStr">
        <is>
          <t>收到發票後45天</t>
        </is>
      </c>
      <c r="V211" t="inlineStr">
        <is>
          <t>2026-05-18</t>
        </is>
      </c>
    </row>
    <row r="212">
      <c r="A212" t="inlineStr">
        <is>
          <t>inv_9158fbbfb02c</t>
        </is>
      </c>
      <c r="B212" t="inlineStr">
        <is>
          <t>許瀞鍶</t>
        </is>
      </c>
      <c r="C212" t="inlineStr">
        <is>
          <t>2025-12-31</t>
        </is>
      </c>
      <c r="D212" t="inlineStr">
        <is>
          <t>2772899</t>
        </is>
      </c>
      <c r="E212" t="inlineStr">
        <is>
          <t>2025-09-01 00:00:00</t>
        </is>
      </c>
      <c r="F212" t="inlineStr">
        <is>
          <t>2025-09-15</t>
        </is>
      </c>
      <c r="G212" t="inlineStr"/>
      <c r="H212" t="inlineStr">
        <is>
          <t>cus_ea78377525ac</t>
        </is>
      </c>
      <c r="I212" t="inlineStr">
        <is>
          <t>麟數據科技股份有限公司</t>
        </is>
      </c>
      <c r="J212" t="inlineStr">
        <is>
          <t>42840667</t>
        </is>
      </c>
      <c r="K212" t="n">
        <v>125000</v>
      </c>
      <c r="L212" t="n">
        <v>131250</v>
      </c>
      <c r="M212" t="inlineStr">
        <is>
          <t>數據收益</t>
        </is>
      </c>
      <c r="N212" t="inlineStr">
        <is>
          <t>徐靖詠Jenny</t>
        </is>
      </c>
      <c r="O212" t="inlineStr">
        <is>
          <t>台北市信義區松德路159號16樓之1</t>
        </is>
      </c>
      <c r="P212" t="inlineStr">
        <is>
          <t>Jenny.hsu@LnData.com，可收電子發票</t>
        </is>
      </c>
      <c r="Q212" t="inlineStr">
        <is>
          <t>02 23948800 #118</t>
        </is>
      </c>
      <c r="R212" t="inlineStr"/>
      <c r="S212" t="inlineStr">
        <is>
          <t>已收款</t>
        </is>
      </c>
      <c r="T212" t="inlineStr">
        <is>
          <t>全曜與麟數據合作電子發票數據採購專案費用2025第3期(共12期)，申請開立發票。
來源：訂閱型發票及收款紀錄 第 218 列</t>
        </is>
      </c>
      <c r="U212" t="inlineStr">
        <is>
          <t>收到發票後45天</t>
        </is>
      </c>
      <c r="V212" t="inlineStr">
        <is>
          <t>2026-05-18</t>
        </is>
      </c>
    </row>
    <row r="213">
      <c r="A213" t="inlineStr">
        <is>
          <t>inv_192bb8da4ddf</t>
        </is>
      </c>
      <c r="B213" t="inlineStr">
        <is>
          <t>許瀞鍶</t>
        </is>
      </c>
      <c r="C213" t="inlineStr">
        <is>
          <t>2026-01-30</t>
        </is>
      </c>
      <c r="D213" t="inlineStr">
        <is>
          <t>2902108</t>
        </is>
      </c>
      <c r="E213" t="inlineStr">
        <is>
          <t>2025-10-01 00:00:00</t>
        </is>
      </c>
      <c r="F213" t="inlineStr">
        <is>
          <t>2025-10-15</t>
        </is>
      </c>
      <c r="G213" t="inlineStr"/>
      <c r="H213" t="inlineStr">
        <is>
          <t>cus_ea78377525ac</t>
        </is>
      </c>
      <c r="I213" t="inlineStr">
        <is>
          <t>麟數據科技股份有限公司</t>
        </is>
      </c>
      <c r="J213" t="inlineStr">
        <is>
          <t>42840667</t>
        </is>
      </c>
      <c r="K213" t="n">
        <v>125000</v>
      </c>
      <c r="L213" t="n">
        <v>131250</v>
      </c>
      <c r="M213" t="inlineStr">
        <is>
          <t>數據收益</t>
        </is>
      </c>
      <c r="N213" t="inlineStr">
        <is>
          <t>徐靖詠Jenny</t>
        </is>
      </c>
      <c r="O213" t="inlineStr">
        <is>
          <t>台北市信義區松德路159號16樓之1</t>
        </is>
      </c>
      <c r="P213" t="inlineStr">
        <is>
          <t>Jenny.hsu@LnData.com，可收電子發票</t>
        </is>
      </c>
      <c r="Q213" t="inlineStr">
        <is>
          <t>02 23948800 #118</t>
        </is>
      </c>
      <c r="R213" t="inlineStr"/>
      <c r="S213" t="inlineStr">
        <is>
          <t>已收款</t>
        </is>
      </c>
      <c r="T213" t="inlineStr">
        <is>
          <t>全曜與麟數據合作電子發票數據採購專案費用2025第4期(共12期)，申請開立發票。
來源：訂閱型發票及收款紀錄 第 219 列</t>
        </is>
      </c>
      <c r="U213" t="inlineStr">
        <is>
          <t>收到發票後45天</t>
        </is>
      </c>
      <c r="V213" t="inlineStr">
        <is>
          <t>2026-05-18</t>
        </is>
      </c>
    </row>
    <row r="214">
      <c r="A214" t="inlineStr">
        <is>
          <t>inv_c10b2dd71fc1</t>
        </is>
      </c>
      <c r="B214" t="inlineStr">
        <is>
          <t>許瀞鍶</t>
        </is>
      </c>
      <c r="C214" t="inlineStr">
        <is>
          <t>2026-03-02</t>
        </is>
      </c>
      <c r="D214" t="inlineStr">
        <is>
          <t>2844624</t>
        </is>
      </c>
      <c r="E214" t="inlineStr">
        <is>
          <t>2025-11-01 00:00:00</t>
        </is>
      </c>
      <c r="F214" t="inlineStr">
        <is>
          <t>2025-11-15</t>
        </is>
      </c>
      <c r="G214" t="inlineStr"/>
      <c r="H214" t="inlineStr">
        <is>
          <t>cus_ea78377525ac</t>
        </is>
      </c>
      <c r="I214" t="inlineStr">
        <is>
          <t>麟數據科技股份有限公司</t>
        </is>
      </c>
      <c r="J214" t="inlineStr">
        <is>
          <t>42840667</t>
        </is>
      </c>
      <c r="K214" t="n">
        <v>125000</v>
      </c>
      <c r="L214" t="n">
        <v>131250</v>
      </c>
      <c r="M214" t="inlineStr">
        <is>
          <t>數據收益</t>
        </is>
      </c>
      <c r="N214" t="inlineStr">
        <is>
          <t>徐靖詠Jenny</t>
        </is>
      </c>
      <c r="O214" t="inlineStr">
        <is>
          <t>台北市信義區松德路159號16樓之1</t>
        </is>
      </c>
      <c r="P214" t="inlineStr">
        <is>
          <t>Jenny.hsu@LnData.com，可收電子發票</t>
        </is>
      </c>
      <c r="Q214" t="inlineStr">
        <is>
          <t>02 23948800 #118</t>
        </is>
      </c>
      <c r="R214" t="inlineStr"/>
      <c r="S214" t="inlineStr">
        <is>
          <t>已收款</t>
        </is>
      </c>
      <c r="T214" t="inlineStr">
        <is>
          <t>全曜與麟數據合作電子發票數據採購專案費用2025第5期(共12期)，申請開立發票。
來源：訂閱型發票及收款紀錄 第 220 列</t>
        </is>
      </c>
      <c r="U214" t="inlineStr">
        <is>
          <t>收到發票後45天</t>
        </is>
      </c>
      <c r="V214" t="inlineStr">
        <is>
          <t>2026-05-18</t>
        </is>
      </c>
    </row>
    <row r="215">
      <c r="A215" t="inlineStr">
        <is>
          <t>inv_eb67e31220d3</t>
        </is>
      </c>
      <c r="B215" t="inlineStr">
        <is>
          <t>許瀞鍶</t>
        </is>
      </c>
      <c r="C215" t="inlineStr">
        <is>
          <t>2026-03-30</t>
        </is>
      </c>
      <c r="D215" t="inlineStr">
        <is>
          <t>2878210</t>
        </is>
      </c>
      <c r="E215" t="inlineStr">
        <is>
          <t>2025-12-01 00:00:00</t>
        </is>
      </c>
      <c r="F215" t="inlineStr">
        <is>
          <t>2025-12-15</t>
        </is>
      </c>
      <c r="G215" t="inlineStr"/>
      <c r="H215" t="inlineStr">
        <is>
          <t>cus_ea78377525ac</t>
        </is>
      </c>
      <c r="I215" t="inlineStr">
        <is>
          <t>麟數據科技股份有限公司</t>
        </is>
      </c>
      <c r="J215" t="inlineStr">
        <is>
          <t>42840667</t>
        </is>
      </c>
      <c r="K215" t="n">
        <v>125000</v>
      </c>
      <c r="L215" t="n">
        <v>131250</v>
      </c>
      <c r="M215" t="inlineStr">
        <is>
          <t>數據收益</t>
        </is>
      </c>
      <c r="N215" t="inlineStr">
        <is>
          <t>徐靖詠Jenny</t>
        </is>
      </c>
      <c r="O215" t="inlineStr">
        <is>
          <t>台北市信義區松德路159號16樓之1</t>
        </is>
      </c>
      <c r="P215" t="inlineStr">
        <is>
          <t>Jenny.hsu@LnData.com，可收電子發票</t>
        </is>
      </c>
      <c r="Q215" t="inlineStr">
        <is>
          <t>02 23948800 #118</t>
        </is>
      </c>
      <c r="R215" t="inlineStr"/>
      <c r="S215" t="inlineStr">
        <is>
          <t>已收款</t>
        </is>
      </c>
      <c r="T215" t="inlineStr">
        <is>
          <t>全曜與麟數據合作電子發票數據採購專案費用2025第6期(共12期)，申請開立發票。
來源：訂閱型發票及收款紀錄 第 221 列</t>
        </is>
      </c>
      <c r="U215" t="inlineStr">
        <is>
          <t>收到發票後45天</t>
        </is>
      </c>
      <c r="V215" t="inlineStr">
        <is>
          <t>2026-05-18</t>
        </is>
      </c>
    </row>
    <row r="216">
      <c r="A216" t="inlineStr">
        <is>
          <t>inv_419247f660f2</t>
        </is>
      </c>
      <c r="B216" t="inlineStr">
        <is>
          <t>許瀞鍶</t>
        </is>
      </c>
      <c r="C216" t="inlineStr">
        <is>
          <t>2026-04-30</t>
        </is>
      </c>
      <c r="D216" t="inlineStr">
        <is>
          <t>2916261</t>
        </is>
      </c>
      <c r="E216" t="inlineStr">
        <is>
          <t>2026-01-01 00:00:00</t>
        </is>
      </c>
      <c r="F216" t="inlineStr">
        <is>
          <t>2026-01-15</t>
        </is>
      </c>
      <c r="G216" t="inlineStr"/>
      <c r="H216" t="inlineStr">
        <is>
          <t>cus_ea78377525ac</t>
        </is>
      </c>
      <c r="I216" t="inlineStr">
        <is>
          <t>麟數據科技股份有限公司</t>
        </is>
      </c>
      <c r="J216" t="inlineStr">
        <is>
          <t>42840667</t>
        </is>
      </c>
      <c r="K216" t="n">
        <v>125000</v>
      </c>
      <c r="L216" t="n">
        <v>131250</v>
      </c>
      <c r="M216" t="inlineStr">
        <is>
          <t>數據收益</t>
        </is>
      </c>
      <c r="N216" t="inlineStr">
        <is>
          <t>徐靖詠Jenny</t>
        </is>
      </c>
      <c r="O216" t="inlineStr">
        <is>
          <t>台北市信義區松德路159號16樓之1</t>
        </is>
      </c>
      <c r="P216" t="inlineStr">
        <is>
          <t>Jenny.hsu@LnData.com，可收電子發票</t>
        </is>
      </c>
      <c r="Q216" t="inlineStr">
        <is>
          <t>02 23948800 #118</t>
        </is>
      </c>
      <c r="R216" t="inlineStr"/>
      <c r="S216" t="inlineStr">
        <is>
          <t>已收款</t>
        </is>
      </c>
      <c r="T216" t="inlineStr">
        <is>
          <t>全曜與麟數據合作電子發票數據採購專案費用2025第7期(共12期)，申請開立發票。
來源：訂閱型發票及收款紀錄 第 222 列</t>
        </is>
      </c>
      <c r="U216" t="inlineStr">
        <is>
          <t>收到發票後45天</t>
        </is>
      </c>
      <c r="V216" t="inlineStr">
        <is>
          <t>2026-05-18</t>
        </is>
      </c>
    </row>
    <row r="217">
      <c r="A217" t="inlineStr">
        <is>
          <t>inv_95a1d7fa659e</t>
        </is>
      </c>
      <c r="B217" t="inlineStr">
        <is>
          <t>許瀞鍶</t>
        </is>
      </c>
      <c r="C217" t="inlineStr"/>
      <c r="D217" t="inlineStr">
        <is>
          <t>2948530</t>
        </is>
      </c>
      <c r="E217" t="inlineStr">
        <is>
          <t>2026-02-01 00:00:00</t>
        </is>
      </c>
      <c r="F217" t="inlineStr">
        <is>
          <t>2026-02-10</t>
        </is>
      </c>
      <c r="G217" t="inlineStr"/>
      <c r="H217" t="inlineStr">
        <is>
          <t>cus_ea78377525ac</t>
        </is>
      </c>
      <c r="I217" t="inlineStr">
        <is>
          <t>麟數據科技股份有限公司</t>
        </is>
      </c>
      <c r="J217" t="inlineStr">
        <is>
          <t>42840667</t>
        </is>
      </c>
      <c r="K217" t="n">
        <v>125000</v>
      </c>
      <c r="L217" t="n">
        <v>131250</v>
      </c>
      <c r="M217" t="inlineStr">
        <is>
          <t>數據收益</t>
        </is>
      </c>
      <c r="N217" t="inlineStr">
        <is>
          <t>徐靖詠Jenny</t>
        </is>
      </c>
      <c r="O217" t="inlineStr">
        <is>
          <t>台北市信義區松德路159號16樓之1</t>
        </is>
      </c>
      <c r="P217" t="inlineStr">
        <is>
          <t>Jenny.hsu@LnData.com，可收電子發票</t>
        </is>
      </c>
      <c r="Q217" t="inlineStr">
        <is>
          <t>02 23948800 #118</t>
        </is>
      </c>
      <c r="R217" t="inlineStr"/>
      <c r="S217" t="inlineStr">
        <is>
          <t>未收款</t>
        </is>
      </c>
      <c r="T217" t="inlineStr">
        <is>
          <t>全曜與麟數據合作電子發票數據採購專案費用2025第8期(共12期)，申請開立發票。
來源：訂閱型發票及收款紀錄 第 223 列</t>
        </is>
      </c>
      <c r="U217" t="inlineStr">
        <is>
          <t>收到發票後45天</t>
        </is>
      </c>
      <c r="V217" t="inlineStr">
        <is>
          <t>2026-05-18</t>
        </is>
      </c>
    </row>
    <row r="218">
      <c r="A218" t="inlineStr">
        <is>
          <t>inv_6adb7ce81e25</t>
        </is>
      </c>
      <c r="B218" t="inlineStr">
        <is>
          <t>許瀞鍶</t>
        </is>
      </c>
      <c r="C218" t="inlineStr"/>
      <c r="D218" t="inlineStr">
        <is>
          <t>2978928</t>
        </is>
      </c>
      <c r="E218" t="inlineStr">
        <is>
          <t>2026-03-01 00:00:00</t>
        </is>
      </c>
      <c r="F218" t="inlineStr">
        <is>
          <t>2026-03-13</t>
        </is>
      </c>
      <c r="G218" t="inlineStr"/>
      <c r="H218" t="inlineStr">
        <is>
          <t>cus_ea78377525ac</t>
        </is>
      </c>
      <c r="I218" t="inlineStr">
        <is>
          <t>麟數據科技股份有限公司</t>
        </is>
      </c>
      <c r="J218" t="inlineStr">
        <is>
          <t>42840667</t>
        </is>
      </c>
      <c r="K218" t="n">
        <v>125000</v>
      </c>
      <c r="L218" t="n">
        <v>131250</v>
      </c>
      <c r="M218" t="inlineStr">
        <is>
          <t>數據收益</t>
        </is>
      </c>
      <c r="N218" t="inlineStr">
        <is>
          <t>Hannah Su</t>
        </is>
      </c>
      <c r="O218" t="inlineStr">
        <is>
          <t>台北市信義區松德路159號16樓之1</t>
        </is>
      </c>
      <c r="P218" t="inlineStr">
        <is>
          <t>hannah.su@lndata.com</t>
        </is>
      </c>
      <c r="Q218" t="inlineStr">
        <is>
          <t>02 23948800 #118</t>
        </is>
      </c>
      <c r="R218" t="inlineStr"/>
      <c r="S218" t="inlineStr">
        <is>
          <t>未收款</t>
        </is>
      </c>
      <c r="T218" t="inlineStr">
        <is>
          <t>全曜與麟數據合作電子發票數據採購專案費用2025第9期(共12期)，申請開立發票。
來源：訂閱型發票及收款紀錄 第 224 列</t>
        </is>
      </c>
      <c r="U218" t="inlineStr">
        <is>
          <t>收到發票後45天</t>
        </is>
      </c>
      <c r="V218" t="inlineStr">
        <is>
          <t>2026-05-18</t>
        </is>
      </c>
    </row>
    <row r="219">
      <c r="A219" t="inlineStr">
        <is>
          <t>inv_8f87692cc91e</t>
        </is>
      </c>
      <c r="B219" t="inlineStr">
        <is>
          <t>Cobi</t>
        </is>
      </c>
      <c r="C219" t="inlineStr"/>
      <c r="D219" t="inlineStr">
        <is>
          <t>B01201</t>
        </is>
      </c>
      <c r="E219" t="inlineStr">
        <is>
          <t>2026-04-01 00:00:00</t>
        </is>
      </c>
      <c r="F219" t="inlineStr">
        <is>
          <t>2026-04-15</t>
        </is>
      </c>
      <c r="G219" t="inlineStr">
        <is>
          <t>ZA96391408</t>
        </is>
      </c>
      <c r="H219" t="inlineStr">
        <is>
          <t>cus_ea78377525ac</t>
        </is>
      </c>
      <c r="I219" t="inlineStr">
        <is>
          <t>麟數據科技股份有限公司</t>
        </is>
      </c>
      <c r="J219" t="inlineStr">
        <is>
          <t>42840667</t>
        </is>
      </c>
      <c r="K219" t="n">
        <v>125000</v>
      </c>
      <c r="L219" t="n">
        <v>131250</v>
      </c>
      <c r="M219" t="inlineStr">
        <is>
          <t>數據收益</t>
        </is>
      </c>
      <c r="N219" t="inlineStr">
        <is>
          <t>Hannah Su</t>
        </is>
      </c>
      <c r="O219" t="inlineStr">
        <is>
          <t>台北市信義區松德路159號16樓之1</t>
        </is>
      </c>
      <c r="P219" t="inlineStr">
        <is>
          <t>hannah.su@lndata.com</t>
        </is>
      </c>
      <c r="Q219" t="inlineStr">
        <is>
          <t>02 23948800 #118</t>
        </is>
      </c>
      <c r="R219" t="inlineStr"/>
      <c r="S219" t="inlineStr">
        <is>
          <t>未收款</t>
        </is>
      </c>
      <c r="T219" t="inlineStr">
        <is>
          <t>全曜與麟數據合作電子發票數據採購專案費用2025第10期(共12期)，申請開立發票。
來源：訂閱型發票及收款紀錄 第 225 列</t>
        </is>
      </c>
      <c r="U219" t="inlineStr">
        <is>
          <t>收到發票後45天</t>
        </is>
      </c>
      <c r="V219" t="inlineStr">
        <is>
          <t>2026-05-18</t>
        </is>
      </c>
    </row>
    <row r="220">
      <c r="A220" t="inlineStr">
        <is>
          <t>inv_0396b9b48fc5</t>
        </is>
      </c>
      <c r="B220" t="inlineStr">
        <is>
          <t>Cobi</t>
        </is>
      </c>
      <c r="C220" t="inlineStr"/>
      <c r="D220" t="inlineStr"/>
      <c r="E220" t="inlineStr">
        <is>
          <t>2026-05-01 00:00:00</t>
        </is>
      </c>
      <c r="F220" t="inlineStr"/>
      <c r="G220" t="inlineStr"/>
      <c r="H220" t="inlineStr">
        <is>
          <t>cus_ea78377525ac</t>
        </is>
      </c>
      <c r="I220" t="inlineStr">
        <is>
          <t>麟數據科技股份有限公司</t>
        </is>
      </c>
      <c r="J220" t="inlineStr">
        <is>
          <t>42840667</t>
        </is>
      </c>
      <c r="K220" t="n">
        <v>125000</v>
      </c>
      <c r="L220" t="n">
        <v>131250</v>
      </c>
      <c r="M220" t="inlineStr">
        <is>
          <t>數據收益</t>
        </is>
      </c>
      <c r="N220" t="inlineStr">
        <is>
          <t>Hannah Su</t>
        </is>
      </c>
      <c r="O220" t="inlineStr">
        <is>
          <t>台北市信義區松德路159號16樓之1</t>
        </is>
      </c>
      <c r="P220" t="inlineStr">
        <is>
          <t>hannah.su@lndata.com</t>
        </is>
      </c>
      <c r="Q220" t="inlineStr">
        <is>
          <t>02 23948800 #118</t>
        </is>
      </c>
      <c r="R220" t="inlineStr"/>
      <c r="S220" t="inlineStr">
        <is>
          <t>未收款</t>
        </is>
      </c>
      <c r="T220" t="inlineStr">
        <is>
          <t>全曜與麟數據合作電子發票數據採購專案費用2025第11期(共12期)，申請開立發票。
來源：訂閱型發票及收款紀錄 第 226 列</t>
        </is>
      </c>
      <c r="U220" t="inlineStr">
        <is>
          <t>收到發票後45天</t>
        </is>
      </c>
      <c r="V220" t="inlineStr">
        <is>
          <t>2026-05-18</t>
        </is>
      </c>
    </row>
    <row r="221">
      <c r="A221" t="inlineStr">
        <is>
          <t>inv_3a25e7185bb4</t>
        </is>
      </c>
      <c r="B221" t="inlineStr">
        <is>
          <t>Cobi</t>
        </is>
      </c>
      <c r="C221" t="inlineStr"/>
      <c r="D221" t="inlineStr"/>
      <c r="E221" t="inlineStr">
        <is>
          <t>2026-06-01 00:00:00</t>
        </is>
      </c>
      <c r="F221" t="inlineStr"/>
      <c r="G221" t="inlineStr"/>
      <c r="H221" t="inlineStr">
        <is>
          <t>cus_ea78377525ac</t>
        </is>
      </c>
      <c r="I221" t="inlineStr">
        <is>
          <t>麟數據科技股份有限公司</t>
        </is>
      </c>
      <c r="J221" t="inlineStr">
        <is>
          <t>42840667</t>
        </is>
      </c>
      <c r="K221" t="n">
        <v>125000</v>
      </c>
      <c r="L221" t="n">
        <v>131250</v>
      </c>
      <c r="M221" t="inlineStr">
        <is>
          <t>數據收益</t>
        </is>
      </c>
      <c r="N221" t="inlineStr">
        <is>
          <t>Hannah Su</t>
        </is>
      </c>
      <c r="O221" t="inlineStr">
        <is>
          <t>台北市信義區松德路159號16樓之1</t>
        </is>
      </c>
      <c r="P221" t="inlineStr">
        <is>
          <t>hannah.su@lndata.com</t>
        </is>
      </c>
      <c r="Q221" t="inlineStr">
        <is>
          <t>02 23948800 #118</t>
        </is>
      </c>
      <c r="R221" t="inlineStr"/>
      <c r="S221" t="inlineStr">
        <is>
          <t>未收款</t>
        </is>
      </c>
      <c r="T221" t="inlineStr">
        <is>
          <t>全曜與麟數據合作電子發票數據採購專案費用2025第12期(共12期)，申請開立發票。
來源：訂閱型發票及收款紀錄 第 227 列</t>
        </is>
      </c>
      <c r="U221" t="inlineStr">
        <is>
          <t>收到發票後45天</t>
        </is>
      </c>
      <c r="V221" t="inlineStr">
        <is>
          <t>2026-05-18</t>
        </is>
      </c>
    </row>
    <row r="222">
      <c r="A222" t="inlineStr">
        <is>
          <t>inv_33b253bcdfe0</t>
        </is>
      </c>
      <c r="B222" t="inlineStr">
        <is>
          <t>Cobi</t>
        </is>
      </c>
      <c r="C222" t="inlineStr">
        <is>
          <t>2024-11-29</t>
        </is>
      </c>
      <c r="D222" t="inlineStr">
        <is>
          <t>2380231</t>
        </is>
      </c>
      <c r="E222" t="inlineStr">
        <is>
          <t>2024-08-01 00:00:00</t>
        </is>
      </c>
      <c r="F222" t="inlineStr">
        <is>
          <t>2024-09-25</t>
        </is>
      </c>
      <c r="G222" t="inlineStr">
        <is>
          <t>FB03669196</t>
        </is>
      </c>
      <c r="H222" t="inlineStr">
        <is>
          <t>cus_728435a6d937</t>
        </is>
      </c>
      <c r="I222" t="inlineStr">
        <is>
          <t>果實夥伴股份有限公司</t>
        </is>
      </c>
      <c r="J222" t="inlineStr">
        <is>
          <t>24482512</t>
        </is>
      </c>
      <c r="K222" t="n">
        <v>400000</v>
      </c>
      <c r="L222" t="n">
        <v>420000</v>
      </c>
      <c r="M222" t="inlineStr">
        <is>
          <t>數據收益</t>
        </is>
      </c>
      <c r="N222" t="inlineStr">
        <is>
          <t>Emma Wang</t>
        </is>
      </c>
      <c r="O222" t="inlineStr">
        <is>
          <t>台北市內湖區瑞光路610號2樓</t>
        </is>
      </c>
      <c r="P222" t="inlineStr">
        <is>
          <t>emmawang@onead.com.tw</t>
        </is>
      </c>
      <c r="Q222" t="inlineStr">
        <is>
          <t>(02)7720-2880 #252</t>
        </is>
      </c>
      <c r="R222" t="inlineStr"/>
      <c r="S222" t="inlineStr">
        <is>
          <t>已收款</t>
        </is>
      </c>
      <c r="T222" t="inlineStr">
        <is>
          <t>全曜與OneAD合作電子發票數據採購專案費用2024第1期8-10月數據(共4期)，申請開立發票。
來源：訂閱型發票及收款紀錄 第 230 列</t>
        </is>
      </c>
      <c r="U222" t="inlineStr">
        <is>
          <t>收到發票後45天</t>
        </is>
      </c>
      <c r="V222" t="inlineStr">
        <is>
          <t>2026-05-18</t>
        </is>
      </c>
    </row>
    <row r="223">
      <c r="A223" t="inlineStr">
        <is>
          <t>inv_94d947d234bd</t>
        </is>
      </c>
      <c r="B223" t="inlineStr">
        <is>
          <t>Cobi</t>
        </is>
      </c>
      <c r="C223" t="inlineStr">
        <is>
          <t>2024-12-31</t>
        </is>
      </c>
      <c r="D223" t="inlineStr">
        <is>
          <t>2438784</t>
        </is>
      </c>
      <c r="E223" t="inlineStr">
        <is>
          <t>2024-11-01 00:00:00</t>
        </is>
      </c>
      <c r="F223" t="inlineStr">
        <is>
          <t>2024-11-15</t>
        </is>
      </c>
      <c r="G223" t="inlineStr">
        <is>
          <t>HA03664251</t>
        </is>
      </c>
      <c r="H223" t="inlineStr">
        <is>
          <t>cus_728435a6d937</t>
        </is>
      </c>
      <c r="I223" t="inlineStr">
        <is>
          <t>果實夥伴股份有限公司</t>
        </is>
      </c>
      <c r="J223" t="inlineStr">
        <is>
          <t>24482512</t>
        </is>
      </c>
      <c r="K223" t="n">
        <v>400000</v>
      </c>
      <c r="L223" t="n">
        <v>420000</v>
      </c>
      <c r="M223" t="inlineStr">
        <is>
          <t>數據收益</t>
        </is>
      </c>
      <c r="N223" t="inlineStr">
        <is>
          <t>Emma Wang</t>
        </is>
      </c>
      <c r="O223" t="inlineStr">
        <is>
          <t>台北市內湖區瑞光路610號2樓</t>
        </is>
      </c>
      <c r="P223" t="inlineStr">
        <is>
          <t>emmawang@onead.com.tw</t>
        </is>
      </c>
      <c r="Q223" t="inlineStr">
        <is>
          <t>(02)7720-2880 #252</t>
        </is>
      </c>
      <c r="R223" t="inlineStr"/>
      <c r="S223" t="inlineStr">
        <is>
          <t>已收款</t>
        </is>
      </c>
      <c r="T223" t="inlineStr">
        <is>
          <t>全曜與OneAD合作電子發票數據採購專案費用2024第2期11-1月數據(共4期)，申請開立發票。
來源：訂閱型發票及收款紀錄 第 231 列</t>
        </is>
      </c>
      <c r="U223" t="inlineStr">
        <is>
          <t>收到發票後45天</t>
        </is>
      </c>
      <c r="V223" t="inlineStr">
        <is>
          <t>2026-05-18</t>
        </is>
      </c>
    </row>
    <row r="224">
      <c r="A224" t="inlineStr">
        <is>
          <t>inv_d618eb94f76e</t>
        </is>
      </c>
      <c r="B224" t="inlineStr">
        <is>
          <t>Cobi</t>
        </is>
      </c>
      <c r="C224" t="inlineStr">
        <is>
          <t>2025-03-31</t>
        </is>
      </c>
      <c r="D224" t="inlineStr">
        <is>
          <t>2533819</t>
        </is>
      </c>
      <c r="E224" t="inlineStr">
        <is>
          <t>2025-02-01 00:00:00</t>
        </is>
      </c>
      <c r="F224" t="inlineStr">
        <is>
          <t>2025-02-14</t>
        </is>
      </c>
      <c r="G224" t="inlineStr">
        <is>
          <t>JY43863215</t>
        </is>
      </c>
      <c r="H224" t="inlineStr">
        <is>
          <t>cus_728435a6d937</t>
        </is>
      </c>
      <c r="I224" t="inlineStr">
        <is>
          <t>果實夥伴股份有限公司</t>
        </is>
      </c>
      <c r="J224" t="inlineStr">
        <is>
          <t>24482512</t>
        </is>
      </c>
      <c r="K224" t="n">
        <v>400000</v>
      </c>
      <c r="L224" t="n">
        <v>420000</v>
      </c>
      <c r="M224" t="inlineStr">
        <is>
          <t>數據收益</t>
        </is>
      </c>
      <c r="N224" t="inlineStr">
        <is>
          <t>Emma Wang</t>
        </is>
      </c>
      <c r="O224" t="inlineStr">
        <is>
          <t>台北市內湖區瑞光路610號2樓</t>
        </is>
      </c>
      <c r="P224" t="inlineStr">
        <is>
          <t>emmawang@onead.com.tw</t>
        </is>
      </c>
      <c r="Q224" t="inlineStr">
        <is>
          <t>(02)7720-2880 #252</t>
        </is>
      </c>
      <c r="R224" t="inlineStr"/>
      <c r="S224" t="inlineStr">
        <is>
          <t>已收款</t>
        </is>
      </c>
      <c r="T224" t="inlineStr">
        <is>
          <t>全曜與OneAD合作電子發票數據採購專案費用2024第3期2-4月數據(共4期)，申請開立發票。
來源：訂閱型發票及收款紀錄 第 232 列</t>
        </is>
      </c>
      <c r="U224" t="inlineStr">
        <is>
          <t>收到發票後45天</t>
        </is>
      </c>
      <c r="V224" t="inlineStr">
        <is>
          <t>2026-05-18</t>
        </is>
      </c>
    </row>
    <row r="225">
      <c r="A225" t="inlineStr">
        <is>
          <t>inv_21a0e2f1107e</t>
        </is>
      </c>
      <c r="B225" t="inlineStr">
        <is>
          <t>Cobi</t>
        </is>
      </c>
      <c r="C225" t="inlineStr">
        <is>
          <t>2025-07-31</t>
        </is>
      </c>
      <c r="D225" t="inlineStr">
        <is>
          <t>2627673</t>
        </is>
      </c>
      <c r="E225" t="inlineStr">
        <is>
          <t>2025-05-01 00:00:00</t>
        </is>
      </c>
      <c r="F225" t="inlineStr">
        <is>
          <t>2025-05-15</t>
        </is>
      </c>
      <c r="G225" t="inlineStr">
        <is>
          <t>NY43836279</t>
        </is>
      </c>
      <c r="H225" t="inlineStr">
        <is>
          <t>cus_728435a6d937</t>
        </is>
      </c>
      <c r="I225" t="inlineStr">
        <is>
          <t>果實夥伴股份有限公司</t>
        </is>
      </c>
      <c r="J225" t="inlineStr">
        <is>
          <t>24482512</t>
        </is>
      </c>
      <c r="K225" t="n">
        <v>400000</v>
      </c>
      <c r="L225" t="n">
        <v>420000</v>
      </c>
      <c r="M225" t="inlineStr">
        <is>
          <t>數據收益</t>
        </is>
      </c>
      <c r="N225" t="inlineStr">
        <is>
          <t>Emma Wang</t>
        </is>
      </c>
      <c r="O225" t="inlineStr">
        <is>
          <t>台北市內湖區瑞光路610號2樓</t>
        </is>
      </c>
      <c r="P225" t="inlineStr">
        <is>
          <t>emmawang@onead.com.tw</t>
        </is>
      </c>
      <c r="Q225" t="inlineStr">
        <is>
          <t>(02)7720-2880 #252</t>
        </is>
      </c>
      <c r="R225" t="inlineStr"/>
      <c r="S225" t="inlineStr">
        <is>
          <t>已收款</t>
        </is>
      </c>
      <c r="T225" t="inlineStr">
        <is>
          <t>全曜與OneAD合作電子發票數據採購專案費用2024第4期5-7月數據(共4期)，申請開立發票。
來源：訂閱型發票及收款紀錄 第 233 列</t>
        </is>
      </c>
      <c r="U225" t="inlineStr">
        <is>
          <t>收到發票後45天</t>
        </is>
      </c>
      <c r="V225" t="inlineStr">
        <is>
          <t>2026-05-18</t>
        </is>
      </c>
    </row>
    <row r="226">
      <c r="A226" t="inlineStr">
        <is>
          <t>inv_a01a9d466756</t>
        </is>
      </c>
      <c r="B226" t="inlineStr">
        <is>
          <t>許瀞鍶</t>
        </is>
      </c>
      <c r="C226" t="inlineStr">
        <is>
          <t>2025-12-31</t>
        </is>
      </c>
      <c r="D226" t="inlineStr">
        <is>
          <t>2806652</t>
        </is>
      </c>
      <c r="E226" t="inlineStr">
        <is>
          <t>2025-10-01 00:00:00</t>
        </is>
      </c>
      <c r="F226" t="inlineStr">
        <is>
          <t>2025-10-15</t>
        </is>
      </c>
      <c r="G226" t="inlineStr"/>
      <c r="H226" t="inlineStr">
        <is>
          <t>cus_728435a6d937</t>
        </is>
      </c>
      <c r="I226" t="inlineStr">
        <is>
          <t>果實夥伴股份有限公司</t>
        </is>
      </c>
      <c r="J226" t="inlineStr">
        <is>
          <t>24482512</t>
        </is>
      </c>
      <c r="K226" t="n">
        <v>571429</v>
      </c>
      <c r="L226" t="n">
        <v>600000</v>
      </c>
      <c r="M226" t="inlineStr">
        <is>
          <t>數據收益</t>
        </is>
      </c>
      <c r="N226" t="inlineStr">
        <is>
          <t>Emma Wang</t>
        </is>
      </c>
      <c r="O226" t="inlineStr">
        <is>
          <t>台北市內湖區瑞光路610號2樓</t>
        </is>
      </c>
      <c r="P226" t="inlineStr">
        <is>
          <t>emmawang@onead.com.tw</t>
        </is>
      </c>
      <c r="Q226" t="inlineStr">
        <is>
          <t>(02)7720-2880 #252</t>
        </is>
      </c>
      <c r="R226" t="inlineStr"/>
      <c r="S226" t="inlineStr">
        <is>
          <t>已收款</t>
        </is>
      </c>
      <c r="T226" t="inlineStr">
        <is>
          <t>全曜與OneAD合作電子發票數據採購專案費用2025第1期8-10月數據(共4期)，申請開立發票。
八月因尚未續約，但仍有給數據，發票開立至10月
來源：訂閱型發票及收款紀錄 第 234 列</t>
        </is>
      </c>
      <c r="U226" t="inlineStr">
        <is>
          <t>收到發票後45天</t>
        </is>
      </c>
      <c r="V226" t="inlineStr">
        <is>
          <t>2026-05-18</t>
        </is>
      </c>
    </row>
    <row r="227">
      <c r="A227" t="inlineStr">
        <is>
          <t>inv_f89427587e72</t>
        </is>
      </c>
      <c r="B227" t="inlineStr">
        <is>
          <t>許瀞鍶</t>
        </is>
      </c>
      <c r="C227" t="inlineStr">
        <is>
          <t>11/18作廢</t>
        </is>
      </c>
      <c r="D227" t="inlineStr">
        <is>
          <t>2844625</t>
        </is>
      </c>
      <c r="E227" t="inlineStr">
        <is>
          <t>2025-11-01 00:00:00</t>
        </is>
      </c>
      <c r="F227" t="inlineStr">
        <is>
          <t>2025-11-15</t>
        </is>
      </c>
      <c r="G227" t="inlineStr"/>
      <c r="H227" t="inlineStr">
        <is>
          <t>cus_728435a6d937</t>
        </is>
      </c>
      <c r="I227" t="inlineStr">
        <is>
          <t>果實夥伴股份有限公司</t>
        </is>
      </c>
      <c r="J227" t="inlineStr">
        <is>
          <t>24482512</t>
        </is>
      </c>
      <c r="K227" t="n">
        <v>571429</v>
      </c>
      <c r="L227" t="n">
        <v>600000</v>
      </c>
      <c r="M227" t="inlineStr">
        <is>
          <t>數據收益</t>
        </is>
      </c>
      <c r="N227" t="inlineStr">
        <is>
          <t>Emma Wang</t>
        </is>
      </c>
      <c r="O227" t="inlineStr">
        <is>
          <t>台北市內湖區瑞光路610號2樓</t>
        </is>
      </c>
      <c r="P227" t="inlineStr">
        <is>
          <t>emmawang@onead.com.tw</t>
        </is>
      </c>
      <c r="Q227" t="inlineStr">
        <is>
          <t>(02)7720-2880 #252</t>
        </is>
      </c>
      <c r="R227" t="inlineStr"/>
      <c r="S227" t="inlineStr">
        <is>
          <t>已收款</t>
        </is>
      </c>
      <c r="T227" t="inlineStr">
        <is>
          <t>2025第2期8-10月數據(共4期)
來源：訂閱型發票及收款紀錄 第 235 列</t>
        </is>
      </c>
      <c r="U227" t="inlineStr">
        <is>
          <t>收到發票後45天</t>
        </is>
      </c>
      <c r="V227" t="inlineStr">
        <is>
          <t>2026-05-18</t>
        </is>
      </c>
    </row>
    <row r="228">
      <c r="A228" t="inlineStr">
        <is>
          <t>inv_94cad18f419f</t>
        </is>
      </c>
      <c r="B228" t="inlineStr">
        <is>
          <t>許瀞鍶</t>
        </is>
      </c>
      <c r="C228" t="inlineStr">
        <is>
          <t>2025-12-31</t>
        </is>
      </c>
      <c r="D228" t="inlineStr">
        <is>
          <t>2855546</t>
        </is>
      </c>
      <c r="E228" t="inlineStr">
        <is>
          <t>2025-11-01 00:00:00</t>
        </is>
      </c>
      <c r="F228" t="inlineStr">
        <is>
          <t>2025-11-24</t>
        </is>
      </c>
      <c r="G228" t="inlineStr"/>
      <c r="H228" t="inlineStr">
        <is>
          <t>cus_728435a6d937</t>
        </is>
      </c>
      <c r="I228" t="inlineStr">
        <is>
          <t>果實夥伴股份有限公司</t>
        </is>
      </c>
      <c r="J228" t="inlineStr">
        <is>
          <t>24482512</t>
        </is>
      </c>
      <c r="K228" t="n">
        <v>28571</v>
      </c>
      <c r="L228" t="n">
        <v>30000</v>
      </c>
      <c r="M228" t="inlineStr">
        <is>
          <t>數據收益</t>
        </is>
      </c>
      <c r="N228" t="inlineStr">
        <is>
          <t>Emma Wang</t>
        </is>
      </c>
      <c r="O228" t="inlineStr">
        <is>
          <t>台北市內湖區瑞光路610號2樓</t>
        </is>
      </c>
      <c r="P228" t="inlineStr">
        <is>
          <t>emmawang@onead.com.tw</t>
        </is>
      </c>
      <c r="Q228" t="inlineStr">
        <is>
          <t>(02)7720-2880 #252</t>
        </is>
      </c>
      <c r="R228" t="inlineStr"/>
      <c r="S228" t="inlineStr">
        <is>
          <t>已收款</t>
        </is>
      </c>
      <c r="T228" t="inlineStr">
        <is>
          <t>2025第1期8-10月數據(共4期)，申請開立發票，補差額
來源：訂閱型發票及收款紀錄 第 236 列</t>
        </is>
      </c>
      <c r="U228" t="inlineStr">
        <is>
          <t>收到發票後45天</t>
        </is>
      </c>
      <c r="V228" t="inlineStr">
        <is>
          <t>2026-05-18</t>
        </is>
      </c>
    </row>
    <row r="229">
      <c r="A229" t="inlineStr">
        <is>
          <t>inv_bc166e643d3a</t>
        </is>
      </c>
      <c r="B229" t="inlineStr">
        <is>
          <t>許瀞鍶</t>
        </is>
      </c>
      <c r="C229" t="inlineStr"/>
      <c r="D229" t="inlineStr">
        <is>
          <t>2878211 (3/30折讓重開)</t>
        </is>
      </c>
      <c r="E229" t="inlineStr">
        <is>
          <t>2025-12-01 00:00:00</t>
        </is>
      </c>
      <c r="F229" t="inlineStr">
        <is>
          <t>2025-12-15</t>
        </is>
      </c>
      <c r="G229" t="inlineStr"/>
      <c r="H229" t="inlineStr">
        <is>
          <t>cus_728435a6d937</t>
        </is>
      </c>
      <c r="I229" t="inlineStr">
        <is>
          <t>果實夥伴股份有限公司</t>
        </is>
      </c>
      <c r="J229" t="inlineStr">
        <is>
          <t>24482512</t>
        </is>
      </c>
      <c r="K229" t="n">
        <v>0</v>
      </c>
      <c r="L229" t="n">
        <v>0</v>
      </c>
      <c r="M229" t="inlineStr">
        <is>
          <t>數據收益</t>
        </is>
      </c>
      <c r="N229" t="inlineStr">
        <is>
          <t>Emma Wang</t>
        </is>
      </c>
      <c r="O229" t="inlineStr">
        <is>
          <t>台北市內湖區瑞光路610號2樓</t>
        </is>
      </c>
      <c r="P229" t="inlineStr">
        <is>
          <t>emmawang@onead.com.tw</t>
        </is>
      </c>
      <c r="Q229" t="inlineStr">
        <is>
          <t>(02)7720-2880 #252</t>
        </is>
      </c>
      <c r="R229" t="inlineStr"/>
      <c r="S229" t="inlineStr">
        <is>
          <t>未收款</t>
        </is>
      </c>
      <c r="T229" t="inlineStr">
        <is>
          <t>2025第2期11-1月數據(共4期)
來源：訂閱型發票及收款紀錄 第 237 列</t>
        </is>
      </c>
      <c r="U229" t="inlineStr">
        <is>
          <t>收到發票後45天</t>
        </is>
      </c>
      <c r="V229" t="inlineStr">
        <is>
          <t>2026-05-18</t>
        </is>
      </c>
    </row>
    <row r="230">
      <c r="A230" t="inlineStr">
        <is>
          <t>inv_e3a8a9b3ec80</t>
        </is>
      </c>
      <c r="B230" t="inlineStr">
        <is>
          <t>許瀞鍶</t>
        </is>
      </c>
      <c r="C230" t="inlineStr">
        <is>
          <t>2026-04-30</t>
        </is>
      </c>
      <c r="D230" t="inlineStr">
        <is>
          <t>2978929</t>
        </is>
      </c>
      <c r="E230" t="inlineStr">
        <is>
          <t>2026-03-01 00:00:00</t>
        </is>
      </c>
      <c r="F230" t="inlineStr">
        <is>
          <t>2026-03-13</t>
        </is>
      </c>
      <c r="G230" t="inlineStr">
        <is>
          <t>ZA-96363037</t>
        </is>
      </c>
      <c r="H230" t="inlineStr">
        <is>
          <t>cus_728435a6d937</t>
        </is>
      </c>
      <c r="I230" t="inlineStr">
        <is>
          <t>果實夥伴股份有限公司</t>
        </is>
      </c>
      <c r="J230" t="inlineStr">
        <is>
          <t>24482512</t>
        </is>
      </c>
      <c r="K230" t="n">
        <v>0</v>
      </c>
      <c r="L230" t="n">
        <v>0</v>
      </c>
      <c r="M230" t="inlineStr">
        <is>
          <t>數據收益</t>
        </is>
      </c>
      <c r="N230" t="inlineStr">
        <is>
          <t>Emma Wang</t>
        </is>
      </c>
      <c r="O230" t="inlineStr">
        <is>
          <t>台北市內湖區瑞光路610號2樓</t>
        </is>
      </c>
      <c r="P230" t="inlineStr">
        <is>
          <t>emmawang@onead.com.tw</t>
        </is>
      </c>
      <c r="Q230" t="inlineStr">
        <is>
          <t>(02)7720-2880 #252</t>
        </is>
      </c>
      <c r="R230" t="inlineStr"/>
      <c r="S230" t="inlineStr">
        <is>
          <t>已收款</t>
        </is>
      </c>
      <c r="T230" t="inlineStr">
        <is>
          <t>2025第3期2-4月數據(共4期)
來源：訂閱型發票及收款紀錄 第 238 列</t>
        </is>
      </c>
      <c r="U230" t="inlineStr">
        <is>
          <t>收到發票後45天</t>
        </is>
      </c>
      <c r="V230" t="inlineStr">
        <is>
          <t>2026-05-18</t>
        </is>
      </c>
    </row>
    <row r="231">
      <c r="A231" t="inlineStr">
        <is>
          <t>inv_a72b34590622</t>
        </is>
      </c>
      <c r="B231" t="inlineStr">
        <is>
          <t>許瀞鍶</t>
        </is>
      </c>
      <c r="C231" t="inlineStr">
        <is>
          <t>2026-04-30</t>
        </is>
      </c>
      <c r="D231" t="inlineStr">
        <is>
          <t>3006523</t>
        </is>
      </c>
      <c r="E231" t="inlineStr">
        <is>
          <t>2026-03-01 00:00:00</t>
        </is>
      </c>
      <c r="F231" t="inlineStr">
        <is>
          <t>2026-03-30</t>
        </is>
      </c>
      <c r="G231" t="inlineStr"/>
      <c r="H231" t="inlineStr">
        <is>
          <t>cus_728435a6d937</t>
        </is>
      </c>
      <c r="I231" t="inlineStr">
        <is>
          <t>果實夥伴股份有限公司</t>
        </is>
      </c>
      <c r="J231" t="inlineStr">
        <is>
          <t>24482512</t>
        </is>
      </c>
      <c r="K231" t="n">
        <v>0</v>
      </c>
      <c r="L231" t="n">
        <v>0</v>
      </c>
      <c r="M231" t="inlineStr">
        <is>
          <t>數據收益</t>
        </is>
      </c>
      <c r="N231" t="inlineStr">
        <is>
          <t>Emma Wang</t>
        </is>
      </c>
      <c r="O231" t="inlineStr">
        <is>
          <t>台北市內湖區瑞光路610號2樓</t>
        </is>
      </c>
      <c r="P231" t="inlineStr">
        <is>
          <t>emmawang@onead.com.tw</t>
        </is>
      </c>
      <c r="Q231" t="inlineStr">
        <is>
          <t>(02)7720-2880 #252</t>
        </is>
      </c>
      <c r="R231" t="inlineStr"/>
      <c r="S231" t="inlineStr">
        <is>
          <t>已收款</t>
        </is>
      </c>
      <c r="T231" t="inlineStr">
        <is>
          <t>2025第2期11-1月數據(共4期，重開)
來源：訂閱型發票及收款紀錄 第 239 列</t>
        </is>
      </c>
      <c r="U231" t="inlineStr">
        <is>
          <t>收到發票後45天</t>
        </is>
      </c>
      <c r="V231" t="inlineStr">
        <is>
          <t>2026-05-18</t>
        </is>
      </c>
    </row>
    <row r="232">
      <c r="A232" t="inlineStr">
        <is>
          <t>inv_020e59e72e75</t>
        </is>
      </c>
      <c r="B232" t="inlineStr">
        <is>
          <t>Kate</t>
        </is>
      </c>
      <c r="C232" t="inlineStr"/>
      <c r="D232" t="inlineStr"/>
      <c r="E232" t="inlineStr">
        <is>
          <t>2026-06-01 00:00:00</t>
        </is>
      </c>
      <c r="F232" t="inlineStr"/>
      <c r="G232" t="inlineStr"/>
      <c r="H232" t="inlineStr">
        <is>
          <t>cus_728435a6d937</t>
        </is>
      </c>
      <c r="I232" t="inlineStr">
        <is>
          <t>果實夥伴股份有限公司</t>
        </is>
      </c>
      <c r="J232" t="inlineStr">
        <is>
          <t>24482512</t>
        </is>
      </c>
      <c r="K232" t="n">
        <v>0</v>
      </c>
      <c r="L232" t="n">
        <v>0</v>
      </c>
      <c r="M232" t="inlineStr">
        <is>
          <t>數據收益</t>
        </is>
      </c>
      <c r="N232" t="inlineStr">
        <is>
          <t>Emma Wang</t>
        </is>
      </c>
      <c r="O232" t="inlineStr">
        <is>
          <t>台北市內湖區瑞光路610號2樓</t>
        </is>
      </c>
      <c r="P232" t="inlineStr">
        <is>
          <t>emmawang@onead.com.tw</t>
        </is>
      </c>
      <c r="Q232" t="inlineStr">
        <is>
          <t>(02)7720-2880 #252</t>
        </is>
      </c>
      <c r="R232" t="inlineStr"/>
      <c r="S232" t="inlineStr">
        <is>
          <t>未收款</t>
        </is>
      </c>
      <c r="T232" t="inlineStr">
        <is>
          <t>2025第4期5-7月數據(共4期)
來源：訂閱型發票及收款紀錄 第 240 列</t>
        </is>
      </c>
      <c r="U232" t="inlineStr">
        <is>
          <t>收到發票後45天</t>
        </is>
      </c>
      <c r="V232" t="inlineStr">
        <is>
          <t>2026-05-18</t>
        </is>
      </c>
    </row>
    <row r="233">
      <c r="A233" t="inlineStr">
        <is>
          <t>inv_1879c2efa214</t>
        </is>
      </c>
      <c r="B233" t="inlineStr">
        <is>
          <t>許瀞鍶</t>
        </is>
      </c>
      <c r="C233" t="inlineStr">
        <is>
          <t>2025-03-25</t>
        </is>
      </c>
      <c r="D233" t="inlineStr">
        <is>
          <t>2497804</t>
        </is>
      </c>
      <c r="E233" t="inlineStr">
        <is>
          <t>2025-01-01 00:00:00</t>
        </is>
      </c>
      <c r="F233" t="inlineStr">
        <is>
          <t>2025-01-10</t>
        </is>
      </c>
      <c r="G233" t="inlineStr">
        <is>
          <t>JY43830929</t>
        </is>
      </c>
      <c r="H233" t="inlineStr">
        <is>
          <t>cus_4351be6be044</t>
        </is>
      </c>
      <c r="I233" t="inlineStr">
        <is>
          <t>域動行銷股份有限公司</t>
        </is>
      </c>
      <c r="J233" t="inlineStr">
        <is>
          <t>24450379</t>
        </is>
      </c>
      <c r="K233" t="n">
        <v>0</v>
      </c>
      <c r="L233" t="n">
        <v>0</v>
      </c>
      <c r="M233" t="inlineStr">
        <is>
          <t>CRM報告</t>
        </is>
      </c>
      <c r="N233" t="inlineStr">
        <is>
          <t>趙威典</t>
        </is>
      </c>
      <c r="O233" t="inlineStr">
        <is>
          <t>台北市松山區南京東三段 285 號 10 樓</t>
        </is>
      </c>
      <c r="P233" t="inlineStr">
        <is>
          <t>william.zhao@clickforce.com.tw</t>
        </is>
      </c>
      <c r="Q233" t="inlineStr">
        <is>
          <t>2719-8500 # 559</t>
        </is>
      </c>
      <c r="R233" t="inlineStr"/>
      <c r="S233" t="inlineStr">
        <is>
          <t>已收款</t>
        </is>
      </c>
      <c r="T233" t="inlineStr">
        <is>
          <t>160萬(年約分10期)，2025年第1期 (共10期)
來源：訂閱型發票及收款紀錄 第 244 列</t>
        </is>
      </c>
      <c r="U233" t="inlineStr">
        <is>
          <t>發票開立後60天</t>
        </is>
      </c>
      <c r="V233" t="inlineStr">
        <is>
          <t>2026-05-18</t>
        </is>
      </c>
    </row>
    <row r="234">
      <c r="A234" t="inlineStr">
        <is>
          <t>inv_28c09d120626</t>
        </is>
      </c>
      <c r="B234" t="inlineStr">
        <is>
          <t>許瀞鍶</t>
        </is>
      </c>
      <c r="C234" t="inlineStr">
        <is>
          <t>2025-03-25</t>
        </is>
      </c>
      <c r="D234" t="inlineStr">
        <is>
          <t>2529317</t>
        </is>
      </c>
      <c r="E234" t="inlineStr">
        <is>
          <t>2025-02-01 00:00:00</t>
        </is>
      </c>
      <c r="F234" t="inlineStr">
        <is>
          <t>2025-02-10</t>
        </is>
      </c>
      <c r="G234" t="inlineStr">
        <is>
          <t>JY43859136</t>
        </is>
      </c>
      <c r="H234" t="inlineStr">
        <is>
          <t>cus_4351be6be044</t>
        </is>
      </c>
      <c r="I234" t="inlineStr">
        <is>
          <t>域動行銷股份有限公司</t>
        </is>
      </c>
      <c r="J234" t="inlineStr">
        <is>
          <t>24450379</t>
        </is>
      </c>
      <c r="K234" t="n">
        <v>0</v>
      </c>
      <c r="L234" t="n">
        <v>0</v>
      </c>
      <c r="M234" t="inlineStr">
        <is>
          <t>CRM報告</t>
        </is>
      </c>
      <c r="N234" t="inlineStr">
        <is>
          <t>趙威典</t>
        </is>
      </c>
      <c r="O234" t="inlineStr">
        <is>
          <t>台北市松山區南京東三段 285 號 10 樓</t>
        </is>
      </c>
      <c r="P234" t="inlineStr">
        <is>
          <t>william.zhao@clickforce.com.tw</t>
        </is>
      </c>
      <c r="Q234" t="inlineStr">
        <is>
          <t>2719-8500 # 559</t>
        </is>
      </c>
      <c r="R234" t="inlineStr"/>
      <c r="S234" t="inlineStr">
        <is>
          <t>已收款</t>
        </is>
      </c>
      <c r="T234" t="inlineStr">
        <is>
          <t>160萬(年約分10期)，2025年第2期 (共10期)
來源：訂閱型發票及收款紀錄 第 245 列</t>
        </is>
      </c>
      <c r="U234" t="inlineStr">
        <is>
          <t>發票開立後60天</t>
        </is>
      </c>
      <c r="V234" t="inlineStr">
        <is>
          <t>2026-05-18</t>
        </is>
      </c>
    </row>
    <row r="235">
      <c r="A235" t="inlineStr">
        <is>
          <t>inv_7c9a022e2269</t>
        </is>
      </c>
      <c r="B235" t="inlineStr">
        <is>
          <t>許瀞鍶</t>
        </is>
      </c>
      <c r="C235" t="inlineStr">
        <is>
          <t>2025-04-25</t>
        </is>
      </c>
      <c r="D235" t="inlineStr">
        <is>
          <t>2559449</t>
        </is>
      </c>
      <c r="E235" t="inlineStr">
        <is>
          <t>2025-03-01 00:00:00</t>
        </is>
      </c>
      <c r="F235" t="inlineStr">
        <is>
          <t>2025-03-10</t>
        </is>
      </c>
      <c r="G235" t="inlineStr">
        <is>
          <t>LY43830128</t>
        </is>
      </c>
      <c r="H235" t="inlineStr">
        <is>
          <t>cus_4351be6be044</t>
        </is>
      </c>
      <c r="I235" t="inlineStr">
        <is>
          <t>域動行銷股份有限公司</t>
        </is>
      </c>
      <c r="J235" t="inlineStr">
        <is>
          <t>24450379</t>
        </is>
      </c>
      <c r="K235" t="n">
        <v>0</v>
      </c>
      <c r="L235" t="n">
        <v>0</v>
      </c>
      <c r="M235" t="inlineStr">
        <is>
          <t>CRM報告</t>
        </is>
      </c>
      <c r="N235" t="inlineStr">
        <is>
          <t>趙威典</t>
        </is>
      </c>
      <c r="O235" t="inlineStr">
        <is>
          <t>台北市松山區南京東三段 285 號 10 樓</t>
        </is>
      </c>
      <c r="P235" t="inlineStr">
        <is>
          <t>datateam@Clickforce.com.tw</t>
        </is>
      </c>
      <c r="Q235" t="inlineStr">
        <is>
          <t>2719-8500 # 559</t>
        </is>
      </c>
      <c r="R235" t="inlineStr"/>
      <c r="S235" t="inlineStr">
        <is>
          <t>已收款</t>
        </is>
      </c>
      <c r="T235" t="inlineStr">
        <is>
          <t>160萬(年約分10期)，2025年第3期 (共10期)
來源：訂閱型發票及收款紀錄 第 246 列</t>
        </is>
      </c>
      <c r="U235" t="inlineStr">
        <is>
          <t>發票開立後60天</t>
        </is>
      </c>
      <c r="V235" t="inlineStr">
        <is>
          <t>2026-05-18</t>
        </is>
      </c>
    </row>
    <row r="236">
      <c r="A236" t="inlineStr">
        <is>
          <t>inv_78d9df20252f</t>
        </is>
      </c>
      <c r="B236" t="inlineStr">
        <is>
          <t>許瀞鍶</t>
        </is>
      </c>
      <c r="C236" t="inlineStr">
        <is>
          <t>2025-05-23</t>
        </is>
      </c>
      <c r="D236" t="inlineStr">
        <is>
          <t>2589909</t>
        </is>
      </c>
      <c r="E236" t="inlineStr">
        <is>
          <t>2025-04-01 00:00:00</t>
        </is>
      </c>
      <c r="F236" t="inlineStr">
        <is>
          <t>2025-04-09</t>
        </is>
      </c>
      <c r="G236" t="inlineStr">
        <is>
          <t>LY43857864</t>
        </is>
      </c>
      <c r="H236" t="inlineStr">
        <is>
          <t>cus_4351be6be044</t>
        </is>
      </c>
      <c r="I236" t="inlineStr">
        <is>
          <t>域動行銷股份有限公司</t>
        </is>
      </c>
      <c r="J236" t="inlineStr">
        <is>
          <t>24450379</t>
        </is>
      </c>
      <c r="K236" t="n">
        <v>0</v>
      </c>
      <c r="L236" t="n">
        <v>0</v>
      </c>
      <c r="M236" t="inlineStr">
        <is>
          <t>CRM報告</t>
        </is>
      </c>
      <c r="N236" t="inlineStr">
        <is>
          <t>趙威典</t>
        </is>
      </c>
      <c r="O236" t="inlineStr">
        <is>
          <t>台北市松山區南京東三段 285 號 10 樓</t>
        </is>
      </c>
      <c r="P236" t="inlineStr">
        <is>
          <t>datateam@Clickforce.com.tw</t>
        </is>
      </c>
      <c r="Q236" t="inlineStr">
        <is>
          <t>2719-8500 # 559</t>
        </is>
      </c>
      <c r="R236" t="inlineStr"/>
      <c r="S236" t="inlineStr">
        <is>
          <t>已收款</t>
        </is>
      </c>
      <c r="T236" t="inlineStr">
        <is>
          <t>160萬(年約分10期)，2025年第4期 (共10期)
來源：訂閱型發票及收款紀錄 第 247 列</t>
        </is>
      </c>
      <c r="U236" t="inlineStr">
        <is>
          <t>發票開立後60天</t>
        </is>
      </c>
      <c r="V236" t="inlineStr">
        <is>
          <t>2026-05-18</t>
        </is>
      </c>
    </row>
    <row r="237">
      <c r="A237" t="inlineStr">
        <is>
          <t>inv_fc9837bb2f14</t>
        </is>
      </c>
      <c r="B237" t="inlineStr">
        <is>
          <t>許瀞鍶</t>
        </is>
      </c>
      <c r="C237" t="inlineStr">
        <is>
          <t>2025-06-25</t>
        </is>
      </c>
      <c r="D237" t="inlineStr">
        <is>
          <t>2620513</t>
        </is>
      </c>
      <c r="E237" t="inlineStr">
        <is>
          <t>2025-05-01 00:00:00</t>
        </is>
      </c>
      <c r="F237" t="inlineStr">
        <is>
          <t>2025-05-10</t>
        </is>
      </c>
      <c r="G237" t="inlineStr">
        <is>
          <t>NY43830504</t>
        </is>
      </c>
      <c r="H237" t="inlineStr">
        <is>
          <t>cus_4351be6be044</t>
        </is>
      </c>
      <c r="I237" t="inlineStr">
        <is>
          <t>域動行銷股份有限公司</t>
        </is>
      </c>
      <c r="J237" t="inlineStr">
        <is>
          <t>24450379</t>
        </is>
      </c>
      <c r="K237" t="n">
        <v>0</v>
      </c>
      <c r="L237" t="n">
        <v>0</v>
      </c>
      <c r="M237" t="inlineStr">
        <is>
          <t>CRM報告</t>
        </is>
      </c>
      <c r="N237" t="inlineStr">
        <is>
          <t>趙威典</t>
        </is>
      </c>
      <c r="O237" t="inlineStr">
        <is>
          <t>台北市松山區南京東三段 285 號 10 樓</t>
        </is>
      </c>
      <c r="P237" t="inlineStr">
        <is>
          <t>datateam@Clickforce.com.tw</t>
        </is>
      </c>
      <c r="Q237" t="inlineStr">
        <is>
          <t>2719-8500 # 559</t>
        </is>
      </c>
      <c r="R237" t="inlineStr"/>
      <c r="S237" t="inlineStr">
        <is>
          <t>已收款</t>
        </is>
      </c>
      <c r="T237" t="inlineStr">
        <is>
          <t>160萬(年約分10期)，2025年第5期 (共10期)
來源：訂閱型發票及收款紀錄 第 248 列</t>
        </is>
      </c>
      <c r="U237" t="inlineStr">
        <is>
          <t>發票開立後60天</t>
        </is>
      </c>
      <c r="V237" t="inlineStr">
        <is>
          <t>2026-05-18</t>
        </is>
      </c>
    </row>
    <row r="238">
      <c r="A238" t="inlineStr">
        <is>
          <t>inv_0b1c68f8f0a6</t>
        </is>
      </c>
      <c r="B238" t="inlineStr">
        <is>
          <t>許瀞鍶</t>
        </is>
      </c>
      <c r="C238" t="inlineStr">
        <is>
          <t>2025-07-25</t>
        </is>
      </c>
      <c r="D238" t="inlineStr">
        <is>
          <t>2657781</t>
        </is>
      </c>
      <c r="E238" t="inlineStr">
        <is>
          <t>2025-06-01 00:00:00</t>
        </is>
      </c>
      <c r="F238" t="inlineStr">
        <is>
          <t>2025-06-10</t>
        </is>
      </c>
      <c r="G238" t="inlineStr">
        <is>
          <t>NY43862861</t>
        </is>
      </c>
      <c r="H238" t="inlineStr">
        <is>
          <t>cus_4351be6be044</t>
        </is>
      </c>
      <c r="I238" t="inlineStr">
        <is>
          <t>域動行銷股份有限公司</t>
        </is>
      </c>
      <c r="J238" t="inlineStr">
        <is>
          <t>24450379</t>
        </is>
      </c>
      <c r="K238" t="n">
        <v>0</v>
      </c>
      <c r="L238" t="n">
        <v>0</v>
      </c>
      <c r="M238" t="inlineStr">
        <is>
          <t>CRM報告</t>
        </is>
      </c>
      <c r="N238" t="inlineStr">
        <is>
          <t>趙威典</t>
        </is>
      </c>
      <c r="O238" t="inlineStr">
        <is>
          <t>台北市松山區南京東三段 285 號 10 樓</t>
        </is>
      </c>
      <c r="P238" t="inlineStr">
        <is>
          <t>datateam@Clickforce.com.tw</t>
        </is>
      </c>
      <c r="Q238" t="inlineStr">
        <is>
          <t>2719-8500 # 559</t>
        </is>
      </c>
      <c r="R238" t="inlineStr"/>
      <c r="S238" t="inlineStr">
        <is>
          <t>已收款</t>
        </is>
      </c>
      <c r="T238" t="inlineStr">
        <is>
          <t>160萬(年約分10期)，2025年第6期 (共10期)
來源：訂閱型發票及收款紀錄 第 249 列</t>
        </is>
      </c>
      <c r="U238" t="inlineStr">
        <is>
          <t>發票開立後60天</t>
        </is>
      </c>
      <c r="V238" t="inlineStr">
        <is>
          <t>2026-05-18</t>
        </is>
      </c>
    </row>
    <row r="239">
      <c r="A239" t="inlineStr">
        <is>
          <t>inv_48f997c8166e</t>
        </is>
      </c>
      <c r="B239" t="inlineStr">
        <is>
          <t>許瀞鍶</t>
        </is>
      </c>
      <c r="C239" t="inlineStr">
        <is>
          <t>2025-08-25</t>
        </is>
      </c>
      <c r="D239" t="inlineStr">
        <is>
          <t>2692789</t>
        </is>
      </c>
      <c r="E239" t="inlineStr">
        <is>
          <t>2025-07-01 00:00:00</t>
        </is>
      </c>
      <c r="F239" t="inlineStr">
        <is>
          <t>2025-07-10</t>
        </is>
      </c>
      <c r="G239" t="inlineStr">
        <is>
          <t>QY43831268</t>
        </is>
      </c>
      <c r="H239" t="inlineStr">
        <is>
          <t>cus_4351be6be044</t>
        </is>
      </c>
      <c r="I239" t="inlineStr">
        <is>
          <t>域動行銷股份有限公司</t>
        </is>
      </c>
      <c r="J239" t="inlineStr">
        <is>
          <t>24450379</t>
        </is>
      </c>
      <c r="K239" t="n">
        <v>0</v>
      </c>
      <c r="L239" t="n">
        <v>0</v>
      </c>
      <c r="M239" t="inlineStr">
        <is>
          <t>CRM報告</t>
        </is>
      </c>
      <c r="N239" t="inlineStr">
        <is>
          <t>趙威典</t>
        </is>
      </c>
      <c r="O239" t="inlineStr">
        <is>
          <t>台北市松山區南京東三段 285 號 10 樓</t>
        </is>
      </c>
      <c r="P239" t="inlineStr">
        <is>
          <t>datateam@Clickforce.com.tw</t>
        </is>
      </c>
      <c r="Q239" t="inlineStr">
        <is>
          <t>2719-8500 # 559</t>
        </is>
      </c>
      <c r="R239" t="inlineStr"/>
      <c r="S239" t="inlineStr">
        <is>
          <t>已收款</t>
        </is>
      </c>
      <c r="T239" t="inlineStr">
        <is>
          <t>160萬(年約分10期)，2025年第7期 (共10期)
來源：訂閱型發票及收款紀錄 第 250 列</t>
        </is>
      </c>
      <c r="U239" t="inlineStr">
        <is>
          <t>發票開立後60天</t>
        </is>
      </c>
      <c r="V239" t="inlineStr">
        <is>
          <t>2026-05-18</t>
        </is>
      </c>
    </row>
    <row r="240">
      <c r="A240" t="inlineStr">
        <is>
          <t>inv_898e166618f7</t>
        </is>
      </c>
      <c r="B240" t="inlineStr">
        <is>
          <t>許瀞鍶</t>
        </is>
      </c>
      <c r="C240" t="inlineStr">
        <is>
          <t>2025-09-25</t>
        </is>
      </c>
      <c r="D240" t="inlineStr">
        <is>
          <t>2725736</t>
        </is>
      </c>
      <c r="E240" t="inlineStr">
        <is>
          <t>2025-08-01 00:00:00</t>
        </is>
      </c>
      <c r="F240" t="inlineStr">
        <is>
          <t>2025-08-08</t>
        </is>
      </c>
      <c r="G240" t="inlineStr"/>
      <c r="H240" t="inlineStr">
        <is>
          <t>cus_4351be6be044</t>
        </is>
      </c>
      <c r="I240" t="inlineStr">
        <is>
          <t>域動行銷股份有限公司</t>
        </is>
      </c>
      <c r="J240" t="inlineStr">
        <is>
          <t>24450379</t>
        </is>
      </c>
      <c r="K240" t="n">
        <v>0</v>
      </c>
      <c r="L240" t="n">
        <v>0</v>
      </c>
      <c r="M240" t="inlineStr">
        <is>
          <t>CRM報告</t>
        </is>
      </c>
      <c r="N240" t="inlineStr">
        <is>
          <t>趙威典</t>
        </is>
      </c>
      <c r="O240" t="inlineStr">
        <is>
          <t>台北市松山區南京東三段 285 號 10 樓</t>
        </is>
      </c>
      <c r="P240" t="inlineStr">
        <is>
          <t>datateam@Clickforce.com.tw</t>
        </is>
      </c>
      <c r="Q240" t="inlineStr">
        <is>
          <t>2719-8500 # 559</t>
        </is>
      </c>
      <c r="R240" t="inlineStr"/>
      <c r="S240" t="inlineStr">
        <is>
          <t>已收款</t>
        </is>
      </c>
      <c r="T240" t="inlineStr">
        <is>
          <t>160萬(年約分10期)，2025年第8期 (共10期)
來源：訂閱型發票及收款紀錄 第 251 列</t>
        </is>
      </c>
      <c r="U240" t="inlineStr">
        <is>
          <t>發票開立後60天</t>
        </is>
      </c>
      <c r="V240" t="inlineStr">
        <is>
          <t>2026-05-18</t>
        </is>
      </c>
    </row>
    <row r="241">
      <c r="A241" t="inlineStr">
        <is>
          <t>inv_98ddfa3a7564</t>
        </is>
      </c>
      <c r="B241" t="inlineStr">
        <is>
          <t>Erin</t>
        </is>
      </c>
      <c r="C241" t="inlineStr">
        <is>
          <t>2025-10-23</t>
        </is>
      </c>
      <c r="D241" t="inlineStr">
        <is>
          <t>2767125</t>
        </is>
      </c>
      <c r="E241" t="inlineStr">
        <is>
          <t>2025-09-01 00:00:00</t>
        </is>
      </c>
      <c r="F241" t="inlineStr">
        <is>
          <t>2025-09-10</t>
        </is>
      </c>
      <c r="G241" t="inlineStr"/>
      <c r="H241" t="inlineStr">
        <is>
          <t>cus_4351be6be044</t>
        </is>
      </c>
      <c r="I241" t="inlineStr">
        <is>
          <t>域動行銷股份有限公司</t>
        </is>
      </c>
      <c r="J241" t="inlineStr">
        <is>
          <t>24450379</t>
        </is>
      </c>
      <c r="K241" t="n">
        <v>0</v>
      </c>
      <c r="L241" t="n">
        <v>0</v>
      </c>
      <c r="M241" t="inlineStr">
        <is>
          <t>CRM報告</t>
        </is>
      </c>
      <c r="N241" t="inlineStr">
        <is>
          <t>趙威典</t>
        </is>
      </c>
      <c r="O241" t="inlineStr">
        <is>
          <t>台北市松山區南京東三段 285 號 10 樓</t>
        </is>
      </c>
      <c r="P241" t="inlineStr">
        <is>
          <t>datateam@Clickforce.com.tw</t>
        </is>
      </c>
      <c r="Q241" t="inlineStr">
        <is>
          <t>2719-8500 # 559</t>
        </is>
      </c>
      <c r="R241" t="inlineStr"/>
      <c r="S241" t="inlineStr">
        <is>
          <t>已收款</t>
        </is>
      </c>
      <c r="T241" t="inlineStr">
        <is>
          <t>160萬(年約分10期)，2025年第9期 (共10期)
來源：訂閱型發票及收款紀錄 第 252 列</t>
        </is>
      </c>
      <c r="U241" t="inlineStr">
        <is>
          <t>發票開立後60天</t>
        </is>
      </c>
      <c r="V241" t="inlineStr">
        <is>
          <t>2026-05-18</t>
        </is>
      </c>
    </row>
    <row r="242">
      <c r="A242" t="inlineStr">
        <is>
          <t>inv_432236e80d07</t>
        </is>
      </c>
      <c r="B242" t="inlineStr">
        <is>
          <t>Erin</t>
        </is>
      </c>
      <c r="C242" t="inlineStr">
        <is>
          <t>2025-11-25</t>
        </is>
      </c>
      <c r="D242" t="inlineStr">
        <is>
          <t>2800501</t>
        </is>
      </c>
      <c r="E242" t="inlineStr">
        <is>
          <t>2025-10-01 00:00:00</t>
        </is>
      </c>
      <c r="F242" t="inlineStr">
        <is>
          <t>2025-10-09</t>
        </is>
      </c>
      <c r="G242" t="inlineStr"/>
      <c r="H242" t="inlineStr">
        <is>
          <t>cus_4351be6be044</t>
        </is>
      </c>
      <c r="I242" t="inlineStr">
        <is>
          <t>域動行銷股份有限公司</t>
        </is>
      </c>
      <c r="J242" t="inlineStr">
        <is>
          <t>24450379</t>
        </is>
      </c>
      <c r="K242" t="n">
        <v>0</v>
      </c>
      <c r="L242" t="n">
        <v>0</v>
      </c>
      <c r="M242" t="inlineStr">
        <is>
          <t>CRM報告</t>
        </is>
      </c>
      <c r="N242" t="inlineStr">
        <is>
          <t>趙威典</t>
        </is>
      </c>
      <c r="O242" t="inlineStr">
        <is>
          <t>台北市松山區南京東三段 285 號 10 樓</t>
        </is>
      </c>
      <c r="P242" t="inlineStr">
        <is>
          <t>datateam@Clickforce.com.tw</t>
        </is>
      </c>
      <c r="Q242" t="inlineStr">
        <is>
          <t>2719-8500 # 559</t>
        </is>
      </c>
      <c r="R242" t="inlineStr"/>
      <c r="S242" t="inlineStr">
        <is>
          <t>已收款</t>
        </is>
      </c>
      <c r="T242" t="inlineStr">
        <is>
          <t>160萬(年約分10期)，2025年第10期 (共10期)
來源：訂閱型發票及收款紀錄 第 253 列</t>
        </is>
      </c>
      <c r="U242" t="inlineStr">
        <is>
          <t>發票開立後60天</t>
        </is>
      </c>
      <c r="V242" t="inlineStr">
        <is>
          <t>2026-05-18</t>
        </is>
      </c>
    </row>
    <row r="243">
      <c r="A243" t="inlineStr">
        <is>
          <t>inv_0d17a95f67ef</t>
        </is>
      </c>
      <c r="B243" t="inlineStr">
        <is>
          <t>Erin</t>
        </is>
      </c>
      <c r="C243" t="inlineStr">
        <is>
          <t>2025-12-24</t>
        </is>
      </c>
      <c r="D243" t="inlineStr">
        <is>
          <t>2834354</t>
        </is>
      </c>
      <c r="E243" t="inlineStr">
        <is>
          <t>202511.0</t>
        </is>
      </c>
      <c r="F243" t="inlineStr">
        <is>
          <t>2025-11-10</t>
        </is>
      </c>
      <c r="G243" t="inlineStr"/>
      <c r="H243" t="inlineStr">
        <is>
          <t>cus_4351be6be044</t>
        </is>
      </c>
      <c r="I243" t="inlineStr">
        <is>
          <t>域動行銷股份有限公司</t>
        </is>
      </c>
      <c r="J243" t="inlineStr">
        <is>
          <t>24450379</t>
        </is>
      </c>
      <c r="K243" t="n">
        <v>150000</v>
      </c>
      <c r="L243" t="n">
        <v>157500</v>
      </c>
      <c r="M243" t="inlineStr">
        <is>
          <t>發票數據</t>
        </is>
      </c>
      <c r="N243" t="inlineStr">
        <is>
          <t>趙威典</t>
        </is>
      </c>
      <c r="O243" t="inlineStr">
        <is>
          <t>台北市松山區南京東三段 285 號 10 樓</t>
        </is>
      </c>
      <c r="P243" t="inlineStr">
        <is>
          <t>datateam@Clickforce.com.tw</t>
        </is>
      </c>
      <c r="Q243" t="inlineStr">
        <is>
          <t>2719-8500 # 559</t>
        </is>
      </c>
      <c r="R243" t="inlineStr"/>
      <c r="S243" t="inlineStr">
        <is>
          <t>已收款</t>
        </is>
      </c>
      <c r="T243" t="inlineStr">
        <is>
          <t>320萬(年約分24期)，2025年第1期 (202510數據蒐集)
來源：訂閱型發票及收款紀錄 第 254 列</t>
        </is>
      </c>
      <c r="U243" t="inlineStr">
        <is>
          <t>發票開立後60天</t>
        </is>
      </c>
      <c r="V243" t="inlineStr">
        <is>
          <t>2026-05-18</t>
        </is>
      </c>
    </row>
    <row r="244">
      <c r="A244" t="inlineStr">
        <is>
          <t>inv_194dbee05aca</t>
        </is>
      </c>
      <c r="B244" t="inlineStr">
        <is>
          <t>Erin</t>
        </is>
      </c>
      <c r="C244" t="inlineStr">
        <is>
          <t>2026-01-23</t>
        </is>
      </c>
      <c r="D244" t="inlineStr">
        <is>
          <t>2867318</t>
        </is>
      </c>
      <c r="E244" t="inlineStr">
        <is>
          <t>202512.0</t>
        </is>
      </c>
      <c r="F244" t="inlineStr">
        <is>
          <t>2025-12-05</t>
        </is>
      </c>
      <c r="G244" t="inlineStr"/>
      <c r="H244" t="inlineStr">
        <is>
          <t>cus_4351be6be044</t>
        </is>
      </c>
      <c r="I244" t="inlineStr">
        <is>
          <t>域動行銷股份有限公司</t>
        </is>
      </c>
      <c r="J244" t="inlineStr">
        <is>
          <t>24450379</t>
        </is>
      </c>
      <c r="K244" t="n">
        <v>150000</v>
      </c>
      <c r="L244" t="n">
        <v>157500</v>
      </c>
      <c r="M244" t="inlineStr">
        <is>
          <t>發票數據</t>
        </is>
      </c>
      <c r="N244" t="inlineStr">
        <is>
          <t>趙威典</t>
        </is>
      </c>
      <c r="O244" t="inlineStr">
        <is>
          <t>台北市松山區南京東三段 285 號 10 樓</t>
        </is>
      </c>
      <c r="P244" t="inlineStr">
        <is>
          <t>datateam@Clickforce.com.tw</t>
        </is>
      </c>
      <c r="Q244" t="inlineStr">
        <is>
          <t>2719-8500 # 559</t>
        </is>
      </c>
      <c r="R244" t="inlineStr"/>
      <c r="S244" t="inlineStr">
        <is>
          <t>已收款</t>
        </is>
      </c>
      <c r="T244" t="inlineStr">
        <is>
          <t>320萬(年約分24期)，2025年第2期 (202511數據蒐集)
來源：訂閱型發票及收款紀錄 第 255 列</t>
        </is>
      </c>
      <c r="U244" t="inlineStr">
        <is>
          <t>發票開立後60天</t>
        </is>
      </c>
      <c r="V244" t="inlineStr">
        <is>
          <t>2026-05-18</t>
        </is>
      </c>
    </row>
    <row r="245">
      <c r="A245" t="inlineStr">
        <is>
          <t>inv_93d9d4d9dca6</t>
        </is>
      </c>
      <c r="B245" t="inlineStr">
        <is>
          <t>Erin</t>
        </is>
      </c>
      <c r="C245" t="inlineStr">
        <is>
          <t>2026-02-25</t>
        </is>
      </c>
      <c r="D245" t="inlineStr">
        <is>
          <t>2906025</t>
        </is>
      </c>
      <c r="E245" t="inlineStr">
        <is>
          <t>202601.0</t>
        </is>
      </c>
      <c r="F245" t="inlineStr">
        <is>
          <t>2026-01-09</t>
        </is>
      </c>
      <c r="G245" t="inlineStr"/>
      <c r="H245" t="inlineStr">
        <is>
          <t>cus_4351be6be044</t>
        </is>
      </c>
      <c r="I245" t="inlineStr">
        <is>
          <t>域動行銷股份有限公司</t>
        </is>
      </c>
      <c r="J245" t="inlineStr">
        <is>
          <t>24450379</t>
        </is>
      </c>
      <c r="K245" t="n">
        <v>150000</v>
      </c>
      <c r="L245" t="n">
        <v>157500</v>
      </c>
      <c r="M245" t="inlineStr">
        <is>
          <t>發票數據</t>
        </is>
      </c>
      <c r="N245" t="inlineStr">
        <is>
          <t>趙威典</t>
        </is>
      </c>
      <c r="O245" t="inlineStr">
        <is>
          <t>台北市松山區南京東三段 285 號 10 樓</t>
        </is>
      </c>
      <c r="P245" t="inlineStr">
        <is>
          <t>datateam@Clickforce.com.tw</t>
        </is>
      </c>
      <c r="Q245" t="inlineStr">
        <is>
          <t>2719-8500 # 559</t>
        </is>
      </c>
      <c r="R245" t="inlineStr"/>
      <c r="S245" t="inlineStr">
        <is>
          <t>已收款</t>
        </is>
      </c>
      <c r="T245" t="inlineStr">
        <is>
          <t>320萬(年約分24期)，2026年第1期 (202512數據蒐集)
來源：訂閱型發票及收款紀錄 第 256 列</t>
        </is>
      </c>
      <c r="U245" t="inlineStr">
        <is>
          <t>發票開立後60天</t>
        </is>
      </c>
      <c r="V245" t="inlineStr">
        <is>
          <t>2026-05-18</t>
        </is>
      </c>
    </row>
    <row r="246">
      <c r="A246" t="inlineStr">
        <is>
          <t>inv_db50adc3ff72</t>
        </is>
      </c>
      <c r="B246" t="inlineStr">
        <is>
          <t>Erin</t>
        </is>
      </c>
      <c r="C246" t="inlineStr">
        <is>
          <t>2026-03-25</t>
        </is>
      </c>
      <c r="D246" t="inlineStr">
        <is>
          <t>2941475</t>
        </is>
      </c>
      <c r="E246" t="inlineStr">
        <is>
          <t>202602.0</t>
        </is>
      </c>
      <c r="F246" t="inlineStr">
        <is>
          <t>2026-02-04</t>
        </is>
      </c>
      <c r="G246" t="inlineStr"/>
      <c r="H246" t="inlineStr">
        <is>
          <t>cus_4351be6be044</t>
        </is>
      </c>
      <c r="I246" t="inlineStr">
        <is>
          <t>域動行銷股份有限公司</t>
        </is>
      </c>
      <c r="J246" t="inlineStr">
        <is>
          <t>24450379</t>
        </is>
      </c>
      <c r="K246" t="n">
        <v>150000</v>
      </c>
      <c r="L246" t="n">
        <v>157500</v>
      </c>
      <c r="M246" t="inlineStr">
        <is>
          <t>發票數據</t>
        </is>
      </c>
      <c r="N246" t="inlineStr">
        <is>
          <t>趙威典</t>
        </is>
      </c>
      <c r="O246" t="inlineStr">
        <is>
          <t>台北市松山區南京東三段 285 號 10 樓</t>
        </is>
      </c>
      <c r="P246" t="inlineStr">
        <is>
          <t>datateam@Clickforce.com.tw</t>
        </is>
      </c>
      <c r="Q246" t="inlineStr">
        <is>
          <t>2719-8500 # 559</t>
        </is>
      </c>
      <c r="R246" t="inlineStr"/>
      <c r="S246" t="inlineStr">
        <is>
          <t>已收款</t>
        </is>
      </c>
      <c r="T246" t="inlineStr">
        <is>
          <t>320萬(年約分24期)，2026年第2期 (202601數據蒐集)
來源：訂閱型發票及收款紀錄 第 257 列</t>
        </is>
      </c>
      <c r="U246" t="inlineStr">
        <is>
          <t>發票開立後60天</t>
        </is>
      </c>
      <c r="V246" t="inlineStr">
        <is>
          <t>2026-05-18</t>
        </is>
      </c>
    </row>
    <row r="247">
      <c r="A247" t="inlineStr">
        <is>
          <t>inv_2e073d816837</t>
        </is>
      </c>
      <c r="B247" t="inlineStr">
        <is>
          <t>Erin</t>
        </is>
      </c>
      <c r="C247" t="inlineStr">
        <is>
          <t>2026-04-24</t>
        </is>
      </c>
      <c r="D247" t="inlineStr">
        <is>
          <t>2975074</t>
        </is>
      </c>
      <c r="E247" t="inlineStr">
        <is>
          <t>202603.0</t>
        </is>
      </c>
      <c r="F247" t="inlineStr">
        <is>
          <t>2026-03-10</t>
        </is>
      </c>
      <c r="G247" t="inlineStr"/>
      <c r="H247" t="inlineStr">
        <is>
          <t>cus_4351be6be044</t>
        </is>
      </c>
      <c r="I247" t="inlineStr">
        <is>
          <t>域動行銷股份有限公司</t>
        </is>
      </c>
      <c r="J247" t="inlineStr">
        <is>
          <t>24450379</t>
        </is>
      </c>
      <c r="K247" t="n">
        <v>130000</v>
      </c>
      <c r="L247" t="n">
        <v>136500</v>
      </c>
      <c r="M247" t="inlineStr">
        <is>
          <t>發票數據</t>
        </is>
      </c>
      <c r="N247" t="inlineStr">
        <is>
          <t>趙威典</t>
        </is>
      </c>
      <c r="O247" t="inlineStr">
        <is>
          <t>台北市松山區南京東三段 285 號 10 樓</t>
        </is>
      </c>
      <c r="P247" t="inlineStr">
        <is>
          <t>datateam@Clickforce.com.tw</t>
        </is>
      </c>
      <c r="Q247" t="inlineStr">
        <is>
          <t>2719-8500 # 559</t>
        </is>
      </c>
      <c r="R247" t="inlineStr"/>
      <c r="S247" t="inlineStr">
        <is>
          <t>已收款</t>
        </is>
      </c>
      <c r="T247" t="inlineStr">
        <is>
          <t>320萬(年約分24期)，2026年第3期 (202602數據蒐集)
來源：訂閱型發票及收款紀錄 第 258 列</t>
        </is>
      </c>
      <c r="U247" t="inlineStr">
        <is>
          <t>發票開立後60天</t>
        </is>
      </c>
      <c r="V247" t="inlineStr">
        <is>
          <t>2026-05-18</t>
        </is>
      </c>
    </row>
    <row r="248">
      <c r="A248" t="inlineStr">
        <is>
          <t>inv_1e10889112e4</t>
        </is>
      </c>
      <c r="B248" t="inlineStr">
        <is>
          <t>Erin</t>
        </is>
      </c>
      <c r="C248" t="inlineStr"/>
      <c r="D248" t="inlineStr">
        <is>
          <t>B01209</t>
        </is>
      </c>
      <c r="E248" t="inlineStr">
        <is>
          <t>202604.0</t>
        </is>
      </c>
      <c r="F248" t="inlineStr">
        <is>
          <t>2026-04-15</t>
        </is>
      </c>
      <c r="G248" t="inlineStr">
        <is>
          <t>ZA96391426</t>
        </is>
      </c>
      <c r="H248" t="inlineStr">
        <is>
          <t>cus_4351be6be044</t>
        </is>
      </c>
      <c r="I248" t="inlineStr">
        <is>
          <t>域動行銷股份有限公司</t>
        </is>
      </c>
      <c r="J248" t="inlineStr">
        <is>
          <t>24450379</t>
        </is>
      </c>
      <c r="K248" t="n">
        <v>130000</v>
      </c>
      <c r="L248" t="n">
        <v>136500</v>
      </c>
      <c r="M248" t="inlineStr">
        <is>
          <t>發票數據</t>
        </is>
      </c>
      <c r="N248" t="inlineStr">
        <is>
          <t>趙威典</t>
        </is>
      </c>
      <c r="O248" t="inlineStr">
        <is>
          <t>台北市松山區南京東三段 285 號 10 樓</t>
        </is>
      </c>
      <c r="P248" t="inlineStr">
        <is>
          <t>datateam@Clickforce.com.tw</t>
        </is>
      </c>
      <c r="Q248" t="inlineStr">
        <is>
          <t>2719-8500 # 559</t>
        </is>
      </c>
      <c r="R248" t="inlineStr"/>
      <c r="S248" t="inlineStr">
        <is>
          <t>未收款</t>
        </is>
      </c>
      <c r="T248" t="inlineStr">
        <is>
          <t>320萬(年約分24期)，2026年第4期 (202603數據蒐集)
來源：訂閱型發票及收款紀錄 第 259 列</t>
        </is>
      </c>
      <c r="U248" t="inlineStr">
        <is>
          <t>發票開立後60天</t>
        </is>
      </c>
      <c r="V248" t="inlineStr">
        <is>
          <t>2026-05-18</t>
        </is>
      </c>
    </row>
    <row r="249">
      <c r="A249" t="inlineStr">
        <is>
          <t>inv_c98561aa11df</t>
        </is>
      </c>
      <c r="B249" t="inlineStr">
        <is>
          <t>Erin</t>
        </is>
      </c>
      <c r="C249" t="inlineStr"/>
      <c r="D249" t="inlineStr"/>
      <c r="E249" t="inlineStr">
        <is>
          <t>202605.0</t>
        </is>
      </c>
      <c r="F249" t="inlineStr">
        <is>
          <t>預計5/11</t>
        </is>
      </c>
      <c r="G249" t="inlineStr"/>
      <c r="H249" t="inlineStr">
        <is>
          <t>cus_4351be6be044</t>
        </is>
      </c>
      <c r="I249" t="inlineStr">
        <is>
          <t>域動行銷股份有限公司</t>
        </is>
      </c>
      <c r="J249" t="inlineStr">
        <is>
          <t>24450379</t>
        </is>
      </c>
      <c r="K249" t="n">
        <v>130000</v>
      </c>
      <c r="L249" t="n">
        <v>136500</v>
      </c>
      <c r="M249" t="inlineStr">
        <is>
          <t>發票數據</t>
        </is>
      </c>
      <c r="N249" t="inlineStr">
        <is>
          <t>趙威典</t>
        </is>
      </c>
      <c r="O249" t="inlineStr">
        <is>
          <t>台北市松山區南京東三段 285 號 10 樓</t>
        </is>
      </c>
      <c r="P249" t="inlineStr">
        <is>
          <t>datateam@Clickforce.com.tw</t>
        </is>
      </c>
      <c r="Q249" t="inlineStr">
        <is>
          <t>2719-8500 # 559</t>
        </is>
      </c>
      <c r="R249" t="inlineStr"/>
      <c r="S249" t="inlineStr">
        <is>
          <t>未收款</t>
        </is>
      </c>
      <c r="T249" t="inlineStr">
        <is>
          <t>320萬(年約分24期)，2026年第5期 (202604數據蒐集)
來源：訂閱型發票及收款紀錄 第 260 列</t>
        </is>
      </c>
      <c r="U249" t="inlineStr">
        <is>
          <t>發票開立後60天</t>
        </is>
      </c>
      <c r="V249" t="inlineStr">
        <is>
          <t>2026-05-18</t>
        </is>
      </c>
    </row>
    <row r="250">
      <c r="A250" t="inlineStr">
        <is>
          <t>inv_27d7fc487c41</t>
        </is>
      </c>
      <c r="B250" t="inlineStr">
        <is>
          <t>Erin</t>
        </is>
      </c>
      <c r="C250" t="inlineStr"/>
      <c r="D250" t="inlineStr"/>
      <c r="E250" t="inlineStr">
        <is>
          <t>202606.0</t>
        </is>
      </c>
      <c r="F250" t="inlineStr"/>
      <c r="G250" t="inlineStr"/>
      <c r="H250" t="inlineStr">
        <is>
          <t>cus_4351be6be044</t>
        </is>
      </c>
      <c r="I250" t="inlineStr">
        <is>
          <t>域動行銷股份有限公司</t>
        </is>
      </c>
      <c r="J250" t="inlineStr">
        <is>
          <t>24450379</t>
        </is>
      </c>
      <c r="K250" t="n">
        <v>130000</v>
      </c>
      <c r="L250" t="n">
        <v>136500</v>
      </c>
      <c r="M250" t="inlineStr">
        <is>
          <t>發票數據</t>
        </is>
      </c>
      <c r="N250" t="inlineStr">
        <is>
          <t>趙威典</t>
        </is>
      </c>
      <c r="O250" t="inlineStr">
        <is>
          <t>台北市松山區南京東三段 285 號 10 樓</t>
        </is>
      </c>
      <c r="P250" t="inlineStr">
        <is>
          <t>datateam@Clickforce.com.tw</t>
        </is>
      </c>
      <c r="Q250" t="inlineStr">
        <is>
          <t>2719-8500 # 559</t>
        </is>
      </c>
      <c r="R250" t="inlineStr"/>
      <c r="S250" t="inlineStr">
        <is>
          <t>未收款</t>
        </is>
      </c>
      <c r="T250" t="inlineStr">
        <is>
          <t>320萬(年約分24期)，2026年第6期  (202605數據蒐集)
來源：訂閱型發票及收款紀錄 第 261 列</t>
        </is>
      </c>
      <c r="U250" t="inlineStr">
        <is>
          <t>發票開立後60天</t>
        </is>
      </c>
      <c r="V250" t="inlineStr">
        <is>
          <t>2026-05-18</t>
        </is>
      </c>
    </row>
    <row r="251">
      <c r="A251" t="inlineStr">
        <is>
          <t>inv_e9e8401ad4f9</t>
        </is>
      </c>
      <c r="B251" t="inlineStr">
        <is>
          <t>Erin</t>
        </is>
      </c>
      <c r="C251" t="inlineStr"/>
      <c r="D251" t="inlineStr"/>
      <c r="E251" t="inlineStr">
        <is>
          <t>202607.0</t>
        </is>
      </c>
      <c r="F251" t="inlineStr"/>
      <c r="G251" t="inlineStr"/>
      <c r="H251" t="inlineStr">
        <is>
          <t>cus_4351be6be044</t>
        </is>
      </c>
      <c r="I251" t="inlineStr">
        <is>
          <t>域動行銷股份有限公司</t>
        </is>
      </c>
      <c r="J251" t="inlineStr">
        <is>
          <t>24450379</t>
        </is>
      </c>
      <c r="K251" t="n">
        <v>130000</v>
      </c>
      <c r="L251" t="n">
        <v>136500</v>
      </c>
      <c r="M251" t="inlineStr">
        <is>
          <t>發票數據</t>
        </is>
      </c>
      <c r="N251" t="inlineStr">
        <is>
          <t>趙威典</t>
        </is>
      </c>
      <c r="O251" t="inlineStr">
        <is>
          <t>台北市松山區南京東三段 285 號 10 樓</t>
        </is>
      </c>
      <c r="P251" t="inlineStr">
        <is>
          <t>datateam@Clickforce.com.tw</t>
        </is>
      </c>
      <c r="Q251" t="inlineStr">
        <is>
          <t>2719-8500 # 559</t>
        </is>
      </c>
      <c r="R251" t="inlineStr"/>
      <c r="S251" t="inlineStr">
        <is>
          <t>未收款</t>
        </is>
      </c>
      <c r="T251" t="inlineStr">
        <is>
          <t>320萬(年約分24期)，2026年第7期  (202606數據蒐集)
來源：訂閱型發票及收款紀錄 第 262 列</t>
        </is>
      </c>
      <c r="U251" t="inlineStr">
        <is>
          <t>發票開立後60天</t>
        </is>
      </c>
      <c r="V251" t="inlineStr">
        <is>
          <t>2026-05-18</t>
        </is>
      </c>
    </row>
    <row r="252">
      <c r="A252" t="inlineStr">
        <is>
          <t>inv_81522a8df446</t>
        </is>
      </c>
      <c r="B252" t="inlineStr">
        <is>
          <t>Erin</t>
        </is>
      </c>
      <c r="C252" t="inlineStr"/>
      <c r="D252" t="inlineStr"/>
      <c r="E252" t="inlineStr">
        <is>
          <t>202608.0</t>
        </is>
      </c>
      <c r="F252" t="inlineStr"/>
      <c r="G252" t="inlineStr"/>
      <c r="H252" t="inlineStr">
        <is>
          <t>cus_4351be6be044</t>
        </is>
      </c>
      <c r="I252" t="inlineStr">
        <is>
          <t>域動行銷股份有限公司</t>
        </is>
      </c>
      <c r="J252" t="inlineStr">
        <is>
          <t>24450379</t>
        </is>
      </c>
      <c r="K252" t="n">
        <v>130000</v>
      </c>
      <c r="L252" t="n">
        <v>136500</v>
      </c>
      <c r="M252" t="inlineStr">
        <is>
          <t>發票數據</t>
        </is>
      </c>
      <c r="N252" t="inlineStr">
        <is>
          <t>趙威典</t>
        </is>
      </c>
      <c r="O252" t="inlineStr">
        <is>
          <t>台北市松山區南京東三段 285 號 10 樓</t>
        </is>
      </c>
      <c r="P252" t="inlineStr">
        <is>
          <t>datateam@Clickforce.com.tw</t>
        </is>
      </c>
      <c r="Q252" t="inlineStr">
        <is>
          <t>2719-8500 # 559</t>
        </is>
      </c>
      <c r="R252" t="inlineStr"/>
      <c r="S252" t="inlineStr">
        <is>
          <t>未收款</t>
        </is>
      </c>
      <c r="T252" t="inlineStr">
        <is>
          <t>320萬(年約分24期)，2026年第8期 (202607數據蒐集)
來源：訂閱型發票及收款紀錄 第 263 列</t>
        </is>
      </c>
      <c r="U252" t="inlineStr">
        <is>
          <t>發票開立後60天</t>
        </is>
      </c>
      <c r="V252" t="inlineStr">
        <is>
          <t>2026-05-18</t>
        </is>
      </c>
    </row>
    <row r="253">
      <c r="A253" t="inlineStr">
        <is>
          <t>inv_e03f518b3fe2</t>
        </is>
      </c>
      <c r="B253" t="inlineStr">
        <is>
          <t>Erin</t>
        </is>
      </c>
      <c r="C253" t="inlineStr"/>
      <c r="D253" t="inlineStr"/>
      <c r="E253" t="inlineStr">
        <is>
          <t>202609.0</t>
        </is>
      </c>
      <c r="F253" t="inlineStr"/>
      <c r="G253" t="inlineStr"/>
      <c r="H253" t="inlineStr">
        <is>
          <t>cus_4351be6be044</t>
        </is>
      </c>
      <c r="I253" t="inlineStr">
        <is>
          <t>域動行銷股份有限公司</t>
        </is>
      </c>
      <c r="J253" t="inlineStr">
        <is>
          <t>24450379</t>
        </is>
      </c>
      <c r="K253" t="n">
        <v>130000</v>
      </c>
      <c r="L253" t="n">
        <v>136500</v>
      </c>
      <c r="M253" t="inlineStr">
        <is>
          <t>發票數據</t>
        </is>
      </c>
      <c r="N253" t="inlineStr">
        <is>
          <t>趙威典</t>
        </is>
      </c>
      <c r="O253" t="inlineStr">
        <is>
          <t>台北市松山區南京東三段 285 號 10 樓</t>
        </is>
      </c>
      <c r="P253" t="inlineStr">
        <is>
          <t>datateam@Clickforce.com.tw</t>
        </is>
      </c>
      <c r="Q253" t="inlineStr">
        <is>
          <t>2719-8500 # 559</t>
        </is>
      </c>
      <c r="R253" t="inlineStr"/>
      <c r="S253" t="inlineStr">
        <is>
          <t>未收款</t>
        </is>
      </c>
      <c r="T253" t="inlineStr">
        <is>
          <t>320萬(年約分24期)，2026年第9期 (202608數據蒐集)
來源：訂閱型發票及收款紀錄 第 264 列</t>
        </is>
      </c>
      <c r="U253" t="inlineStr">
        <is>
          <t>發票開立後60天</t>
        </is>
      </c>
      <c r="V253" t="inlineStr">
        <is>
          <t>2026-05-18</t>
        </is>
      </c>
    </row>
    <row r="254">
      <c r="A254" t="inlineStr">
        <is>
          <t>inv_611b7868a9f2</t>
        </is>
      </c>
      <c r="B254" t="inlineStr">
        <is>
          <t>Erin</t>
        </is>
      </c>
      <c r="C254" t="inlineStr"/>
      <c r="D254" t="inlineStr"/>
      <c r="E254" t="inlineStr">
        <is>
          <t>202610.0</t>
        </is>
      </c>
      <c r="F254" t="inlineStr"/>
      <c r="G254" t="inlineStr"/>
      <c r="H254" t="inlineStr">
        <is>
          <t>cus_4351be6be044</t>
        </is>
      </c>
      <c r="I254" t="inlineStr">
        <is>
          <t>域動行銷股份有限公司</t>
        </is>
      </c>
      <c r="J254" t="inlineStr">
        <is>
          <t>24450379</t>
        </is>
      </c>
      <c r="K254" t="n">
        <v>130000</v>
      </c>
      <c r="L254" t="n">
        <v>136500</v>
      </c>
      <c r="M254" t="inlineStr">
        <is>
          <t>發票數據</t>
        </is>
      </c>
      <c r="N254" t="inlineStr">
        <is>
          <t>趙威典</t>
        </is>
      </c>
      <c r="O254" t="inlineStr">
        <is>
          <t>台北市松山區南京東三段 285 號 10 樓</t>
        </is>
      </c>
      <c r="P254" t="inlineStr">
        <is>
          <t>datateam@Clickforce.com.tw</t>
        </is>
      </c>
      <c r="Q254" t="inlineStr">
        <is>
          <t>2719-8500 # 559</t>
        </is>
      </c>
      <c r="R254" t="inlineStr"/>
      <c r="S254" t="inlineStr">
        <is>
          <t>未收款</t>
        </is>
      </c>
      <c r="T254" t="inlineStr">
        <is>
          <t>320萬(年約分24期)，2026年第10期  (202609數據蒐集)
來源：訂閱型發票及收款紀錄 第 265 列</t>
        </is>
      </c>
      <c r="U254" t="inlineStr">
        <is>
          <t>發票開立後60天</t>
        </is>
      </c>
      <c r="V254" t="inlineStr">
        <is>
          <t>2026-05-18</t>
        </is>
      </c>
    </row>
    <row r="255">
      <c r="A255" t="inlineStr">
        <is>
          <t>inv_0a5c58a3a313</t>
        </is>
      </c>
      <c r="B255" t="inlineStr">
        <is>
          <t>Erin</t>
        </is>
      </c>
      <c r="C255" t="inlineStr"/>
      <c r="D255" t="inlineStr"/>
      <c r="E255" t="inlineStr">
        <is>
          <t>202611.0</t>
        </is>
      </c>
      <c r="F255" t="inlineStr"/>
      <c r="G255" t="inlineStr"/>
      <c r="H255" t="inlineStr">
        <is>
          <t>cus_4351be6be044</t>
        </is>
      </c>
      <c r="I255" t="inlineStr">
        <is>
          <t>域動行銷股份有限公司</t>
        </is>
      </c>
      <c r="J255" t="inlineStr">
        <is>
          <t>24450379</t>
        </is>
      </c>
      <c r="K255" t="n">
        <v>130000</v>
      </c>
      <c r="L255" t="n">
        <v>136500</v>
      </c>
      <c r="M255" t="inlineStr">
        <is>
          <t>發票數據</t>
        </is>
      </c>
      <c r="N255" t="inlineStr">
        <is>
          <t>趙威典</t>
        </is>
      </c>
      <c r="O255" t="inlineStr">
        <is>
          <t>台北市松山區南京東三段 285 號 10 樓</t>
        </is>
      </c>
      <c r="P255" t="inlineStr">
        <is>
          <t>datateam@Clickforce.com.tw</t>
        </is>
      </c>
      <c r="Q255" t="inlineStr">
        <is>
          <t>2719-8500 # 559</t>
        </is>
      </c>
      <c r="R255" t="inlineStr"/>
      <c r="S255" t="inlineStr">
        <is>
          <t>未收款</t>
        </is>
      </c>
      <c r="T255" t="inlineStr">
        <is>
          <t>320萬(年約分24期)，2026年第11期  (202610數據蒐集)
來源：訂閱型發票及收款紀錄 第 266 列</t>
        </is>
      </c>
      <c r="U255" t="inlineStr">
        <is>
          <t>發票開立後60天</t>
        </is>
      </c>
      <c r="V255" t="inlineStr">
        <is>
          <t>2026-05-18</t>
        </is>
      </c>
    </row>
    <row r="256">
      <c r="A256" t="inlineStr">
        <is>
          <t>inv_85955f8c903c</t>
        </is>
      </c>
      <c r="B256" t="inlineStr">
        <is>
          <t>Erin</t>
        </is>
      </c>
      <c r="C256" t="inlineStr"/>
      <c r="D256" t="inlineStr"/>
      <c r="E256" t="inlineStr">
        <is>
          <t>202612.0</t>
        </is>
      </c>
      <c r="F256" t="inlineStr"/>
      <c r="G256" t="inlineStr"/>
      <c r="H256" t="inlineStr">
        <is>
          <t>cus_4351be6be044</t>
        </is>
      </c>
      <c r="I256" t="inlineStr">
        <is>
          <t>域動行銷股份有限公司</t>
        </is>
      </c>
      <c r="J256" t="inlineStr">
        <is>
          <t>24450379</t>
        </is>
      </c>
      <c r="K256" t="n">
        <v>130000</v>
      </c>
      <c r="L256" t="n">
        <v>136500</v>
      </c>
      <c r="M256" t="inlineStr">
        <is>
          <t>發票數據</t>
        </is>
      </c>
      <c r="N256" t="inlineStr">
        <is>
          <t>趙威典</t>
        </is>
      </c>
      <c r="O256" t="inlineStr">
        <is>
          <t>台北市松山區南京東三段 285 號 10 樓</t>
        </is>
      </c>
      <c r="P256" t="inlineStr">
        <is>
          <t>datateam@Clickforce.com.tw</t>
        </is>
      </c>
      <c r="Q256" t="inlineStr">
        <is>
          <t>2719-8500 # 559</t>
        </is>
      </c>
      <c r="R256" t="inlineStr"/>
      <c r="S256" t="inlineStr">
        <is>
          <t>未收款</t>
        </is>
      </c>
      <c r="T256" t="inlineStr">
        <is>
          <t>320萬(年約分24期)，2026年第12期 (202611數據蒐集)
來源：訂閱型發票及收款紀錄 第 267 列</t>
        </is>
      </c>
      <c r="U256" t="inlineStr">
        <is>
          <t>發票開立後60天</t>
        </is>
      </c>
      <c r="V256" t="inlineStr">
        <is>
          <t>2026-05-18</t>
        </is>
      </c>
    </row>
    <row r="257">
      <c r="A257" t="inlineStr">
        <is>
          <t>inv_9dd001d9979c</t>
        </is>
      </c>
      <c r="B257" t="inlineStr">
        <is>
          <t>Erin</t>
        </is>
      </c>
      <c r="C257" t="inlineStr"/>
      <c r="D257" t="inlineStr"/>
      <c r="E257" t="inlineStr">
        <is>
          <t>202701.0</t>
        </is>
      </c>
      <c r="F257" t="inlineStr"/>
      <c r="G257" t="inlineStr"/>
      <c r="H257" t="inlineStr">
        <is>
          <t>cus_4351be6be044</t>
        </is>
      </c>
      <c r="I257" t="inlineStr">
        <is>
          <t>域動行銷股份有限公司</t>
        </is>
      </c>
      <c r="J257" t="inlineStr">
        <is>
          <t>24450379</t>
        </is>
      </c>
      <c r="K257" t="n">
        <v>130000</v>
      </c>
      <c r="L257" t="n">
        <v>136500</v>
      </c>
      <c r="M257" t="inlineStr">
        <is>
          <t>發票數據</t>
        </is>
      </c>
      <c r="N257" t="inlineStr">
        <is>
          <t>趙威典</t>
        </is>
      </c>
      <c r="O257" t="inlineStr">
        <is>
          <t>台北市松山區南京東三段 285 號 10 樓</t>
        </is>
      </c>
      <c r="P257" t="inlineStr">
        <is>
          <t>datateam@Clickforce.com.tw</t>
        </is>
      </c>
      <c r="Q257" t="inlineStr">
        <is>
          <t>2719-8500 # 559</t>
        </is>
      </c>
      <c r="R257" t="inlineStr"/>
      <c r="S257" t="inlineStr">
        <is>
          <t>未收款</t>
        </is>
      </c>
      <c r="T257" t="inlineStr">
        <is>
          <t>320萬(年約分24期)，2027年第1期 (202612數據蒐集)
來源：訂閱型發票及收款紀錄 第 268 列</t>
        </is>
      </c>
      <c r="U257" t="inlineStr">
        <is>
          <t>發票開立後60天</t>
        </is>
      </c>
      <c r="V257" t="inlineStr">
        <is>
          <t>2026-05-18</t>
        </is>
      </c>
    </row>
    <row r="258">
      <c r="A258" t="inlineStr">
        <is>
          <t>inv_5d0634eef234</t>
        </is>
      </c>
      <c r="B258" t="inlineStr">
        <is>
          <t>Erin</t>
        </is>
      </c>
      <c r="C258" t="inlineStr"/>
      <c r="D258" t="inlineStr"/>
      <c r="E258" t="inlineStr">
        <is>
          <t>202702.0</t>
        </is>
      </c>
      <c r="F258" t="inlineStr"/>
      <c r="G258" t="inlineStr"/>
      <c r="H258" t="inlineStr">
        <is>
          <t>cus_4351be6be044</t>
        </is>
      </c>
      <c r="I258" t="inlineStr">
        <is>
          <t>域動行銷股份有限公司</t>
        </is>
      </c>
      <c r="J258" t="inlineStr">
        <is>
          <t>24450379</t>
        </is>
      </c>
      <c r="K258" t="n">
        <v>130000</v>
      </c>
      <c r="L258" t="n">
        <v>136500</v>
      </c>
      <c r="M258" t="inlineStr">
        <is>
          <t>發票數據</t>
        </is>
      </c>
      <c r="N258" t="inlineStr">
        <is>
          <t>趙威典</t>
        </is>
      </c>
      <c r="O258" t="inlineStr">
        <is>
          <t>台北市松山區南京東三段 285 號 10 樓</t>
        </is>
      </c>
      <c r="P258" t="inlineStr">
        <is>
          <t>datateam@Clickforce.com.tw</t>
        </is>
      </c>
      <c r="Q258" t="inlineStr">
        <is>
          <t>2719-8500 # 559</t>
        </is>
      </c>
      <c r="R258" t="inlineStr"/>
      <c r="S258" t="inlineStr">
        <is>
          <t>未收款</t>
        </is>
      </c>
      <c r="T258" t="inlineStr">
        <is>
          <t>320萬(年約分24期)，2027年第2期 (202701數據蒐集)
來源：訂閱型發票及收款紀錄 第 269 列</t>
        </is>
      </c>
      <c r="U258" t="inlineStr">
        <is>
          <t>發票開立後60天</t>
        </is>
      </c>
      <c r="V258" t="inlineStr">
        <is>
          <t>2026-05-18</t>
        </is>
      </c>
    </row>
    <row r="259">
      <c r="A259" t="inlineStr">
        <is>
          <t>inv_e13884309f17</t>
        </is>
      </c>
      <c r="B259" t="inlineStr">
        <is>
          <t>Erin</t>
        </is>
      </c>
      <c r="C259" t="inlineStr"/>
      <c r="D259" t="inlineStr"/>
      <c r="E259" t="inlineStr">
        <is>
          <t>202703.0</t>
        </is>
      </c>
      <c r="F259" t="inlineStr"/>
      <c r="G259" t="inlineStr"/>
      <c r="H259" t="inlineStr">
        <is>
          <t>cus_4351be6be044</t>
        </is>
      </c>
      <c r="I259" t="inlineStr">
        <is>
          <t>域動行銷股份有限公司</t>
        </is>
      </c>
      <c r="J259" t="inlineStr">
        <is>
          <t>24450379</t>
        </is>
      </c>
      <c r="K259" t="n">
        <v>130000</v>
      </c>
      <c r="L259" t="n">
        <v>136500</v>
      </c>
      <c r="M259" t="inlineStr">
        <is>
          <t>發票數據</t>
        </is>
      </c>
      <c r="N259" t="inlineStr">
        <is>
          <t>趙威典</t>
        </is>
      </c>
      <c r="O259" t="inlineStr">
        <is>
          <t>台北市松山區南京東三段 285 號 10 樓</t>
        </is>
      </c>
      <c r="P259" t="inlineStr">
        <is>
          <t>datateam@Clickforce.com.tw</t>
        </is>
      </c>
      <c r="Q259" t="inlineStr">
        <is>
          <t>2719-8500 # 559</t>
        </is>
      </c>
      <c r="R259" t="inlineStr"/>
      <c r="S259" t="inlineStr">
        <is>
          <t>未收款</t>
        </is>
      </c>
      <c r="T259" t="inlineStr">
        <is>
          <t>320萬(年約分24期)，2027年第3期 ((202702數據蒐集)
來源：訂閱型發票及收款紀錄 第 270 列</t>
        </is>
      </c>
      <c r="U259" t="inlineStr">
        <is>
          <t>發票開立後60天</t>
        </is>
      </c>
      <c r="V259" t="inlineStr">
        <is>
          <t>2026-05-18</t>
        </is>
      </c>
    </row>
    <row r="260">
      <c r="A260" t="inlineStr">
        <is>
          <t>inv_32495b95215d</t>
        </is>
      </c>
      <c r="B260" t="inlineStr">
        <is>
          <t>Erin</t>
        </is>
      </c>
      <c r="C260" t="inlineStr"/>
      <c r="D260" t="inlineStr"/>
      <c r="E260" t="inlineStr">
        <is>
          <t>202704.0</t>
        </is>
      </c>
      <c r="F260" t="inlineStr"/>
      <c r="G260" t="inlineStr"/>
      <c r="H260" t="inlineStr">
        <is>
          <t>cus_4351be6be044</t>
        </is>
      </c>
      <c r="I260" t="inlineStr">
        <is>
          <t>域動行銷股份有限公司</t>
        </is>
      </c>
      <c r="J260" t="inlineStr">
        <is>
          <t>24450379</t>
        </is>
      </c>
      <c r="K260" t="n">
        <v>130000</v>
      </c>
      <c r="L260" t="n">
        <v>136500</v>
      </c>
      <c r="M260" t="inlineStr">
        <is>
          <t>發票數據</t>
        </is>
      </c>
      <c r="N260" t="inlineStr">
        <is>
          <t>趙威典</t>
        </is>
      </c>
      <c r="O260" t="inlineStr">
        <is>
          <t>台北市松山區南京東三段 285 號 10 樓</t>
        </is>
      </c>
      <c r="P260" t="inlineStr">
        <is>
          <t>datateam@Clickforce.com.tw</t>
        </is>
      </c>
      <c r="Q260" t="inlineStr">
        <is>
          <t>2719-8500 # 559</t>
        </is>
      </c>
      <c r="R260" t="inlineStr"/>
      <c r="S260" t="inlineStr">
        <is>
          <t>未收款</t>
        </is>
      </c>
      <c r="T260" t="inlineStr">
        <is>
          <t>320萬(年約分24期)，2027年第4期 ((202703數據蒐集)
來源：訂閱型發票及收款紀錄 第 271 列</t>
        </is>
      </c>
      <c r="U260" t="inlineStr">
        <is>
          <t>發票開立後60天</t>
        </is>
      </c>
      <c r="V260" t="inlineStr">
        <is>
          <t>2026-05-18</t>
        </is>
      </c>
    </row>
    <row r="261">
      <c r="A261" t="inlineStr">
        <is>
          <t>inv_52c5a96e1bd3</t>
        </is>
      </c>
      <c r="B261" t="inlineStr">
        <is>
          <t>Erin</t>
        </is>
      </c>
      <c r="C261" t="inlineStr"/>
      <c r="D261" t="inlineStr"/>
      <c r="E261" t="inlineStr">
        <is>
          <t>202705.0</t>
        </is>
      </c>
      <c r="F261" t="inlineStr"/>
      <c r="G261" t="inlineStr"/>
      <c r="H261" t="inlineStr">
        <is>
          <t>cus_4351be6be044</t>
        </is>
      </c>
      <c r="I261" t="inlineStr">
        <is>
          <t>域動行銷股份有限公司</t>
        </is>
      </c>
      <c r="J261" t="inlineStr">
        <is>
          <t>24450379</t>
        </is>
      </c>
      <c r="K261" t="n">
        <v>130000</v>
      </c>
      <c r="L261" t="n">
        <v>136500</v>
      </c>
      <c r="M261" t="inlineStr">
        <is>
          <t>發票數據</t>
        </is>
      </c>
      <c r="N261" t="inlineStr">
        <is>
          <t>趙威典</t>
        </is>
      </c>
      <c r="O261" t="inlineStr">
        <is>
          <t>台北市松山區南京東三段 285 號 10 樓</t>
        </is>
      </c>
      <c r="P261" t="inlineStr">
        <is>
          <t>datateam@Clickforce.com.tw</t>
        </is>
      </c>
      <c r="Q261" t="inlineStr">
        <is>
          <t>2719-8500 # 559</t>
        </is>
      </c>
      <c r="R261" t="inlineStr"/>
      <c r="S261" t="inlineStr">
        <is>
          <t>未收款</t>
        </is>
      </c>
      <c r="T261" t="inlineStr">
        <is>
          <t>320萬(年約分24期)，2027年第5期 ((202704數據蒐集)
來源：訂閱型發票及收款紀錄 第 272 列</t>
        </is>
      </c>
      <c r="U261" t="inlineStr">
        <is>
          <t>發票開立後60天</t>
        </is>
      </c>
      <c r="V261" t="inlineStr">
        <is>
          <t>2026-05-18</t>
        </is>
      </c>
    </row>
    <row r="262">
      <c r="A262" t="inlineStr">
        <is>
          <t>inv_71b134364f8a</t>
        </is>
      </c>
      <c r="B262" t="inlineStr">
        <is>
          <t>Erin</t>
        </is>
      </c>
      <c r="C262" t="inlineStr"/>
      <c r="D262" t="inlineStr"/>
      <c r="E262" t="inlineStr">
        <is>
          <t>202706.0</t>
        </is>
      </c>
      <c r="F262" t="inlineStr"/>
      <c r="G262" t="inlineStr"/>
      <c r="H262" t="inlineStr">
        <is>
          <t>cus_4351be6be044</t>
        </is>
      </c>
      <c r="I262" t="inlineStr">
        <is>
          <t>域動行銷股份有限公司</t>
        </is>
      </c>
      <c r="J262" t="inlineStr">
        <is>
          <t>24450379</t>
        </is>
      </c>
      <c r="K262" t="n">
        <v>130000</v>
      </c>
      <c r="L262" t="n">
        <v>136500</v>
      </c>
      <c r="M262" t="inlineStr">
        <is>
          <t>發票數據</t>
        </is>
      </c>
      <c r="N262" t="inlineStr">
        <is>
          <t>趙威典</t>
        </is>
      </c>
      <c r="O262" t="inlineStr">
        <is>
          <t>台北市松山區南京東三段 285 號 10 樓</t>
        </is>
      </c>
      <c r="P262" t="inlineStr">
        <is>
          <t>datateam@Clickforce.com.tw</t>
        </is>
      </c>
      <c r="Q262" t="inlineStr">
        <is>
          <t>2719-8500 # 559</t>
        </is>
      </c>
      <c r="R262" t="inlineStr"/>
      <c r="S262" t="inlineStr">
        <is>
          <t>未收款</t>
        </is>
      </c>
      <c r="T262" t="inlineStr">
        <is>
          <t>320萬(年約分24期)，2027年第6期 ((202705數據蒐集)
來源：訂閱型發票及收款紀錄 第 273 列</t>
        </is>
      </c>
      <c r="U262" t="inlineStr">
        <is>
          <t>發票開立後60天</t>
        </is>
      </c>
      <c r="V262" t="inlineStr">
        <is>
          <t>2026-05-18</t>
        </is>
      </c>
    </row>
    <row r="263">
      <c r="A263" t="inlineStr">
        <is>
          <t>inv_92c88fa2d581</t>
        </is>
      </c>
      <c r="B263" t="inlineStr">
        <is>
          <t>Erin</t>
        </is>
      </c>
      <c r="C263" t="inlineStr"/>
      <c r="D263" t="inlineStr"/>
      <c r="E263" t="inlineStr">
        <is>
          <t>202707.0</t>
        </is>
      </c>
      <c r="F263" t="inlineStr"/>
      <c r="G263" t="inlineStr"/>
      <c r="H263" t="inlineStr">
        <is>
          <t>cus_4351be6be044</t>
        </is>
      </c>
      <c r="I263" t="inlineStr">
        <is>
          <t>域動行銷股份有限公司</t>
        </is>
      </c>
      <c r="J263" t="inlineStr">
        <is>
          <t>24450379</t>
        </is>
      </c>
      <c r="K263" t="n">
        <v>130000</v>
      </c>
      <c r="L263" t="n">
        <v>136500</v>
      </c>
      <c r="M263" t="inlineStr">
        <is>
          <t>發票數據</t>
        </is>
      </c>
      <c r="N263" t="inlineStr">
        <is>
          <t>趙威典</t>
        </is>
      </c>
      <c r="O263" t="inlineStr">
        <is>
          <t>台北市松山區南京東三段 285 號 10 樓</t>
        </is>
      </c>
      <c r="P263" t="inlineStr">
        <is>
          <t>datateam@Clickforce.com.tw</t>
        </is>
      </c>
      <c r="Q263" t="inlineStr">
        <is>
          <t>2719-8500 # 559</t>
        </is>
      </c>
      <c r="R263" t="inlineStr"/>
      <c r="S263" t="inlineStr">
        <is>
          <t>未收款</t>
        </is>
      </c>
      <c r="T263" t="inlineStr">
        <is>
          <t>320萬(年約分24期)，2027年第7期 ((202706數據蒐集)
來源：訂閱型發票及收款紀錄 第 274 列</t>
        </is>
      </c>
      <c r="U263" t="inlineStr">
        <is>
          <t>發票開立後60天</t>
        </is>
      </c>
      <c r="V263" t="inlineStr">
        <is>
          <t>2026-05-18</t>
        </is>
      </c>
    </row>
    <row r="264">
      <c r="A264" t="inlineStr">
        <is>
          <t>inv_09a2c89a9087</t>
        </is>
      </c>
      <c r="B264" t="inlineStr">
        <is>
          <t>Erin</t>
        </is>
      </c>
      <c r="C264" t="inlineStr"/>
      <c r="D264" t="inlineStr"/>
      <c r="E264" t="inlineStr">
        <is>
          <t>202708.0</t>
        </is>
      </c>
      <c r="F264" t="inlineStr"/>
      <c r="G264" t="inlineStr"/>
      <c r="H264" t="inlineStr">
        <is>
          <t>cus_4351be6be044</t>
        </is>
      </c>
      <c r="I264" t="inlineStr">
        <is>
          <t>域動行銷股份有限公司</t>
        </is>
      </c>
      <c r="J264" t="inlineStr">
        <is>
          <t>24450379</t>
        </is>
      </c>
      <c r="K264" t="n">
        <v>130000</v>
      </c>
      <c r="L264" t="n">
        <v>136500</v>
      </c>
      <c r="M264" t="inlineStr">
        <is>
          <t>發票數據</t>
        </is>
      </c>
      <c r="N264" t="inlineStr">
        <is>
          <t>趙威典</t>
        </is>
      </c>
      <c r="O264" t="inlineStr">
        <is>
          <t>台北市松山區南京東三段 285 號 10 樓</t>
        </is>
      </c>
      <c r="P264" t="inlineStr">
        <is>
          <t>datateam@Clickforce.com.tw</t>
        </is>
      </c>
      <c r="Q264" t="inlineStr">
        <is>
          <t>2719-8500 # 559</t>
        </is>
      </c>
      <c r="R264" t="inlineStr"/>
      <c r="S264" t="inlineStr">
        <is>
          <t>未收款</t>
        </is>
      </c>
      <c r="T264" t="inlineStr">
        <is>
          <t>320萬(年約分24期)，2027年第8期 ((202707數據蒐集)
來源：訂閱型發票及收款紀錄 第 275 列</t>
        </is>
      </c>
      <c r="U264" t="inlineStr">
        <is>
          <t>發票開立後60天</t>
        </is>
      </c>
      <c r="V264" t="inlineStr">
        <is>
          <t>2026-05-18</t>
        </is>
      </c>
    </row>
    <row r="265">
      <c r="A265" t="inlineStr">
        <is>
          <t>inv_5595138c616f</t>
        </is>
      </c>
      <c r="B265" t="inlineStr">
        <is>
          <t>Erin</t>
        </is>
      </c>
      <c r="C265" t="inlineStr"/>
      <c r="D265" t="inlineStr"/>
      <c r="E265" t="inlineStr">
        <is>
          <t>202709.0</t>
        </is>
      </c>
      <c r="F265" t="inlineStr"/>
      <c r="G265" t="inlineStr"/>
      <c r="H265" t="inlineStr">
        <is>
          <t>cus_4351be6be044</t>
        </is>
      </c>
      <c r="I265" t="inlineStr">
        <is>
          <t>域動行銷股份有限公司</t>
        </is>
      </c>
      <c r="J265" t="inlineStr">
        <is>
          <t>24450379</t>
        </is>
      </c>
      <c r="K265" t="n">
        <v>130000</v>
      </c>
      <c r="L265" t="n">
        <v>136500</v>
      </c>
      <c r="M265" t="inlineStr">
        <is>
          <t>發票數據</t>
        </is>
      </c>
      <c r="N265" t="inlineStr">
        <is>
          <t>趙威典</t>
        </is>
      </c>
      <c r="O265" t="inlineStr">
        <is>
          <t>台北市松山區南京東三段 285 號 10 樓</t>
        </is>
      </c>
      <c r="P265" t="inlineStr">
        <is>
          <t>datateam@Clickforce.com.tw</t>
        </is>
      </c>
      <c r="Q265" t="inlineStr">
        <is>
          <t>2719-8500 # 559</t>
        </is>
      </c>
      <c r="R265" t="inlineStr"/>
      <c r="S265" t="inlineStr">
        <is>
          <t>未收款</t>
        </is>
      </c>
      <c r="T265" t="inlineStr">
        <is>
          <t>320萬(年約分24期)，2027年第9期 (202508數據蒐集)
來源：訂閱型發票及收款紀錄 第 276 列</t>
        </is>
      </c>
      <c r="U265" t="inlineStr">
        <is>
          <t>發票開立後60天</t>
        </is>
      </c>
      <c r="V265" t="inlineStr">
        <is>
          <t>2026-05-18</t>
        </is>
      </c>
    </row>
    <row r="266">
      <c r="A266" t="inlineStr">
        <is>
          <t>inv_81c7bf326bff</t>
        </is>
      </c>
      <c r="B266" t="inlineStr">
        <is>
          <t>Erin</t>
        </is>
      </c>
      <c r="C266" t="inlineStr"/>
      <c r="D266" t="inlineStr"/>
      <c r="E266" t="inlineStr">
        <is>
          <t>202710.0</t>
        </is>
      </c>
      <c r="F266" t="inlineStr"/>
      <c r="G266" t="inlineStr"/>
      <c r="H266" t="inlineStr">
        <is>
          <t>cus_4351be6be044</t>
        </is>
      </c>
      <c r="I266" t="inlineStr">
        <is>
          <t>域動行銷股份有限公司</t>
        </is>
      </c>
      <c r="J266" t="inlineStr">
        <is>
          <t>24450379</t>
        </is>
      </c>
      <c r="K266" t="n">
        <v>130000</v>
      </c>
      <c r="L266" t="n">
        <v>136500</v>
      </c>
      <c r="M266" t="inlineStr">
        <is>
          <t>發票數據</t>
        </is>
      </c>
      <c r="N266" t="inlineStr">
        <is>
          <t>趙威典</t>
        </is>
      </c>
      <c r="O266" t="inlineStr">
        <is>
          <t>台北市松山區南京東三段 285 號 10 樓</t>
        </is>
      </c>
      <c r="P266" t="inlineStr">
        <is>
          <t>datateam@Clickforce.com.tw</t>
        </is>
      </c>
      <c r="Q266" t="inlineStr">
        <is>
          <t>2719-8500 # 559</t>
        </is>
      </c>
      <c r="R266" t="inlineStr"/>
      <c r="S266" t="inlineStr">
        <is>
          <t>未收款</t>
        </is>
      </c>
      <c r="T266" t="inlineStr">
        <is>
          <t>320萬(年約分24期)，2027年第10期 (202509數據蒐集) 202510數據蒐集不收費
來源：訂閱型發票及收款紀錄 第 277 列</t>
        </is>
      </c>
      <c r="U266" t="inlineStr">
        <is>
          <t>發票開立後60天</t>
        </is>
      </c>
      <c r="V266" t="inlineStr">
        <is>
          <t>2026-05-18</t>
        </is>
      </c>
    </row>
    <row r="267">
      <c r="A267" t="inlineStr">
        <is>
          <t>inv_5332c05ab170</t>
        </is>
      </c>
      <c r="B267" t="inlineStr">
        <is>
          <t>Erin</t>
        </is>
      </c>
      <c r="C267" t="inlineStr">
        <is>
          <t>2025-04-30</t>
        </is>
      </c>
      <c r="D267" t="inlineStr">
        <is>
          <t>2559450</t>
        </is>
      </c>
      <c r="E267" t="inlineStr">
        <is>
          <t>2025-03-01 00:00:00</t>
        </is>
      </c>
      <c r="F267" t="inlineStr">
        <is>
          <t>2025-03-10</t>
        </is>
      </c>
      <c r="G267" t="inlineStr">
        <is>
          <t>LY43830129</t>
        </is>
      </c>
      <c r="H267" t="inlineStr">
        <is>
          <t>cus_4a584ce53c9f</t>
        </is>
      </c>
      <c r="I267" t="inlineStr">
        <is>
          <t>立視科技股份有限公司</t>
        </is>
      </c>
      <c r="J267" t="inlineStr">
        <is>
          <t>28715392</t>
        </is>
      </c>
      <c r="K267" t="n">
        <v>150000</v>
      </c>
      <c r="L267" t="n">
        <v>157500</v>
      </c>
      <c r="M267" t="inlineStr">
        <is>
          <t>平台訂閱</t>
        </is>
      </c>
      <c r="N267" t="inlineStr">
        <is>
          <t>Evelyn Lin</t>
        </is>
      </c>
      <c r="O267" t="inlineStr">
        <is>
          <t>台北市松山區八德路四段760號6樓</t>
        </is>
      </c>
      <c r="P267" t="inlineStr">
        <is>
          <t>evelyn.lin@tgc-taiwan.com.tw</t>
        </is>
      </c>
      <c r="Q267" t="inlineStr">
        <is>
          <t>02-2769-0188#333</t>
        </is>
      </c>
      <c r="R267" t="inlineStr"/>
      <c r="S267" t="inlineStr">
        <is>
          <t>已收款</t>
        </is>
      </c>
      <c r="T267" t="inlineStr">
        <is>
          <t>180萬年約,2025第1期,2025/2訂閱使用費(共12期)
來源：訂閱型發票及收款紀錄 第 280 列</t>
        </is>
      </c>
      <c r="U267" t="inlineStr"/>
      <c r="V267" t="inlineStr">
        <is>
          <t>2026-05-18</t>
        </is>
      </c>
    </row>
    <row r="268">
      <c r="A268" t="inlineStr">
        <is>
          <t>inv_4dec9e28132a</t>
        </is>
      </c>
      <c r="B268" t="inlineStr">
        <is>
          <t>Kate</t>
        </is>
      </c>
      <c r="C268" t="inlineStr">
        <is>
          <t>2025-05-29</t>
        </is>
      </c>
      <c r="D268" t="inlineStr">
        <is>
          <t>2589910</t>
        </is>
      </c>
      <c r="E268" t="inlineStr">
        <is>
          <t>2025-04-01 00:00:00</t>
        </is>
      </c>
      <c r="F268" t="inlineStr">
        <is>
          <t>2025-04-09</t>
        </is>
      </c>
      <c r="G268" t="inlineStr">
        <is>
          <t>LY43857865</t>
        </is>
      </c>
      <c r="H268" t="inlineStr">
        <is>
          <t>cus_4a584ce53c9f</t>
        </is>
      </c>
      <c r="I268" t="inlineStr">
        <is>
          <t>立視科技股份有限公司</t>
        </is>
      </c>
      <c r="J268" t="inlineStr">
        <is>
          <t>28715392</t>
        </is>
      </c>
      <c r="K268" t="n">
        <v>150000</v>
      </c>
      <c r="L268" t="n">
        <v>157500</v>
      </c>
      <c r="M268" t="inlineStr">
        <is>
          <t>平台訂閱</t>
        </is>
      </c>
      <c r="N268" t="inlineStr">
        <is>
          <t>Evelyn Lin</t>
        </is>
      </c>
      <c r="O268" t="inlineStr">
        <is>
          <t>台北市松山區八德路四段760號6樓</t>
        </is>
      </c>
      <c r="P268" t="inlineStr">
        <is>
          <t>evelyn.lin@tgc-taiwan.com.tw</t>
        </is>
      </c>
      <c r="Q268" t="inlineStr">
        <is>
          <t>02-2769-0188#333</t>
        </is>
      </c>
      <c r="R268" t="inlineStr"/>
      <c r="S268" t="inlineStr">
        <is>
          <t>已收款</t>
        </is>
      </c>
      <c r="T268" t="inlineStr">
        <is>
          <t>180萬年約,2025第2期,2025/3訂閱使用費(共12期)
來源：訂閱型發票及收款紀錄 第 281 列</t>
        </is>
      </c>
      <c r="U268" t="inlineStr"/>
      <c r="V268" t="inlineStr">
        <is>
          <t>2026-05-18</t>
        </is>
      </c>
    </row>
    <row r="269">
      <c r="A269" t="inlineStr">
        <is>
          <t>inv_fe8cec8a6c4a</t>
        </is>
      </c>
      <c r="B269" t="inlineStr">
        <is>
          <t>Kate</t>
        </is>
      </c>
      <c r="C269" t="inlineStr">
        <is>
          <t>2025-06-30</t>
        </is>
      </c>
      <c r="D269" t="inlineStr">
        <is>
          <t>2620514</t>
        </is>
      </c>
      <c r="E269" t="inlineStr">
        <is>
          <t>2025-05-01 00:00:00</t>
        </is>
      </c>
      <c r="F269" t="inlineStr">
        <is>
          <t>2025-05-10</t>
        </is>
      </c>
      <c r="G269" t="inlineStr">
        <is>
          <t>NY43830505</t>
        </is>
      </c>
      <c r="H269" t="inlineStr">
        <is>
          <t>cus_4a584ce53c9f</t>
        </is>
      </c>
      <c r="I269" t="inlineStr">
        <is>
          <t>立視科技股份有限公司</t>
        </is>
      </c>
      <c r="J269" t="inlineStr">
        <is>
          <t>28715392</t>
        </is>
      </c>
      <c r="K269" t="n">
        <v>150000</v>
      </c>
      <c r="L269" t="n">
        <v>157500</v>
      </c>
      <c r="M269" t="inlineStr">
        <is>
          <t>平台訂閱</t>
        </is>
      </c>
      <c r="N269" t="inlineStr">
        <is>
          <t>Evelyn Lin</t>
        </is>
      </c>
      <c r="O269" t="inlineStr">
        <is>
          <t>台北市松山區八德路四段760號6樓</t>
        </is>
      </c>
      <c r="P269" t="inlineStr">
        <is>
          <t>evelyn.lin@tgc-taiwan.com.tw</t>
        </is>
      </c>
      <c r="Q269" t="inlineStr">
        <is>
          <t>02-2769-0188#333</t>
        </is>
      </c>
      <c r="R269" t="inlineStr"/>
      <c r="S269" t="inlineStr">
        <is>
          <t>已收款</t>
        </is>
      </c>
      <c r="T269" t="inlineStr">
        <is>
          <t>180萬年約,2025第3期,2025/4訂閱使用費(共12期)
來源：訂閱型發票及收款紀錄 第 282 列</t>
        </is>
      </c>
      <c r="U269" t="inlineStr"/>
      <c r="V269" t="inlineStr">
        <is>
          <t>2026-05-18</t>
        </is>
      </c>
    </row>
    <row r="270">
      <c r="A270" t="inlineStr">
        <is>
          <t>inv_4b09aba97b04</t>
        </is>
      </c>
      <c r="B270" t="inlineStr">
        <is>
          <t>Kate</t>
        </is>
      </c>
      <c r="C270" t="inlineStr">
        <is>
          <t>2025-07-31</t>
        </is>
      </c>
      <c r="D270" t="inlineStr">
        <is>
          <t>2657782</t>
        </is>
      </c>
      <c r="E270" t="inlineStr">
        <is>
          <t>2025-06-01 00:00:00</t>
        </is>
      </c>
      <c r="F270" t="inlineStr">
        <is>
          <t>2025-06-10</t>
        </is>
      </c>
      <c r="G270" t="inlineStr">
        <is>
          <t>NY43862862</t>
        </is>
      </c>
      <c r="H270" t="inlineStr">
        <is>
          <t>cus_4a584ce53c9f</t>
        </is>
      </c>
      <c r="I270" t="inlineStr">
        <is>
          <t>立視科技股份有限公司</t>
        </is>
      </c>
      <c r="J270" t="inlineStr">
        <is>
          <t>28715392</t>
        </is>
      </c>
      <c r="K270" t="n">
        <v>150000</v>
      </c>
      <c r="L270" t="n">
        <v>157500</v>
      </c>
      <c r="M270" t="inlineStr">
        <is>
          <t>平台訂閱</t>
        </is>
      </c>
      <c r="N270" t="inlineStr">
        <is>
          <t>Evelyn Lin</t>
        </is>
      </c>
      <c r="O270" t="inlineStr">
        <is>
          <t>台北市松山區八德路四段760號6樓</t>
        </is>
      </c>
      <c r="P270" t="inlineStr">
        <is>
          <t>evelyn.lin@tgc-taiwan.com.tw</t>
        </is>
      </c>
      <c r="Q270" t="inlineStr">
        <is>
          <t>02-2769-0188#333</t>
        </is>
      </c>
      <c r="R270" t="inlineStr"/>
      <c r="S270" t="inlineStr">
        <is>
          <t>已收款</t>
        </is>
      </c>
      <c r="T270" t="inlineStr">
        <is>
          <t>180萬年約,2025第4期,2025/5訂閱使用費(共12期)
來源：訂閱型發票及收款紀錄 第 283 列</t>
        </is>
      </c>
      <c r="U270" t="inlineStr"/>
      <c r="V270" t="inlineStr">
        <is>
          <t>2026-05-18</t>
        </is>
      </c>
    </row>
    <row r="271">
      <c r="A271" t="inlineStr">
        <is>
          <t>inv_215d058a9b12</t>
        </is>
      </c>
      <c r="B271" t="inlineStr">
        <is>
          <t>Kate</t>
        </is>
      </c>
      <c r="C271" t="inlineStr">
        <is>
          <t>2025-08-29</t>
        </is>
      </c>
      <c r="D271" t="inlineStr">
        <is>
          <t>2692790</t>
        </is>
      </c>
      <c r="E271" t="inlineStr">
        <is>
          <t>2025-07-01 00:00:00</t>
        </is>
      </c>
      <c r="F271" t="inlineStr">
        <is>
          <t>2025-07-10</t>
        </is>
      </c>
      <c r="G271" t="inlineStr">
        <is>
          <t>QY43831269</t>
        </is>
      </c>
      <c r="H271" t="inlineStr">
        <is>
          <t>cus_4a584ce53c9f</t>
        </is>
      </c>
      <c r="I271" t="inlineStr">
        <is>
          <t>立視科技股份有限公司</t>
        </is>
      </c>
      <c r="J271" t="inlineStr">
        <is>
          <t>28715392</t>
        </is>
      </c>
      <c r="K271" t="n">
        <v>150000</v>
      </c>
      <c r="L271" t="n">
        <v>157500</v>
      </c>
      <c r="M271" t="inlineStr">
        <is>
          <t>平台訂閱</t>
        </is>
      </c>
      <c r="N271" t="inlineStr">
        <is>
          <t>Evelyn Lin</t>
        </is>
      </c>
      <c r="O271" t="inlineStr">
        <is>
          <t>台北市松山區八德路四段760號6樓</t>
        </is>
      </c>
      <c r="P271" t="inlineStr">
        <is>
          <t>evelyn.lin@tgc-taiwan.com.tw</t>
        </is>
      </c>
      <c r="Q271" t="inlineStr">
        <is>
          <t>02-2769-0188#333</t>
        </is>
      </c>
      <c r="R271" t="inlineStr"/>
      <c r="S271" t="inlineStr">
        <is>
          <t>已收款</t>
        </is>
      </c>
      <c r="T271" t="inlineStr">
        <is>
          <t>180萬年約,2025第5期,20256訂閱使用費(共12期)
來源：訂閱型發票及收款紀錄 第 284 列</t>
        </is>
      </c>
      <c r="U271" t="inlineStr"/>
      <c r="V271" t="inlineStr">
        <is>
          <t>2026-05-18</t>
        </is>
      </c>
    </row>
    <row r="272">
      <c r="A272" t="inlineStr">
        <is>
          <t>inv_f9f499dca3fa</t>
        </is>
      </c>
      <c r="B272" t="inlineStr">
        <is>
          <t>Kate</t>
        </is>
      </c>
      <c r="C272" t="inlineStr">
        <is>
          <t>2025-09-30</t>
        </is>
      </c>
      <c r="D272" t="inlineStr">
        <is>
          <t>2725737</t>
        </is>
      </c>
      <c r="E272" t="inlineStr">
        <is>
          <t>2025-08-01 00:00:00</t>
        </is>
      </c>
      <c r="F272" t="inlineStr">
        <is>
          <t>2025-08-08</t>
        </is>
      </c>
      <c r="G272" t="inlineStr"/>
      <c r="H272" t="inlineStr">
        <is>
          <t>cus_4a584ce53c9f</t>
        </is>
      </c>
      <c r="I272" t="inlineStr">
        <is>
          <t>立視科技股份有限公司</t>
        </is>
      </c>
      <c r="J272" t="inlineStr">
        <is>
          <t>28715392</t>
        </is>
      </c>
      <c r="K272" t="n">
        <v>150000</v>
      </c>
      <c r="L272" t="n">
        <v>157500</v>
      </c>
      <c r="M272" t="inlineStr">
        <is>
          <t>平台訂閱</t>
        </is>
      </c>
      <c r="N272" t="inlineStr">
        <is>
          <t>Evelyn Lin</t>
        </is>
      </c>
      <c r="O272" t="inlineStr">
        <is>
          <t>台北市松山區八德路四段760號6樓</t>
        </is>
      </c>
      <c r="P272" t="inlineStr">
        <is>
          <t>evelyn.lin@tgc-taiwan.com.tw</t>
        </is>
      </c>
      <c r="Q272" t="inlineStr">
        <is>
          <t>02-2769-0188#333</t>
        </is>
      </c>
      <c r="R272" t="inlineStr"/>
      <c r="S272" t="inlineStr">
        <is>
          <t>已收款</t>
        </is>
      </c>
      <c r="T272" t="inlineStr">
        <is>
          <t>180萬年約,2025第6期,2025/7訂閱使用費(共12期)
來源：訂閱型發票及收款紀錄 第 285 列</t>
        </is>
      </c>
      <c r="U272" t="inlineStr"/>
      <c r="V272" t="inlineStr">
        <is>
          <t>2026-05-18</t>
        </is>
      </c>
    </row>
    <row r="273">
      <c r="A273" t="inlineStr">
        <is>
          <t>inv_b1ac36ca62fc</t>
        </is>
      </c>
      <c r="B273" t="inlineStr">
        <is>
          <t>Kate</t>
        </is>
      </c>
      <c r="C273" t="inlineStr">
        <is>
          <t>2025-10-31</t>
        </is>
      </c>
      <c r="D273" t="inlineStr">
        <is>
          <t>2767126</t>
        </is>
      </c>
      <c r="E273" t="inlineStr">
        <is>
          <t>2025-09-01 00:00:00</t>
        </is>
      </c>
      <c r="F273" t="inlineStr">
        <is>
          <t>2025-09-10</t>
        </is>
      </c>
      <c r="G273" t="inlineStr"/>
      <c r="H273" t="inlineStr">
        <is>
          <t>cus_4a584ce53c9f</t>
        </is>
      </c>
      <c r="I273" t="inlineStr">
        <is>
          <t>立視科技股份有限公司</t>
        </is>
      </c>
      <c r="J273" t="inlineStr">
        <is>
          <t>28715392</t>
        </is>
      </c>
      <c r="K273" t="n">
        <v>150000</v>
      </c>
      <c r="L273" t="n">
        <v>157500</v>
      </c>
      <c r="M273" t="inlineStr">
        <is>
          <t>平台訂閱</t>
        </is>
      </c>
      <c r="N273" t="inlineStr">
        <is>
          <t>Evelyn Lin</t>
        </is>
      </c>
      <c r="O273" t="inlineStr">
        <is>
          <t>台北市松山區八德路四段760號6樓</t>
        </is>
      </c>
      <c r="P273" t="inlineStr">
        <is>
          <t>evelyn.lin@tgc-taiwan.com.tw</t>
        </is>
      </c>
      <c r="Q273" t="inlineStr">
        <is>
          <t>02-2769-0188#333</t>
        </is>
      </c>
      <c r="R273" t="inlineStr"/>
      <c r="S273" t="inlineStr">
        <is>
          <t>已收款</t>
        </is>
      </c>
      <c r="T273" t="inlineStr">
        <is>
          <t>180萬年約,2025第7期,2025/8訂閱使用費(共12期)
來源：訂閱型發票及收款紀錄 第 286 列</t>
        </is>
      </c>
      <c r="U273" t="inlineStr"/>
      <c r="V273" t="inlineStr">
        <is>
          <t>2026-05-18</t>
        </is>
      </c>
    </row>
    <row r="274">
      <c r="A274" t="inlineStr">
        <is>
          <t>inv_dac054e74b05</t>
        </is>
      </c>
      <c r="B274" t="inlineStr">
        <is>
          <t>Kate</t>
        </is>
      </c>
      <c r="C274" t="inlineStr">
        <is>
          <t>2025-11-28</t>
        </is>
      </c>
      <c r="D274" t="inlineStr">
        <is>
          <t>2800500</t>
        </is>
      </c>
      <c r="E274" t="inlineStr">
        <is>
          <t>2025-10-01 00:00:00</t>
        </is>
      </c>
      <c r="F274" t="inlineStr">
        <is>
          <t>2025-10-09</t>
        </is>
      </c>
      <c r="G274" t="inlineStr"/>
      <c r="H274" t="inlineStr">
        <is>
          <t>cus_4a584ce53c9f</t>
        </is>
      </c>
      <c r="I274" t="inlineStr">
        <is>
          <t>立視科技股份有限公司</t>
        </is>
      </c>
      <c r="J274" t="inlineStr">
        <is>
          <t>28715392</t>
        </is>
      </c>
      <c r="K274" t="n">
        <v>150000</v>
      </c>
      <c r="L274" t="n">
        <v>157500</v>
      </c>
      <c r="M274" t="inlineStr">
        <is>
          <t>平台訂閱</t>
        </is>
      </c>
      <c r="N274" t="inlineStr">
        <is>
          <t>Evelyn Lin</t>
        </is>
      </c>
      <c r="O274" t="inlineStr">
        <is>
          <t>台北市松山區八德路四段760號6樓</t>
        </is>
      </c>
      <c r="P274" t="inlineStr">
        <is>
          <t>evelyn.lin@tgc-taiwan.com.tw</t>
        </is>
      </c>
      <c r="Q274" t="inlineStr">
        <is>
          <t>02-2769-0188#333</t>
        </is>
      </c>
      <c r="R274" t="inlineStr"/>
      <c r="S274" t="inlineStr">
        <is>
          <t>已收款</t>
        </is>
      </c>
      <c r="T274" t="inlineStr">
        <is>
          <t>180萬年約,2025第8期,2025/9訂閱使用費(共12期)
來源：訂閱型發票及收款紀錄 第 287 列</t>
        </is>
      </c>
      <c r="U274" t="inlineStr"/>
      <c r="V274" t="inlineStr">
        <is>
          <t>2026-05-18</t>
        </is>
      </c>
    </row>
    <row r="275">
      <c r="A275" t="inlineStr">
        <is>
          <t>inv_5351f0a82c3d</t>
        </is>
      </c>
      <c r="B275" t="inlineStr">
        <is>
          <t>Kate</t>
        </is>
      </c>
      <c r="C275" t="inlineStr">
        <is>
          <t>2025-12-31</t>
        </is>
      </c>
      <c r="D275" t="inlineStr">
        <is>
          <t>2834355</t>
        </is>
      </c>
      <c r="E275" t="inlineStr">
        <is>
          <t>2025-11-01 00:00:00</t>
        </is>
      </c>
      <c r="F275" t="inlineStr">
        <is>
          <t>2025-11-10</t>
        </is>
      </c>
      <c r="G275" t="inlineStr"/>
      <c r="H275" t="inlineStr">
        <is>
          <t>cus_4a584ce53c9f</t>
        </is>
      </c>
      <c r="I275" t="inlineStr">
        <is>
          <t>立視科技股份有限公司</t>
        </is>
      </c>
      <c r="J275" t="inlineStr">
        <is>
          <t>28715392</t>
        </is>
      </c>
      <c r="K275" t="n">
        <v>150000</v>
      </c>
      <c r="L275" t="n">
        <v>157500</v>
      </c>
      <c r="M275" t="inlineStr">
        <is>
          <t>平台訂閱</t>
        </is>
      </c>
      <c r="N275" t="inlineStr">
        <is>
          <t>Evelyn Lin</t>
        </is>
      </c>
      <c r="O275" t="inlineStr">
        <is>
          <t>台北市松山區八德路四段760號6樓</t>
        </is>
      </c>
      <c r="P275" t="inlineStr">
        <is>
          <t>evelyn.lin@tgc-taiwan.com.tw</t>
        </is>
      </c>
      <c r="Q275" t="inlineStr">
        <is>
          <t>02-2769-0188#333</t>
        </is>
      </c>
      <c r="R275" t="inlineStr"/>
      <c r="S275" t="inlineStr">
        <is>
          <t>已收款</t>
        </is>
      </c>
      <c r="T275" t="inlineStr">
        <is>
          <t>180萬年約,2025第9期,202510訂閱使用費(共12期)
來源：訂閱型發票及收款紀錄 第 288 列</t>
        </is>
      </c>
      <c r="U275" t="inlineStr"/>
      <c r="V275" t="inlineStr">
        <is>
          <t>2026-05-18</t>
        </is>
      </c>
    </row>
    <row r="276">
      <c r="A276" t="inlineStr">
        <is>
          <t>inv_6c582935b961</t>
        </is>
      </c>
      <c r="B276" t="inlineStr">
        <is>
          <t>Kate</t>
        </is>
      </c>
      <c r="C276" t="inlineStr">
        <is>
          <t>2026-01-30</t>
        </is>
      </c>
      <c r="D276" t="inlineStr">
        <is>
          <t>2872822</t>
        </is>
      </c>
      <c r="E276" t="inlineStr">
        <is>
          <t>2025-12-01 00:00:00</t>
        </is>
      </c>
      <c r="F276" t="inlineStr">
        <is>
          <t>2025-12-10</t>
        </is>
      </c>
      <c r="G276" t="inlineStr"/>
      <c r="H276" t="inlineStr">
        <is>
          <t>cus_4a584ce53c9f</t>
        </is>
      </c>
      <c r="I276" t="inlineStr">
        <is>
          <t>立視科技股份有限公司</t>
        </is>
      </c>
      <c r="J276" t="inlineStr">
        <is>
          <t>28715392</t>
        </is>
      </c>
      <c r="K276" t="n">
        <v>150000</v>
      </c>
      <c r="L276" t="n">
        <v>157500</v>
      </c>
      <c r="M276" t="inlineStr">
        <is>
          <t>平台訂閱</t>
        </is>
      </c>
      <c r="N276" t="inlineStr">
        <is>
          <t>Evelyn Lin</t>
        </is>
      </c>
      <c r="O276" t="inlineStr">
        <is>
          <t>台北市松山區八德路四段760號6樓</t>
        </is>
      </c>
      <c r="P276" t="inlineStr">
        <is>
          <t>evelyn.lin@tgc-taiwan.com.tw</t>
        </is>
      </c>
      <c r="Q276" t="inlineStr">
        <is>
          <t>02-2769-0188#333</t>
        </is>
      </c>
      <c r="R276" t="inlineStr"/>
      <c r="S276" t="inlineStr">
        <is>
          <t>已收款</t>
        </is>
      </c>
      <c r="T276" t="inlineStr">
        <is>
          <t>180萬年約,2025第10期,2025/11訂閱使用費(共12期)
來源：訂閱型發票及收款紀錄 第 289 列</t>
        </is>
      </c>
      <c r="U276" t="inlineStr"/>
      <c r="V276" t="inlineStr">
        <is>
          <t>2026-05-18</t>
        </is>
      </c>
    </row>
    <row r="277">
      <c r="A277" t="inlineStr">
        <is>
          <t>inv_be320cbea9fc</t>
        </is>
      </c>
      <c r="B277" t="inlineStr">
        <is>
          <t>Kate</t>
        </is>
      </c>
      <c r="C277" t="inlineStr">
        <is>
          <t>2026-03-05</t>
        </is>
      </c>
      <c r="D277" t="inlineStr">
        <is>
          <t>2906026</t>
        </is>
      </c>
      <c r="E277" t="inlineStr">
        <is>
          <t>2026-01-01 00:00:00</t>
        </is>
      </c>
      <c r="F277" t="inlineStr">
        <is>
          <t>2026-01-09</t>
        </is>
      </c>
      <c r="G277" t="inlineStr"/>
      <c r="H277" t="inlineStr">
        <is>
          <t>cus_4a584ce53c9f</t>
        </is>
      </c>
      <c r="I277" t="inlineStr">
        <is>
          <t>立視科技股份有限公司</t>
        </is>
      </c>
      <c r="J277" t="inlineStr">
        <is>
          <t>28715392</t>
        </is>
      </c>
      <c r="K277" t="n">
        <v>150000</v>
      </c>
      <c r="L277" t="n">
        <v>157500</v>
      </c>
      <c r="M277" t="inlineStr">
        <is>
          <t>平台訂閱</t>
        </is>
      </c>
      <c r="N277" t="inlineStr">
        <is>
          <t>Evelyn Lin</t>
        </is>
      </c>
      <c r="O277" t="inlineStr">
        <is>
          <t>台北市松山區八德路四段760號6樓</t>
        </is>
      </c>
      <c r="P277" t="inlineStr">
        <is>
          <t>evelyn.lin@tgc-taiwan.com.tw</t>
        </is>
      </c>
      <c r="Q277" t="inlineStr">
        <is>
          <t>02-2769-0188#333</t>
        </is>
      </c>
      <c r="R277" t="inlineStr"/>
      <c r="S277" t="inlineStr">
        <is>
          <t>已收款</t>
        </is>
      </c>
      <c r="T277" t="inlineStr">
        <is>
          <t>180萬年約,2025第11期,2025/12訂閱使用費(共12期)
來源：訂閱型發票及收款紀錄 第 290 列</t>
        </is>
      </c>
      <c r="U277" t="inlineStr"/>
      <c r="V277" t="inlineStr">
        <is>
          <t>2026-05-18</t>
        </is>
      </c>
    </row>
    <row r="278">
      <c r="A278" t="inlineStr">
        <is>
          <t>inv_ec8ad3ee9344</t>
        </is>
      </c>
      <c r="B278" t="inlineStr">
        <is>
          <t>Kate</t>
        </is>
      </c>
      <c r="C278" t="inlineStr">
        <is>
          <t>2026-03-31</t>
        </is>
      </c>
      <c r="D278" t="inlineStr">
        <is>
          <t>2948531</t>
        </is>
      </c>
      <c r="E278" t="inlineStr">
        <is>
          <t>2026-02-01 00:00:00</t>
        </is>
      </c>
      <c r="F278" t="inlineStr">
        <is>
          <t>2026-02-10</t>
        </is>
      </c>
      <c r="G278" t="inlineStr"/>
      <c r="H278" t="inlineStr">
        <is>
          <t>cus_4a584ce53c9f</t>
        </is>
      </c>
      <c r="I278" t="inlineStr">
        <is>
          <t>立視科技股份有限公司</t>
        </is>
      </c>
      <c r="J278" t="inlineStr">
        <is>
          <t>28715392</t>
        </is>
      </c>
      <c r="K278" t="n">
        <v>150000</v>
      </c>
      <c r="L278" t="n">
        <v>157500</v>
      </c>
      <c r="M278" t="inlineStr">
        <is>
          <t>平台訂閱</t>
        </is>
      </c>
      <c r="N278" t="inlineStr">
        <is>
          <t>Evelyn Lin</t>
        </is>
      </c>
      <c r="O278" t="inlineStr">
        <is>
          <t>台北市松山區八德路四段760號6樓</t>
        </is>
      </c>
      <c r="P278" t="inlineStr">
        <is>
          <t>evelyn.lin@tgc-taiwan.com.tw</t>
        </is>
      </c>
      <c r="Q278" t="inlineStr">
        <is>
          <t>02-2769-0188#333</t>
        </is>
      </c>
      <c r="R278" t="inlineStr"/>
      <c r="S278" t="inlineStr">
        <is>
          <t>已收款</t>
        </is>
      </c>
      <c r="T278" t="inlineStr">
        <is>
          <t>180萬年約,2025第12期,2026/1訂閱使用費(共12期)
來源：訂閱型發票及收款紀錄 第 291 列</t>
        </is>
      </c>
      <c r="U278" t="inlineStr"/>
      <c r="V278" t="inlineStr">
        <is>
          <t>2026-05-18</t>
        </is>
      </c>
    </row>
    <row r="279">
      <c r="A279" t="inlineStr">
        <is>
          <t>inv_b21756f89a36</t>
        </is>
      </c>
      <c r="B279" t="inlineStr">
        <is>
          <t>Kate</t>
        </is>
      </c>
      <c r="C279" t="inlineStr">
        <is>
          <t>2026-04-30</t>
        </is>
      </c>
      <c r="D279" t="inlineStr">
        <is>
          <t>2975075</t>
        </is>
      </c>
      <c r="E279" t="inlineStr">
        <is>
          <t>2026-03-01 00:00:00</t>
        </is>
      </c>
      <c r="F279" t="inlineStr">
        <is>
          <t>2026-03-10</t>
        </is>
      </c>
      <c r="G279" t="inlineStr"/>
      <c r="H279" t="inlineStr">
        <is>
          <t>cus_4a584ce53c9f</t>
        </is>
      </c>
      <c r="I279" t="inlineStr">
        <is>
          <t>立視科技股份有限公司</t>
        </is>
      </c>
      <c r="J279" t="inlineStr">
        <is>
          <t>28715392</t>
        </is>
      </c>
      <c r="K279" t="n">
        <v>150000</v>
      </c>
      <c r="L279" t="n">
        <v>157500</v>
      </c>
      <c r="M279" t="inlineStr">
        <is>
          <t>平台訂閱</t>
        </is>
      </c>
      <c r="N279" t="inlineStr">
        <is>
          <t>Evelyn Lin</t>
        </is>
      </c>
      <c r="O279" t="inlineStr">
        <is>
          <t>台北市松山區八德路四段760號6樓</t>
        </is>
      </c>
      <c r="P279" t="inlineStr">
        <is>
          <t>evelyn.lin@tgc-taiwan.com.tw</t>
        </is>
      </c>
      <c r="Q279" t="inlineStr">
        <is>
          <t>02-2769-0188#333</t>
        </is>
      </c>
      <c r="R279" t="inlineStr"/>
      <c r="S279" t="inlineStr">
        <is>
          <t>已收款</t>
        </is>
      </c>
      <c r="T279" t="inlineStr">
        <is>
          <t>180萬年約,2026第1期,2026/2訂閱使用費(共12期)
來源：訂閱型發票及收款紀錄 第 292 列</t>
        </is>
      </c>
      <c r="U279" t="inlineStr"/>
      <c r="V279" t="inlineStr">
        <is>
          <t>2026-05-18</t>
        </is>
      </c>
    </row>
    <row r="280">
      <c r="A280" t="inlineStr">
        <is>
          <t>inv_41211c3c4402</t>
        </is>
      </c>
      <c r="B280" t="inlineStr">
        <is>
          <t>Kate</t>
        </is>
      </c>
      <c r="C280" t="inlineStr"/>
      <c r="D280" t="inlineStr">
        <is>
          <t>3020028</t>
        </is>
      </c>
      <c r="E280" t="inlineStr">
        <is>
          <t>2026-04-01 00:00:00</t>
        </is>
      </c>
      <c r="F280" t="inlineStr">
        <is>
          <t>2026-04-10</t>
        </is>
      </c>
      <c r="G280" t="inlineStr"/>
      <c r="H280" t="inlineStr">
        <is>
          <t>cus_4a584ce53c9f</t>
        </is>
      </c>
      <c r="I280" t="inlineStr">
        <is>
          <t>立視科技股份有限公司</t>
        </is>
      </c>
      <c r="J280" t="inlineStr">
        <is>
          <t>28715392</t>
        </is>
      </c>
      <c r="K280" t="n">
        <v>150000</v>
      </c>
      <c r="L280" t="n">
        <v>157500</v>
      </c>
      <c r="M280" t="inlineStr">
        <is>
          <t>平台訂閱</t>
        </is>
      </c>
      <c r="N280" t="inlineStr">
        <is>
          <t>Evelyn Lin</t>
        </is>
      </c>
      <c r="O280" t="inlineStr">
        <is>
          <t>台北市松山區八德路四段760號6樓</t>
        </is>
      </c>
      <c r="P280" t="inlineStr">
        <is>
          <t>evelyn.lin@tgc-taiwan.com.tw</t>
        </is>
      </c>
      <c r="Q280" t="inlineStr">
        <is>
          <t>02-2769-0188#333</t>
        </is>
      </c>
      <c r="R280" t="inlineStr"/>
      <c r="S280" t="inlineStr">
        <is>
          <t>未收款</t>
        </is>
      </c>
      <c r="T280" t="inlineStr">
        <is>
          <t>180萬年約,2026第2期,2026/3訂閱使用費(共12期)
來源：訂閱型發票及收款紀錄 第 293 列</t>
        </is>
      </c>
      <c r="U280" t="inlineStr"/>
      <c r="V280" t="inlineStr">
        <is>
          <t>2026-05-18</t>
        </is>
      </c>
    </row>
    <row r="281">
      <c r="A281" t="inlineStr">
        <is>
          <t>inv_a8816ec5cd43</t>
        </is>
      </c>
      <c r="B281" t="inlineStr">
        <is>
          <t>Kate</t>
        </is>
      </c>
      <c r="C281" t="inlineStr"/>
      <c r="D281" t="inlineStr"/>
      <c r="E281" t="inlineStr">
        <is>
          <t>2026-05-01 00:00:00</t>
        </is>
      </c>
      <c r="F281" t="inlineStr"/>
      <c r="G281" t="inlineStr"/>
      <c r="H281" t="inlineStr">
        <is>
          <t>cus_4a584ce53c9f</t>
        </is>
      </c>
      <c r="I281" t="inlineStr">
        <is>
          <t>立視科技股份有限公司</t>
        </is>
      </c>
      <c r="J281" t="inlineStr">
        <is>
          <t>28715392</t>
        </is>
      </c>
      <c r="K281" t="n">
        <v>150000</v>
      </c>
      <c r="L281" t="n">
        <v>157500</v>
      </c>
      <c r="M281" t="inlineStr">
        <is>
          <t>平台訂閱</t>
        </is>
      </c>
      <c r="N281" t="inlineStr">
        <is>
          <t>Evelyn Lin</t>
        </is>
      </c>
      <c r="O281" t="inlineStr">
        <is>
          <t>台北市松山區八德路四段760號6樓</t>
        </is>
      </c>
      <c r="P281" t="inlineStr">
        <is>
          <t>evelyn.lin@tgc-taiwan.com.tw</t>
        </is>
      </c>
      <c r="Q281" t="inlineStr">
        <is>
          <t>02-2769-0188#333</t>
        </is>
      </c>
      <c r="R281" t="inlineStr"/>
      <c r="S281" t="inlineStr">
        <is>
          <t>未收款</t>
        </is>
      </c>
      <c r="T281" t="inlineStr">
        <is>
          <t>180萬年約,2026第3期,2026/4訂閱使用費(共12期)
來源：訂閱型發票及收款紀錄 第 294 列</t>
        </is>
      </c>
      <c r="U281" t="inlineStr"/>
      <c r="V281" t="inlineStr">
        <is>
          <t>2026-05-18</t>
        </is>
      </c>
    </row>
    <row r="282">
      <c r="A282" t="inlineStr">
        <is>
          <t>inv_196e55f16eaa</t>
        </is>
      </c>
      <c r="B282" t="inlineStr">
        <is>
          <t>Kate</t>
        </is>
      </c>
      <c r="C282" t="inlineStr"/>
      <c r="D282" t="inlineStr"/>
      <c r="E282" t="inlineStr">
        <is>
          <t>2026-06-01 00:00:00</t>
        </is>
      </c>
      <c r="F282" t="inlineStr"/>
      <c r="G282" t="inlineStr"/>
      <c r="H282" t="inlineStr">
        <is>
          <t>cus_4a584ce53c9f</t>
        </is>
      </c>
      <c r="I282" t="inlineStr">
        <is>
          <t>立視科技股份有限公司</t>
        </is>
      </c>
      <c r="J282" t="inlineStr">
        <is>
          <t>28715392</t>
        </is>
      </c>
      <c r="K282" t="n">
        <v>150000</v>
      </c>
      <c r="L282" t="n">
        <v>157500</v>
      </c>
      <c r="M282" t="inlineStr">
        <is>
          <t>平台訂閱</t>
        </is>
      </c>
      <c r="N282" t="inlineStr">
        <is>
          <t>Evelyn Lin</t>
        </is>
      </c>
      <c r="O282" t="inlineStr">
        <is>
          <t>台北市松山區八德路四段760號6樓</t>
        </is>
      </c>
      <c r="P282" t="inlineStr">
        <is>
          <t>evelyn.lin@tgc-taiwan.com.tw</t>
        </is>
      </c>
      <c r="Q282" t="inlineStr">
        <is>
          <t>02-2769-0188#333</t>
        </is>
      </c>
      <c r="R282" t="inlineStr"/>
      <c r="S282" t="inlineStr">
        <is>
          <t>未收款</t>
        </is>
      </c>
      <c r="T282" t="inlineStr">
        <is>
          <t>180萬年約,2026第4期,2026/5訂閱使用費(共12期)
來源：訂閱型發票及收款紀錄 第 295 列</t>
        </is>
      </c>
      <c r="U282" t="inlineStr"/>
      <c r="V282" t="inlineStr">
        <is>
          <t>2026-05-18</t>
        </is>
      </c>
    </row>
    <row r="283">
      <c r="A283" t="inlineStr">
        <is>
          <t>inv_06ee14c6d6bb</t>
        </is>
      </c>
      <c r="B283" t="inlineStr">
        <is>
          <t>Kate</t>
        </is>
      </c>
      <c r="C283" t="inlineStr"/>
      <c r="D283" t="inlineStr"/>
      <c r="E283" t="inlineStr">
        <is>
          <t>2026-07-01 00:00:00</t>
        </is>
      </c>
      <c r="F283" t="inlineStr"/>
      <c r="G283" t="inlineStr"/>
      <c r="H283" t="inlineStr">
        <is>
          <t>cus_4a584ce53c9f</t>
        </is>
      </c>
      <c r="I283" t="inlineStr">
        <is>
          <t>立視科技股份有限公司</t>
        </is>
      </c>
      <c r="J283" t="inlineStr">
        <is>
          <t>28715392</t>
        </is>
      </c>
      <c r="K283" t="n">
        <v>150000</v>
      </c>
      <c r="L283" t="n">
        <v>157500</v>
      </c>
      <c r="M283" t="inlineStr">
        <is>
          <t>平台訂閱</t>
        </is>
      </c>
      <c r="N283" t="inlineStr">
        <is>
          <t>Evelyn Lin</t>
        </is>
      </c>
      <c r="O283" t="inlineStr">
        <is>
          <t>台北市松山區八德路四段760號6樓</t>
        </is>
      </c>
      <c r="P283" t="inlineStr">
        <is>
          <t>evelyn.lin@tgc-taiwan.com.tw</t>
        </is>
      </c>
      <c r="Q283" t="inlineStr">
        <is>
          <t>02-2769-0188#333</t>
        </is>
      </c>
      <c r="R283" t="inlineStr"/>
      <c r="S283" t="inlineStr">
        <is>
          <t>未收款</t>
        </is>
      </c>
      <c r="T283" t="inlineStr">
        <is>
          <t>180萬年約,2026第5期,2026/6訂閱使用費(共12期)
來源：訂閱型發票及收款紀錄 第 296 列</t>
        </is>
      </c>
      <c r="U283" t="inlineStr"/>
      <c r="V283" t="inlineStr">
        <is>
          <t>2026-05-18</t>
        </is>
      </c>
    </row>
    <row r="284">
      <c r="A284" t="inlineStr">
        <is>
          <t>inv_db6fe5996535</t>
        </is>
      </c>
      <c r="B284" t="inlineStr">
        <is>
          <t>Kate</t>
        </is>
      </c>
      <c r="C284" t="inlineStr"/>
      <c r="D284" t="inlineStr"/>
      <c r="E284" t="inlineStr">
        <is>
          <t>2026-08-01 00:00:00</t>
        </is>
      </c>
      <c r="F284" t="inlineStr"/>
      <c r="G284" t="inlineStr"/>
      <c r="H284" t="inlineStr">
        <is>
          <t>cus_4a584ce53c9f</t>
        </is>
      </c>
      <c r="I284" t="inlineStr">
        <is>
          <t>立視科技股份有限公司</t>
        </is>
      </c>
      <c r="J284" t="inlineStr">
        <is>
          <t>28715392</t>
        </is>
      </c>
      <c r="K284" t="n">
        <v>150000</v>
      </c>
      <c r="L284" t="n">
        <v>157500</v>
      </c>
      <c r="M284" t="inlineStr">
        <is>
          <t>平台訂閱</t>
        </is>
      </c>
      <c r="N284" t="inlineStr">
        <is>
          <t>Evelyn Lin</t>
        </is>
      </c>
      <c r="O284" t="inlineStr">
        <is>
          <t>台北市松山區八德路四段760號6樓</t>
        </is>
      </c>
      <c r="P284" t="inlineStr">
        <is>
          <t>evelyn.lin@tgc-taiwan.com.tw</t>
        </is>
      </c>
      <c r="Q284" t="inlineStr">
        <is>
          <t>02-2769-0188#333</t>
        </is>
      </c>
      <c r="R284" t="inlineStr"/>
      <c r="S284" t="inlineStr">
        <is>
          <t>未收款</t>
        </is>
      </c>
      <c r="T284" t="inlineStr">
        <is>
          <t>180萬年約,2026第6期,2026/7訂閱使用費(共12期)
來源：訂閱型發票及收款紀錄 第 297 列</t>
        </is>
      </c>
      <c r="U284" t="inlineStr"/>
      <c r="V284" t="inlineStr">
        <is>
          <t>2026-05-18</t>
        </is>
      </c>
    </row>
    <row r="285">
      <c r="A285" t="inlineStr">
        <is>
          <t>inv_f84f059ae88c</t>
        </is>
      </c>
      <c r="B285" t="inlineStr">
        <is>
          <t>Kate</t>
        </is>
      </c>
      <c r="C285" t="inlineStr"/>
      <c r="D285" t="inlineStr"/>
      <c r="E285" t="inlineStr">
        <is>
          <t>2026-09-01 00:00:00</t>
        </is>
      </c>
      <c r="F285" t="inlineStr"/>
      <c r="G285" t="inlineStr"/>
      <c r="H285" t="inlineStr">
        <is>
          <t>cus_4a584ce53c9f</t>
        </is>
      </c>
      <c r="I285" t="inlineStr">
        <is>
          <t>立視科技股份有限公司</t>
        </is>
      </c>
      <c r="J285" t="inlineStr">
        <is>
          <t>28715392</t>
        </is>
      </c>
      <c r="K285" t="n">
        <v>150000</v>
      </c>
      <c r="L285" t="n">
        <v>157500</v>
      </c>
      <c r="M285" t="inlineStr">
        <is>
          <t>平台訂閱</t>
        </is>
      </c>
      <c r="N285" t="inlineStr">
        <is>
          <t>Evelyn Lin</t>
        </is>
      </c>
      <c r="O285" t="inlineStr">
        <is>
          <t>台北市松山區八德路四段760號6樓</t>
        </is>
      </c>
      <c r="P285" t="inlineStr">
        <is>
          <t>evelyn.lin@tgc-taiwan.com.tw</t>
        </is>
      </c>
      <c r="Q285" t="inlineStr">
        <is>
          <t>02-2769-0188#333</t>
        </is>
      </c>
      <c r="R285" t="inlineStr"/>
      <c r="S285" t="inlineStr">
        <is>
          <t>未收款</t>
        </is>
      </c>
      <c r="T285" t="inlineStr">
        <is>
          <t>180萬年約,2026第7期,2026/8訂閱使用費(共12期)
來源：訂閱型發票及收款紀錄 第 298 列</t>
        </is>
      </c>
      <c r="U285" t="inlineStr"/>
      <c r="V285" t="inlineStr">
        <is>
          <t>2026-05-18</t>
        </is>
      </c>
    </row>
    <row r="286">
      <c r="A286" t="inlineStr">
        <is>
          <t>inv_f851b0ddd98d</t>
        </is>
      </c>
      <c r="B286" t="inlineStr">
        <is>
          <t>Kate</t>
        </is>
      </c>
      <c r="C286" t="inlineStr"/>
      <c r="D286" t="inlineStr"/>
      <c r="E286" t="inlineStr">
        <is>
          <t>2026-10-01 00:00:00</t>
        </is>
      </c>
      <c r="F286" t="inlineStr"/>
      <c r="G286" t="inlineStr"/>
      <c r="H286" t="inlineStr">
        <is>
          <t>cus_4a584ce53c9f</t>
        </is>
      </c>
      <c r="I286" t="inlineStr">
        <is>
          <t>立視科技股份有限公司</t>
        </is>
      </c>
      <c r="J286" t="inlineStr">
        <is>
          <t>28715392</t>
        </is>
      </c>
      <c r="K286" t="n">
        <v>150000</v>
      </c>
      <c r="L286" t="n">
        <v>157500</v>
      </c>
      <c r="M286" t="inlineStr">
        <is>
          <t>平台訂閱</t>
        </is>
      </c>
      <c r="N286" t="inlineStr">
        <is>
          <t>Evelyn Lin</t>
        </is>
      </c>
      <c r="O286" t="inlineStr">
        <is>
          <t>台北市松山區八德路四段760號6樓</t>
        </is>
      </c>
      <c r="P286" t="inlineStr">
        <is>
          <t>evelyn.lin@tgc-taiwan.com.tw</t>
        </is>
      </c>
      <c r="Q286" t="inlineStr">
        <is>
          <t>02-2769-0188#333</t>
        </is>
      </c>
      <c r="R286" t="inlineStr"/>
      <c r="S286" t="inlineStr">
        <is>
          <t>未收款</t>
        </is>
      </c>
      <c r="T286" t="inlineStr">
        <is>
          <t>180萬年約,2026第8期,2026/9訂閱使用費(共12期)
來源：訂閱型發票及收款紀錄 第 299 列</t>
        </is>
      </c>
      <c r="U286" t="inlineStr"/>
      <c r="V286" t="inlineStr">
        <is>
          <t>2026-05-18</t>
        </is>
      </c>
    </row>
    <row r="287">
      <c r="A287" t="inlineStr">
        <is>
          <t>inv_596190983590</t>
        </is>
      </c>
      <c r="B287" t="inlineStr">
        <is>
          <t>Kate</t>
        </is>
      </c>
      <c r="C287" t="inlineStr"/>
      <c r="D287" t="inlineStr"/>
      <c r="E287" t="inlineStr">
        <is>
          <t>2026-11-01 00:00:00</t>
        </is>
      </c>
      <c r="F287" t="inlineStr"/>
      <c r="G287" t="inlineStr"/>
      <c r="H287" t="inlineStr">
        <is>
          <t>cus_4a584ce53c9f</t>
        </is>
      </c>
      <c r="I287" t="inlineStr">
        <is>
          <t>立視科技股份有限公司</t>
        </is>
      </c>
      <c r="J287" t="inlineStr">
        <is>
          <t>28715392</t>
        </is>
      </c>
      <c r="K287" t="n">
        <v>150000</v>
      </c>
      <c r="L287" t="n">
        <v>157500</v>
      </c>
      <c r="M287" t="inlineStr">
        <is>
          <t>平台訂閱</t>
        </is>
      </c>
      <c r="N287" t="inlineStr">
        <is>
          <t>Evelyn Lin</t>
        </is>
      </c>
      <c r="O287" t="inlineStr">
        <is>
          <t>台北市松山區八德路四段760號6樓</t>
        </is>
      </c>
      <c r="P287" t="inlineStr">
        <is>
          <t>evelyn.lin@tgc-taiwan.com.tw</t>
        </is>
      </c>
      <c r="Q287" t="inlineStr">
        <is>
          <t>02-2769-0188#333</t>
        </is>
      </c>
      <c r="R287" t="inlineStr"/>
      <c r="S287" t="inlineStr">
        <is>
          <t>未收款</t>
        </is>
      </c>
      <c r="T287" t="inlineStr">
        <is>
          <t>180萬年約,2026第9期,2026/10訂閱使用費(共12期)
來源：訂閱型發票及收款紀錄 第 300 列</t>
        </is>
      </c>
      <c r="U287" t="inlineStr"/>
      <c r="V287" t="inlineStr">
        <is>
          <t>2026-05-18</t>
        </is>
      </c>
    </row>
    <row r="288">
      <c r="A288" t="inlineStr">
        <is>
          <t>inv_9bb9fa6885b0</t>
        </is>
      </c>
      <c r="B288" t="inlineStr">
        <is>
          <t>Kate</t>
        </is>
      </c>
      <c r="C288" t="inlineStr"/>
      <c r="D288" t="inlineStr"/>
      <c r="E288" t="inlineStr">
        <is>
          <t>2026-12-01 00:00:00</t>
        </is>
      </c>
      <c r="F288" t="inlineStr"/>
      <c r="G288" t="inlineStr"/>
      <c r="H288" t="inlineStr">
        <is>
          <t>cus_4a584ce53c9f</t>
        </is>
      </c>
      <c r="I288" t="inlineStr">
        <is>
          <t>立視科技股份有限公司</t>
        </is>
      </c>
      <c r="J288" t="inlineStr">
        <is>
          <t>28715392</t>
        </is>
      </c>
      <c r="K288" t="n">
        <v>150000</v>
      </c>
      <c r="L288" t="n">
        <v>157500</v>
      </c>
      <c r="M288" t="inlineStr">
        <is>
          <t>平台訂閱</t>
        </is>
      </c>
      <c r="N288" t="inlineStr">
        <is>
          <t>Evelyn Lin</t>
        </is>
      </c>
      <c r="O288" t="inlineStr">
        <is>
          <t>台北市松山區八德路四段760號6樓</t>
        </is>
      </c>
      <c r="P288" t="inlineStr">
        <is>
          <t>evelyn.lin@tgc-taiwan.com.tw</t>
        </is>
      </c>
      <c r="Q288" t="inlineStr">
        <is>
          <t>02-2769-0188#333</t>
        </is>
      </c>
      <c r="R288" t="inlineStr"/>
      <c r="S288" t="inlineStr">
        <is>
          <t>未收款</t>
        </is>
      </c>
      <c r="T288" t="inlineStr">
        <is>
          <t>180萬年約,2026第10期,2026/11訂閱使用費(共12期)
來源：訂閱型發票及收款紀錄 第 301 列</t>
        </is>
      </c>
      <c r="U288" t="inlineStr"/>
      <c r="V288" t="inlineStr">
        <is>
          <t>2026-05-18</t>
        </is>
      </c>
    </row>
    <row r="289">
      <c r="A289" t="inlineStr">
        <is>
          <t>inv_0e1d60e5c61f</t>
        </is>
      </c>
      <c r="B289" t="inlineStr">
        <is>
          <t>Kate</t>
        </is>
      </c>
      <c r="C289" t="inlineStr"/>
      <c r="D289" t="inlineStr"/>
      <c r="E289" t="inlineStr">
        <is>
          <t>2027-01-01 00:00:00</t>
        </is>
      </c>
      <c r="F289" t="inlineStr"/>
      <c r="G289" t="inlineStr"/>
      <c r="H289" t="inlineStr">
        <is>
          <t>cus_4a584ce53c9f</t>
        </is>
      </c>
      <c r="I289" t="inlineStr">
        <is>
          <t>立視科技股份有限公司</t>
        </is>
      </c>
      <c r="J289" t="inlineStr">
        <is>
          <t>28715392</t>
        </is>
      </c>
      <c r="K289" t="n">
        <v>150000</v>
      </c>
      <c r="L289" t="n">
        <v>157500</v>
      </c>
      <c r="M289" t="inlineStr">
        <is>
          <t>平台訂閱</t>
        </is>
      </c>
      <c r="N289" t="inlineStr">
        <is>
          <t>Evelyn Lin</t>
        </is>
      </c>
      <c r="O289" t="inlineStr">
        <is>
          <t>台北市松山區八德路四段760號6樓</t>
        </is>
      </c>
      <c r="P289" t="inlineStr">
        <is>
          <t>evelyn.lin@tgc-taiwan.com.tw</t>
        </is>
      </c>
      <c r="Q289" t="inlineStr">
        <is>
          <t>02-2769-0188#333</t>
        </is>
      </c>
      <c r="R289" t="inlineStr"/>
      <c r="S289" t="inlineStr">
        <is>
          <t>未收款</t>
        </is>
      </c>
      <c r="T289" t="inlineStr">
        <is>
          <t>180萬年約,2026第11期,2026/12訂閱使用費(共12期)
來源：訂閱型發票及收款紀錄 第 302 列</t>
        </is>
      </c>
      <c r="U289" t="inlineStr"/>
      <c r="V289" t="inlineStr">
        <is>
          <t>2026-05-18</t>
        </is>
      </c>
    </row>
    <row r="290">
      <c r="A290" t="inlineStr">
        <is>
          <t>inv_157b494c6fb6</t>
        </is>
      </c>
      <c r="B290" t="inlineStr">
        <is>
          <t>Kate</t>
        </is>
      </c>
      <c r="C290" t="inlineStr"/>
      <c r="D290" t="inlineStr"/>
      <c r="E290" t="inlineStr">
        <is>
          <t>2027-02-01 00:00:00</t>
        </is>
      </c>
      <c r="F290" t="inlineStr"/>
      <c r="G290" t="inlineStr"/>
      <c r="H290" t="inlineStr">
        <is>
          <t>cus_4a584ce53c9f</t>
        </is>
      </c>
      <c r="I290" t="inlineStr">
        <is>
          <t>立視科技股份有限公司</t>
        </is>
      </c>
      <c r="J290" t="inlineStr">
        <is>
          <t>28715392</t>
        </is>
      </c>
      <c r="K290" t="n">
        <v>150000</v>
      </c>
      <c r="L290" t="n">
        <v>157500</v>
      </c>
      <c r="M290" t="inlineStr">
        <is>
          <t>平台訂閱</t>
        </is>
      </c>
      <c r="N290" t="inlineStr">
        <is>
          <t>Evelyn Lin</t>
        </is>
      </c>
      <c r="O290" t="inlineStr">
        <is>
          <t>台北市松山區八德路四段760號6樓</t>
        </is>
      </c>
      <c r="P290" t="inlineStr">
        <is>
          <t>evelyn.lin@tgc-taiwan.com.tw</t>
        </is>
      </c>
      <c r="Q290" t="inlineStr">
        <is>
          <t>02-2769-0188#333</t>
        </is>
      </c>
      <c r="R290" t="inlineStr"/>
      <c r="S290" t="inlineStr">
        <is>
          <t>未收款</t>
        </is>
      </c>
      <c r="T290" t="inlineStr">
        <is>
          <t>180萬年約,2026第12期,2027/01訂閱使用費(共12期)
來源：訂閱型發票及收款紀錄 第 303 列</t>
        </is>
      </c>
      <c r="U290" t="inlineStr"/>
      <c r="V290" t="inlineStr">
        <is>
          <t>2026-05-18</t>
        </is>
      </c>
    </row>
    <row r="291">
      <c r="A291" t="inlineStr">
        <is>
          <t>inv_4f64ad1e5946</t>
        </is>
      </c>
      <c r="B291" t="inlineStr">
        <is>
          <t>Cobi</t>
        </is>
      </c>
      <c r="C291" t="inlineStr">
        <is>
          <t>2025-07-09</t>
        </is>
      </c>
      <c r="D291" t="inlineStr">
        <is>
          <t>2661578</t>
        </is>
      </c>
      <c r="E291" t="inlineStr">
        <is>
          <t>2025-06-01 00:00:00</t>
        </is>
      </c>
      <c r="F291" t="inlineStr">
        <is>
          <t>2025-06-13</t>
        </is>
      </c>
      <c r="G291" t="inlineStr">
        <is>
          <t>NY43866734</t>
        </is>
      </c>
      <c r="H291" t="inlineStr">
        <is>
          <t>cus_18a142f23643</t>
        </is>
      </c>
      <c r="I291" t="inlineStr">
        <is>
          <t>市民永續股份有限公司</t>
        </is>
      </c>
      <c r="J291" t="inlineStr">
        <is>
          <t>50771410</t>
        </is>
      </c>
      <c r="K291" t="n">
        <v>20000</v>
      </c>
      <c r="L291" t="n">
        <v>21000</v>
      </c>
      <c r="M291" t="inlineStr">
        <is>
          <t>API串接服務</t>
        </is>
      </c>
      <c r="N291" t="inlineStr">
        <is>
          <t>林庠序</t>
        </is>
      </c>
      <c r="O291" t="inlineStr">
        <is>
          <t>臺北市中正區南海路1號13樓</t>
        </is>
      </c>
      <c r="P291" t="inlineStr">
        <is>
          <t>hsuanwen@greenhope.com.tw</t>
        </is>
      </c>
      <c r="Q291" t="inlineStr">
        <is>
          <t>0928-728-716</t>
        </is>
      </c>
      <c r="R291" t="inlineStr"/>
      <c r="S291" t="inlineStr">
        <is>
          <t>已收款</t>
        </is>
      </c>
      <c r="T291" t="inlineStr">
        <is>
          <t>第1期 (共6期)
來源：訂閱型發票及收款紀錄 第 306 列</t>
        </is>
      </c>
      <c r="U291" t="inlineStr">
        <is>
          <t>收到發票後30天</t>
        </is>
      </c>
      <c r="V291" t="inlineStr">
        <is>
          <t>2026-05-18</t>
        </is>
      </c>
    </row>
    <row r="292">
      <c r="A292" t="inlineStr">
        <is>
          <t>inv_e5e80e51cff1</t>
        </is>
      </c>
      <c r="B292" t="inlineStr">
        <is>
          <t>Cobi</t>
        </is>
      </c>
      <c r="C292" t="inlineStr">
        <is>
          <t>2025-08-06</t>
        </is>
      </c>
      <c r="D292" t="inlineStr">
        <is>
          <t>2698646</t>
        </is>
      </c>
      <c r="E292" t="inlineStr">
        <is>
          <t>2025-07-01 00:00:00</t>
        </is>
      </c>
      <c r="F292" t="inlineStr">
        <is>
          <t>2025-07-15</t>
        </is>
      </c>
      <c r="G292" t="inlineStr"/>
      <c r="H292" t="inlineStr">
        <is>
          <t>cus_18a142f23643</t>
        </is>
      </c>
      <c r="I292" t="inlineStr">
        <is>
          <t>市民永續股份有限公司</t>
        </is>
      </c>
      <c r="J292" t="inlineStr">
        <is>
          <t>50771410</t>
        </is>
      </c>
      <c r="K292" t="n">
        <v>20000</v>
      </c>
      <c r="L292" t="n">
        <v>21000</v>
      </c>
      <c r="M292" t="inlineStr">
        <is>
          <t>API串接服務</t>
        </is>
      </c>
      <c r="N292" t="inlineStr">
        <is>
          <t>林庠序</t>
        </is>
      </c>
      <c r="O292" t="inlineStr">
        <is>
          <t>臺北市中正區南海路1號13樓</t>
        </is>
      </c>
      <c r="P292" t="inlineStr">
        <is>
          <t>hsuanwen@greenhope.com.tw</t>
        </is>
      </c>
      <c r="Q292" t="inlineStr">
        <is>
          <t>0928-728-716</t>
        </is>
      </c>
      <c r="R292" t="inlineStr"/>
      <c r="S292" t="inlineStr">
        <is>
          <t>已收款</t>
        </is>
      </c>
      <c r="T292" t="inlineStr">
        <is>
          <t>第2期 (共6期)
來源：訂閱型發票及收款紀錄 第 307 列</t>
        </is>
      </c>
      <c r="U292" t="inlineStr">
        <is>
          <t>收到發票後30天</t>
        </is>
      </c>
      <c r="V292" t="inlineStr">
        <is>
          <t>2026-05-18</t>
        </is>
      </c>
    </row>
    <row r="293">
      <c r="A293" t="inlineStr">
        <is>
          <t>inv_f27a6c0fede8</t>
        </is>
      </c>
      <c r="B293" t="inlineStr">
        <is>
          <t>Cobi</t>
        </is>
      </c>
      <c r="C293" t="inlineStr">
        <is>
          <t>2025-09-08</t>
        </is>
      </c>
      <c r="D293" t="inlineStr">
        <is>
          <t>2735159</t>
        </is>
      </c>
      <c r="E293" t="inlineStr">
        <is>
          <t>2025-08-01 00:00:00</t>
        </is>
      </c>
      <c r="F293" t="inlineStr">
        <is>
          <t>2025-08-15</t>
        </is>
      </c>
      <c r="G293" t="inlineStr"/>
      <c r="H293" t="inlineStr">
        <is>
          <t>cus_18a142f23643</t>
        </is>
      </c>
      <c r="I293" t="inlineStr">
        <is>
          <t>市民永續股份有限公司</t>
        </is>
      </c>
      <c r="J293" t="inlineStr">
        <is>
          <t>50771410</t>
        </is>
      </c>
      <c r="K293" t="n">
        <v>20000</v>
      </c>
      <c r="L293" t="n">
        <v>21000</v>
      </c>
      <c r="M293" t="inlineStr">
        <is>
          <t>API串接服務</t>
        </is>
      </c>
      <c r="N293" t="inlineStr">
        <is>
          <t>林庠序</t>
        </is>
      </c>
      <c r="O293" t="inlineStr">
        <is>
          <t>臺北市中正區南海路1號13樓</t>
        </is>
      </c>
      <c r="P293" t="inlineStr">
        <is>
          <t>hsuanwen@greenhope.com.tw</t>
        </is>
      </c>
      <c r="Q293" t="inlineStr">
        <is>
          <t>0928-728-716</t>
        </is>
      </c>
      <c r="R293" t="inlineStr"/>
      <c r="S293" t="inlineStr">
        <is>
          <t>已收款</t>
        </is>
      </c>
      <c r="T293" t="inlineStr">
        <is>
          <t>第3期 (共6期)
來源：訂閱型發票及收款紀錄 第 308 列</t>
        </is>
      </c>
      <c r="U293" t="inlineStr">
        <is>
          <t>收到發票後30天</t>
        </is>
      </c>
      <c r="V293" t="inlineStr">
        <is>
          <t>2026-05-18</t>
        </is>
      </c>
    </row>
    <row r="294">
      <c r="A294" t="inlineStr">
        <is>
          <t>inv_f0133ff69b44</t>
        </is>
      </c>
      <c r="B294" t="inlineStr">
        <is>
          <t>Cobi</t>
        </is>
      </c>
      <c r="C294" t="inlineStr">
        <is>
          <t>2025-10-03</t>
        </is>
      </c>
      <c r="D294" t="inlineStr">
        <is>
          <t>2772900</t>
        </is>
      </c>
      <c r="E294" t="inlineStr">
        <is>
          <t>2025-09-01 00:00:00</t>
        </is>
      </c>
      <c r="F294" t="inlineStr">
        <is>
          <t>2025-09-15</t>
        </is>
      </c>
      <c r="G294" t="inlineStr"/>
      <c r="H294" t="inlineStr">
        <is>
          <t>cus_18a142f23643</t>
        </is>
      </c>
      <c r="I294" t="inlineStr">
        <is>
          <t>市民永續股份有限公司</t>
        </is>
      </c>
      <c r="J294" t="inlineStr">
        <is>
          <t>50771410</t>
        </is>
      </c>
      <c r="K294" t="n">
        <v>20000</v>
      </c>
      <c r="L294" t="n">
        <v>21000</v>
      </c>
      <c r="M294" t="inlineStr">
        <is>
          <t>API串接服務</t>
        </is>
      </c>
      <c r="N294" t="inlineStr">
        <is>
          <t>林庠序</t>
        </is>
      </c>
      <c r="O294" t="inlineStr">
        <is>
          <t>臺北市中正區南海路1號13樓</t>
        </is>
      </c>
      <c r="P294" t="inlineStr">
        <is>
          <t>hsuanwen@greenhope.com.tw</t>
        </is>
      </c>
      <c r="Q294" t="inlineStr">
        <is>
          <t>0928-728-716</t>
        </is>
      </c>
      <c r="R294" t="inlineStr"/>
      <c r="S294" t="inlineStr">
        <is>
          <t>已收款</t>
        </is>
      </c>
      <c r="T294" t="inlineStr">
        <is>
          <t>第4期  共6期
來源：訂閱型發票及收款紀錄 第 309 列</t>
        </is>
      </c>
      <c r="U294" t="inlineStr">
        <is>
          <t>收到發票後30天</t>
        </is>
      </c>
      <c r="V294" t="inlineStr">
        <is>
          <t>2026-05-18</t>
        </is>
      </c>
    </row>
    <row r="295">
      <c r="A295" t="inlineStr">
        <is>
          <t>inv_3ac74ff21107</t>
        </is>
      </c>
      <c r="B295" t="inlineStr">
        <is>
          <t>Cobi</t>
        </is>
      </c>
      <c r="C295" t="inlineStr">
        <is>
          <t>2025-11-05</t>
        </is>
      </c>
      <c r="D295" t="inlineStr">
        <is>
          <t>2806654</t>
        </is>
      </c>
      <c r="E295" t="inlineStr">
        <is>
          <t>2025-10-01 00:00:00</t>
        </is>
      </c>
      <c r="F295" t="inlineStr">
        <is>
          <t>2025-10-15</t>
        </is>
      </c>
      <c r="G295" t="inlineStr"/>
      <c r="H295" t="inlineStr">
        <is>
          <t>cus_18a142f23643</t>
        </is>
      </c>
      <c r="I295" t="inlineStr">
        <is>
          <t>市民永續股份有限公司</t>
        </is>
      </c>
      <c r="J295" t="inlineStr">
        <is>
          <t>50771410</t>
        </is>
      </c>
      <c r="K295" t="n">
        <v>20000</v>
      </c>
      <c r="L295" t="n">
        <v>21000</v>
      </c>
      <c r="M295" t="inlineStr">
        <is>
          <t>API串接服務</t>
        </is>
      </c>
      <c r="N295" t="inlineStr">
        <is>
          <t>林庠序</t>
        </is>
      </c>
      <c r="O295" t="inlineStr">
        <is>
          <t>臺北市中正區南海路1號13樓</t>
        </is>
      </c>
      <c r="P295" t="inlineStr">
        <is>
          <t>hsuanwen@greenhope.com.tw</t>
        </is>
      </c>
      <c r="Q295" t="inlineStr">
        <is>
          <t>0928-728-716</t>
        </is>
      </c>
      <c r="R295" t="inlineStr"/>
      <c r="S295" t="inlineStr">
        <is>
          <t>已收款</t>
        </is>
      </c>
      <c r="T295" t="inlineStr">
        <is>
          <t>第5期  共6期
來源：訂閱型發票及收款紀錄 第 310 列</t>
        </is>
      </c>
      <c r="U295" t="inlineStr">
        <is>
          <t>收到發票後30天</t>
        </is>
      </c>
      <c r="V295" t="inlineStr">
        <is>
          <t>2026-05-18</t>
        </is>
      </c>
    </row>
    <row r="296">
      <c r="A296" t="inlineStr">
        <is>
          <t>inv_029f928e247e</t>
        </is>
      </c>
      <c r="B296" t="inlineStr">
        <is>
          <t>Cobi</t>
        </is>
      </c>
      <c r="C296" t="inlineStr">
        <is>
          <t>2025-12-05</t>
        </is>
      </c>
      <c r="D296" t="inlineStr">
        <is>
          <t>2844626</t>
        </is>
      </c>
      <c r="E296" t="inlineStr">
        <is>
          <t>2025-11-01 00:00:00</t>
        </is>
      </c>
      <c r="F296" t="inlineStr">
        <is>
          <t>2025-11-15</t>
        </is>
      </c>
      <c r="G296" t="inlineStr"/>
      <c r="H296" t="inlineStr">
        <is>
          <t>cus_18a142f23643</t>
        </is>
      </c>
      <c r="I296" t="inlineStr">
        <is>
          <t>市民永續股份有限公司</t>
        </is>
      </c>
      <c r="J296" t="inlineStr">
        <is>
          <t>50771410</t>
        </is>
      </c>
      <c r="K296" t="n">
        <v>20000</v>
      </c>
      <c r="L296" t="n">
        <v>21000</v>
      </c>
      <c r="M296" t="inlineStr">
        <is>
          <t>API串接服務</t>
        </is>
      </c>
      <c r="N296" t="inlineStr">
        <is>
          <t>林庠序</t>
        </is>
      </c>
      <c r="O296" t="inlineStr">
        <is>
          <t>臺北市中正區南海路1號13樓</t>
        </is>
      </c>
      <c r="P296" t="inlineStr">
        <is>
          <t>hsuanwen@greenhope.com.tw</t>
        </is>
      </c>
      <c r="Q296" t="inlineStr">
        <is>
          <t>0928-728-716</t>
        </is>
      </c>
      <c r="R296" t="inlineStr"/>
      <c r="S296" t="inlineStr">
        <is>
          <t>已收款</t>
        </is>
      </c>
      <c r="T296" t="inlineStr">
        <is>
          <t>共6期.續約半年
來源：訂閱型發票及收款紀錄 第 311 列</t>
        </is>
      </c>
      <c r="U296" t="inlineStr">
        <is>
          <t>收到發票後30天</t>
        </is>
      </c>
      <c r="V296" t="inlineStr">
        <is>
          <t>2026-05-18</t>
        </is>
      </c>
    </row>
    <row r="297">
      <c r="A297" t="inlineStr">
        <is>
          <t>inv_1209143e779e</t>
        </is>
      </c>
      <c r="B297" t="inlineStr">
        <is>
          <t>Cobi</t>
        </is>
      </c>
      <c r="C297" t="inlineStr">
        <is>
          <t>2026-01-06</t>
        </is>
      </c>
      <c r="D297" t="inlineStr">
        <is>
          <t>2878212</t>
        </is>
      </c>
      <c r="E297" t="inlineStr">
        <is>
          <t>2025-12-01 00:00:00</t>
        </is>
      </c>
      <c r="F297" t="inlineStr">
        <is>
          <t>2025-12-15</t>
        </is>
      </c>
      <c r="G297" t="inlineStr"/>
      <c r="H297" t="inlineStr">
        <is>
          <t>cus_18a142f23643</t>
        </is>
      </c>
      <c r="I297" t="inlineStr">
        <is>
          <t>市民永續股份有限公司</t>
        </is>
      </c>
      <c r="J297" t="inlineStr">
        <is>
          <t>50771410</t>
        </is>
      </c>
      <c r="K297" t="n">
        <v>20000</v>
      </c>
      <c r="L297" t="n">
        <v>21000</v>
      </c>
      <c r="M297" t="inlineStr">
        <is>
          <t>API串接服務</t>
        </is>
      </c>
      <c r="N297" t="inlineStr">
        <is>
          <t>林庠序</t>
        </is>
      </c>
      <c r="O297" t="inlineStr">
        <is>
          <t>臺北市中正區南海路1號13樓</t>
        </is>
      </c>
      <c r="P297" t="inlineStr">
        <is>
          <t>hsuanwen@greenhope.com.tw</t>
        </is>
      </c>
      <c r="Q297" t="inlineStr">
        <is>
          <t>0928-728-716</t>
        </is>
      </c>
      <c r="R297" t="inlineStr"/>
      <c r="S297" t="inlineStr">
        <is>
          <t>已收款</t>
        </is>
      </c>
      <c r="T297" t="inlineStr">
        <is>
          <t>第1期
來源：訂閱型發票及收款紀錄 第 312 列</t>
        </is>
      </c>
      <c r="U297" t="inlineStr">
        <is>
          <t>收到發票後30天</t>
        </is>
      </c>
      <c r="V297" t="inlineStr">
        <is>
          <t>2026-05-18</t>
        </is>
      </c>
    </row>
    <row r="298">
      <c r="A298" t="inlineStr">
        <is>
          <t>inv_7e50a652b87c</t>
        </is>
      </c>
      <c r="B298" t="inlineStr">
        <is>
          <t>Cobi</t>
        </is>
      </c>
      <c r="C298" t="inlineStr">
        <is>
          <t>2026-02-05</t>
        </is>
      </c>
      <c r="D298" t="inlineStr">
        <is>
          <t>2916262</t>
        </is>
      </c>
      <c r="E298" t="inlineStr">
        <is>
          <t>2026-01-01 00:00:00</t>
        </is>
      </c>
      <c r="F298" t="inlineStr">
        <is>
          <t>2026-01-15</t>
        </is>
      </c>
      <c r="G298" t="inlineStr"/>
      <c r="H298" t="inlineStr">
        <is>
          <t>cus_18a142f23643</t>
        </is>
      </c>
      <c r="I298" t="inlineStr">
        <is>
          <t>市民永續股份有限公司</t>
        </is>
      </c>
      <c r="J298" t="inlineStr">
        <is>
          <t>50771410</t>
        </is>
      </c>
      <c r="K298" t="n">
        <v>20000</v>
      </c>
      <c r="L298" t="n">
        <v>21000</v>
      </c>
      <c r="M298" t="inlineStr">
        <is>
          <t>API串接服務</t>
        </is>
      </c>
      <c r="N298" t="inlineStr">
        <is>
          <t>林庠序</t>
        </is>
      </c>
      <c r="O298" t="inlineStr">
        <is>
          <t>臺北市中正區南海路1號13樓</t>
        </is>
      </c>
      <c r="P298" t="inlineStr">
        <is>
          <t>hsuanwen@greenhope.com.tw</t>
        </is>
      </c>
      <c r="Q298" t="inlineStr">
        <is>
          <t>0928-728-716</t>
        </is>
      </c>
      <c r="R298" t="inlineStr"/>
      <c r="S298" t="inlineStr">
        <is>
          <t>已收款</t>
        </is>
      </c>
      <c r="T298" t="inlineStr">
        <is>
          <t>第2期
來源：訂閱型發票及收款紀錄 第 313 列</t>
        </is>
      </c>
      <c r="U298" t="inlineStr">
        <is>
          <t>收到發票後30天</t>
        </is>
      </c>
      <c r="V298" t="inlineStr">
        <is>
          <t>2026-05-18</t>
        </is>
      </c>
    </row>
    <row r="299">
      <c r="A299" t="inlineStr">
        <is>
          <t>inv_42d45a59d601</t>
        </is>
      </c>
      <c r="B299" t="inlineStr">
        <is>
          <t>Cobi</t>
        </is>
      </c>
      <c r="C299" t="inlineStr"/>
      <c r="D299" t="inlineStr">
        <is>
          <t>2978930</t>
        </is>
      </c>
      <c r="E299" t="inlineStr">
        <is>
          <t>2026-03-01 00:00:00</t>
        </is>
      </c>
      <c r="F299" t="inlineStr">
        <is>
          <t>2026-03-13</t>
        </is>
      </c>
      <c r="G299" t="inlineStr"/>
      <c r="H299" t="inlineStr">
        <is>
          <t>cus_18a142f23643</t>
        </is>
      </c>
      <c r="I299" t="inlineStr">
        <is>
          <t>市民永續股份有限公司</t>
        </is>
      </c>
      <c r="J299" t="inlineStr">
        <is>
          <t>50771410</t>
        </is>
      </c>
      <c r="K299" t="n">
        <v>20000</v>
      </c>
      <c r="L299" t="n">
        <v>21000</v>
      </c>
      <c r="M299" t="inlineStr">
        <is>
          <t>API串接服務</t>
        </is>
      </c>
      <c r="N299" t="inlineStr">
        <is>
          <t>林庠序</t>
        </is>
      </c>
      <c r="O299" t="inlineStr">
        <is>
          <t>臺北市中正區南海路1號13樓</t>
        </is>
      </c>
      <c r="P299" t="inlineStr">
        <is>
          <t>hsuanwen@greenhope.com.tw</t>
        </is>
      </c>
      <c r="Q299" t="inlineStr">
        <is>
          <t>0928-728-716</t>
        </is>
      </c>
      <c r="R299" t="inlineStr"/>
      <c r="S299" t="inlineStr">
        <is>
          <t>未收款</t>
        </is>
      </c>
      <c r="T299" t="inlineStr">
        <is>
          <t>第3期
來源：訂閱型發票及收款紀錄 第 314 列</t>
        </is>
      </c>
      <c r="U299" t="inlineStr">
        <is>
          <t>收到發票後30天</t>
        </is>
      </c>
      <c r="V299" t="inlineStr">
        <is>
          <t>2026-05-18</t>
        </is>
      </c>
    </row>
    <row r="300">
      <c r="A300" t="inlineStr">
        <is>
          <t>inv_67d2218d18fc</t>
        </is>
      </c>
      <c r="B300" t="inlineStr">
        <is>
          <t>Cobi</t>
        </is>
      </c>
      <c r="C300" t="inlineStr"/>
      <c r="D300" t="inlineStr">
        <is>
          <t>2978931</t>
        </is>
      </c>
      <c r="E300" t="inlineStr">
        <is>
          <t>2026-03-01 00:00:00</t>
        </is>
      </c>
      <c r="F300" t="inlineStr">
        <is>
          <t>2026-03-13</t>
        </is>
      </c>
      <c r="G300" t="inlineStr"/>
      <c r="H300" t="inlineStr">
        <is>
          <t>cus_18a142f23643</t>
        </is>
      </c>
      <c r="I300" t="inlineStr">
        <is>
          <t>市民永續股份有限公司</t>
        </is>
      </c>
      <c r="J300" t="inlineStr">
        <is>
          <t>50771410</t>
        </is>
      </c>
      <c r="K300" t="n">
        <v>20000</v>
      </c>
      <c r="L300" t="n">
        <v>21000</v>
      </c>
      <c r="M300" t="inlineStr">
        <is>
          <t>API串接服務</t>
        </is>
      </c>
      <c r="N300" t="inlineStr">
        <is>
          <t>林庠序</t>
        </is>
      </c>
      <c r="O300" t="inlineStr">
        <is>
          <t>臺北市中正區南海路1號13樓</t>
        </is>
      </c>
      <c r="P300" t="inlineStr">
        <is>
          <t>hsuanwen@greenhope.com.tw</t>
        </is>
      </c>
      <c r="Q300" t="inlineStr">
        <is>
          <t>0928-728-716</t>
        </is>
      </c>
      <c r="R300" t="inlineStr"/>
      <c r="S300" t="inlineStr">
        <is>
          <t>未收款</t>
        </is>
      </c>
      <c r="T300" t="inlineStr">
        <is>
          <t>第4期
來源：訂閱型發票及收款紀錄 第 315 列</t>
        </is>
      </c>
      <c r="U300" t="inlineStr">
        <is>
          <t>收到發票後30天</t>
        </is>
      </c>
      <c r="V300" t="inlineStr">
        <is>
          <t>2026-05-18</t>
        </is>
      </c>
    </row>
    <row r="301">
      <c r="A301" t="inlineStr">
        <is>
          <t>inv_f58a125f9634</t>
        </is>
      </c>
      <c r="B301" t="inlineStr">
        <is>
          <t>Cobi</t>
        </is>
      </c>
      <c r="C301" t="inlineStr"/>
      <c r="D301" t="inlineStr">
        <is>
          <t>B01202</t>
        </is>
      </c>
      <c r="E301" t="inlineStr">
        <is>
          <t>2026-04-02 00:00:00</t>
        </is>
      </c>
      <c r="F301" t="inlineStr">
        <is>
          <t>2026-04-15</t>
        </is>
      </c>
      <c r="G301" t="inlineStr">
        <is>
          <t>ZA96391410</t>
        </is>
      </c>
      <c r="H301" t="inlineStr">
        <is>
          <t>cus_18a142f23643</t>
        </is>
      </c>
      <c r="I301" t="inlineStr">
        <is>
          <t>市民永續股份有限公司</t>
        </is>
      </c>
      <c r="J301" t="inlineStr">
        <is>
          <t>50771410</t>
        </is>
      </c>
      <c r="K301" t="n">
        <v>20000</v>
      </c>
      <c r="L301" t="n">
        <v>21000</v>
      </c>
      <c r="M301" t="inlineStr">
        <is>
          <t>API串接服務</t>
        </is>
      </c>
      <c r="N301" t="inlineStr">
        <is>
          <t>林庠序</t>
        </is>
      </c>
      <c r="O301" t="inlineStr">
        <is>
          <t>臺北市中正區南海路1號13樓</t>
        </is>
      </c>
      <c r="P301" t="inlineStr">
        <is>
          <t>hsuanwen@greenhope.com.tw</t>
        </is>
      </c>
      <c r="Q301" t="inlineStr">
        <is>
          <t>0928-728-716</t>
        </is>
      </c>
      <c r="R301" t="inlineStr"/>
      <c r="S301" t="inlineStr">
        <is>
          <t>未收款</t>
        </is>
      </c>
      <c r="T301" t="inlineStr">
        <is>
          <t>第5期
來源：訂閱型發票及收款紀錄 第 316 列</t>
        </is>
      </c>
      <c r="U301" t="inlineStr">
        <is>
          <t>收到發票後30天</t>
        </is>
      </c>
      <c r="V301" t="inlineStr">
        <is>
          <t>2026-05-18</t>
        </is>
      </c>
    </row>
    <row r="302">
      <c r="A302" t="inlineStr">
        <is>
          <t>inv_ba858513bba1</t>
        </is>
      </c>
      <c r="B302" t="inlineStr">
        <is>
          <t>Cobi</t>
        </is>
      </c>
      <c r="C302" t="inlineStr"/>
      <c r="D302" t="inlineStr"/>
      <c r="E302" t="inlineStr">
        <is>
          <t>2026-05-04 00:00:00</t>
        </is>
      </c>
      <c r="F302" t="inlineStr"/>
      <c r="G302" t="inlineStr"/>
      <c r="H302" t="inlineStr">
        <is>
          <t>cus_18a142f23643</t>
        </is>
      </c>
      <c r="I302" t="inlineStr">
        <is>
          <t>市民永續股份有限公司</t>
        </is>
      </c>
      <c r="J302" t="inlineStr">
        <is>
          <t>50771410</t>
        </is>
      </c>
      <c r="K302" t="n">
        <v>20000</v>
      </c>
      <c r="L302" t="n">
        <v>21000</v>
      </c>
      <c r="M302" t="inlineStr">
        <is>
          <t>API串接服務</t>
        </is>
      </c>
      <c r="N302" t="inlineStr">
        <is>
          <t>林庠序</t>
        </is>
      </c>
      <c r="O302" t="inlineStr">
        <is>
          <t>臺北市中正區南海路1號13樓</t>
        </is>
      </c>
      <c r="P302" t="inlineStr">
        <is>
          <t>hsuanwen@greenhope.com.tw</t>
        </is>
      </c>
      <c r="Q302" t="inlineStr">
        <is>
          <t>0928-728-716</t>
        </is>
      </c>
      <c r="R302" t="inlineStr"/>
      <c r="S302" t="inlineStr">
        <is>
          <t>未收款</t>
        </is>
      </c>
      <c r="T302" t="inlineStr">
        <is>
          <t>第6期
來源：訂閱型發票及收款紀錄 第 317 列</t>
        </is>
      </c>
      <c r="U302" t="inlineStr">
        <is>
          <t>收到發票後30天</t>
        </is>
      </c>
      <c r="V302" t="inlineStr">
        <is>
          <t>2026-05-18</t>
        </is>
      </c>
    </row>
    <row r="303">
      <c r="A303" t="inlineStr">
        <is>
          <t>inv_fc2742833ca3</t>
        </is>
      </c>
      <c r="B303" t="inlineStr">
        <is>
          <t>Kate</t>
        </is>
      </c>
      <c r="C303" t="inlineStr">
        <is>
          <t>2025-12-15</t>
        </is>
      </c>
      <c r="D303" t="inlineStr">
        <is>
          <t>2772901</t>
        </is>
      </c>
      <c r="E303" t="inlineStr">
        <is>
          <t>2025-09-01 00:00:00</t>
        </is>
      </c>
      <c r="F303" t="inlineStr">
        <is>
          <t>2025-09-15</t>
        </is>
      </c>
      <c r="G303" t="inlineStr"/>
      <c r="H303" t="inlineStr">
        <is>
          <t>cus_45f7f5ab2cf9</t>
        </is>
      </c>
      <c r="I303" t="inlineStr">
        <is>
          <t>艾迪英特股份有限公司</t>
        </is>
      </c>
      <c r="J303" t="inlineStr">
        <is>
          <t>53327146</t>
        </is>
      </c>
      <c r="K303" t="n">
        <v>130000</v>
      </c>
      <c r="L303" t="n">
        <v>136500</v>
      </c>
      <c r="M303" t="inlineStr">
        <is>
          <t>數據收益</t>
        </is>
      </c>
      <c r="N303" t="inlineStr">
        <is>
          <t>張凱維</t>
        </is>
      </c>
      <c r="O303" t="inlineStr">
        <is>
          <t>110055台北市信義區菸廠路88號5樓之1</t>
        </is>
      </c>
      <c r="P303" t="inlineStr">
        <is>
          <t>kai.chang@thenewslens.com</t>
        </is>
      </c>
      <c r="Q303" t="inlineStr">
        <is>
          <t>0921-120-780</t>
        </is>
      </c>
      <c r="R303" t="inlineStr"/>
      <c r="S303" t="inlineStr">
        <is>
          <t>已收款</t>
        </is>
      </c>
      <c r="T303" t="inlineStr">
        <is>
          <t>160萬年約(未稅)，168萬含稅。第1期 (共12期)
來源：訂閱型發票及收款紀錄 第 319 列</t>
        </is>
      </c>
      <c r="U303" t="inlineStr">
        <is>
          <t>月結60天</t>
        </is>
      </c>
      <c r="V303" t="inlineStr">
        <is>
          <t>2026-05-18</t>
        </is>
      </c>
    </row>
    <row r="304">
      <c r="A304" t="inlineStr">
        <is>
          <t>inv_1d1e6dfff1cc</t>
        </is>
      </c>
      <c r="B304" t="inlineStr">
        <is>
          <t>Kate</t>
        </is>
      </c>
      <c r="C304" t="inlineStr">
        <is>
          <t>2025-12-31</t>
        </is>
      </c>
      <c r="D304" t="inlineStr">
        <is>
          <t>2806655</t>
        </is>
      </c>
      <c r="E304" t="inlineStr">
        <is>
          <t>2025-10-01 00:00:00</t>
        </is>
      </c>
      <c r="F304" t="inlineStr">
        <is>
          <t>2025-10-15</t>
        </is>
      </c>
      <c r="G304" t="inlineStr"/>
      <c r="H304" t="inlineStr">
        <is>
          <t>cus_45f7f5ab2cf9</t>
        </is>
      </c>
      <c r="I304" t="inlineStr">
        <is>
          <t>艾迪英特股份有限公司</t>
        </is>
      </c>
      <c r="J304" t="inlineStr">
        <is>
          <t>53327146</t>
        </is>
      </c>
      <c r="K304" t="n">
        <v>130000</v>
      </c>
      <c r="L304" t="n">
        <v>136500</v>
      </c>
      <c r="M304" t="inlineStr">
        <is>
          <t>數據收益</t>
        </is>
      </c>
      <c r="N304" t="inlineStr">
        <is>
          <t>張凱維</t>
        </is>
      </c>
      <c r="O304" t="inlineStr">
        <is>
          <t>110055台北市信義區菸廠路88號5樓之1</t>
        </is>
      </c>
      <c r="P304" t="inlineStr">
        <is>
          <t>kai.chang@thenewslens.com</t>
        </is>
      </c>
      <c r="Q304" t="inlineStr">
        <is>
          <t>0921-120-780</t>
        </is>
      </c>
      <c r="R304" t="inlineStr"/>
      <c r="S304" t="inlineStr">
        <is>
          <t>已收款</t>
        </is>
      </c>
      <c r="T304" t="inlineStr">
        <is>
          <t>160萬年約(未稅)，168萬含稅。第2期 (共12期)
來源：訂閱型發票及收款紀錄 第 320 列</t>
        </is>
      </c>
      <c r="U304" t="inlineStr">
        <is>
          <t>月結60天</t>
        </is>
      </c>
      <c r="V304" t="inlineStr">
        <is>
          <t>2026-05-18</t>
        </is>
      </c>
    </row>
    <row r="305">
      <c r="A305" t="inlineStr">
        <is>
          <t>inv_454ac9c78056</t>
        </is>
      </c>
      <c r="B305" t="inlineStr">
        <is>
          <t>Kate</t>
        </is>
      </c>
      <c r="C305" t="inlineStr">
        <is>
          <t>2026-01-30</t>
        </is>
      </c>
      <c r="D305" t="inlineStr">
        <is>
          <t>2844627</t>
        </is>
      </c>
      <c r="E305" t="inlineStr">
        <is>
          <t>2025-11-01 00:00:00</t>
        </is>
      </c>
      <c r="F305" t="inlineStr">
        <is>
          <t>2025-11-15</t>
        </is>
      </c>
      <c r="G305" t="inlineStr"/>
      <c r="H305" t="inlineStr">
        <is>
          <t>cus_45f7f5ab2cf9</t>
        </is>
      </c>
      <c r="I305" t="inlineStr">
        <is>
          <t>艾迪英特股份有限公司</t>
        </is>
      </c>
      <c r="J305" t="inlineStr">
        <is>
          <t>53327146</t>
        </is>
      </c>
      <c r="K305" t="n">
        <v>130000</v>
      </c>
      <c r="L305" t="n">
        <v>136500</v>
      </c>
      <c r="M305" t="inlineStr">
        <is>
          <t>數據收益</t>
        </is>
      </c>
      <c r="N305" t="inlineStr">
        <is>
          <t>張凱維</t>
        </is>
      </c>
      <c r="O305" t="inlineStr">
        <is>
          <t>110055台北市信義區菸廠路88號5樓之1</t>
        </is>
      </c>
      <c r="P305" t="inlineStr">
        <is>
          <t>kai.chang@thenewslens.com</t>
        </is>
      </c>
      <c r="Q305" t="inlineStr">
        <is>
          <t>0921-120-780</t>
        </is>
      </c>
      <c r="R305" t="inlineStr"/>
      <c r="S305" t="inlineStr">
        <is>
          <t>已收款</t>
        </is>
      </c>
      <c r="T305" t="inlineStr">
        <is>
          <t>160萬年約(未稅)，168萬含稅。第3期 (共12期)
來源：訂閱型發票及收款紀錄 第 321 列</t>
        </is>
      </c>
      <c r="U305" t="inlineStr">
        <is>
          <t>月結60天</t>
        </is>
      </c>
      <c r="V305" t="inlineStr">
        <is>
          <t>2026-05-18</t>
        </is>
      </c>
    </row>
    <row r="306">
      <c r="A306" t="inlineStr">
        <is>
          <t>inv_31940f39345f</t>
        </is>
      </c>
      <c r="B306" t="inlineStr">
        <is>
          <t>Kate</t>
        </is>
      </c>
      <c r="C306" t="inlineStr">
        <is>
          <t>2026-03-05</t>
        </is>
      </c>
      <c r="D306" t="inlineStr">
        <is>
          <t>2878213</t>
        </is>
      </c>
      <c r="E306" t="inlineStr">
        <is>
          <t>2025-12-01 00:00:00</t>
        </is>
      </c>
      <c r="F306" t="inlineStr">
        <is>
          <t>2025-12-15</t>
        </is>
      </c>
      <c r="G306" t="inlineStr"/>
      <c r="H306" t="inlineStr">
        <is>
          <t>cus_45f7f5ab2cf9</t>
        </is>
      </c>
      <c r="I306" t="inlineStr">
        <is>
          <t>艾迪英特股份有限公司</t>
        </is>
      </c>
      <c r="J306" t="inlineStr">
        <is>
          <t>53327146</t>
        </is>
      </c>
      <c r="K306" t="n">
        <v>130000</v>
      </c>
      <c r="L306" t="n">
        <v>136500</v>
      </c>
      <c r="M306" t="inlineStr">
        <is>
          <t>數據收益</t>
        </is>
      </c>
      <c r="N306" t="inlineStr">
        <is>
          <t>張凱維</t>
        </is>
      </c>
      <c r="O306" t="inlineStr">
        <is>
          <t>110055台北市信義區菸廠路88號5樓之1</t>
        </is>
      </c>
      <c r="P306" t="inlineStr">
        <is>
          <t>kai.chang@thenewslens.com</t>
        </is>
      </c>
      <c r="Q306" t="inlineStr">
        <is>
          <t>0921-120-780</t>
        </is>
      </c>
      <c r="R306" t="inlineStr"/>
      <c r="S306" t="inlineStr">
        <is>
          <t>已收款</t>
        </is>
      </c>
      <c r="T306" t="inlineStr">
        <is>
          <t>160萬年約(未稅)，168萬含稅。第4期 (共12期)
來源：訂閱型發票及收款紀錄 第 322 列</t>
        </is>
      </c>
      <c r="U306" t="inlineStr">
        <is>
          <t>月結60天</t>
        </is>
      </c>
      <c r="V306" t="inlineStr">
        <is>
          <t>2026-05-18</t>
        </is>
      </c>
    </row>
    <row r="307">
      <c r="A307" t="inlineStr">
        <is>
          <t>inv_854d19c486a8</t>
        </is>
      </c>
      <c r="B307" t="inlineStr">
        <is>
          <t>Kate</t>
        </is>
      </c>
      <c r="C307" t="inlineStr">
        <is>
          <t>2026-04-15</t>
        </is>
      </c>
      <c r="D307" t="inlineStr">
        <is>
          <t>2916263</t>
        </is>
      </c>
      <c r="E307" t="inlineStr">
        <is>
          <t>2026-01-01 00:00:00</t>
        </is>
      </c>
      <c r="F307" t="inlineStr">
        <is>
          <t>2026-01-15</t>
        </is>
      </c>
      <c r="G307" t="inlineStr"/>
      <c r="H307" t="inlineStr">
        <is>
          <t>cus_45f7f5ab2cf9</t>
        </is>
      </c>
      <c r="I307" t="inlineStr">
        <is>
          <t>艾迪英特股份有限公司</t>
        </is>
      </c>
      <c r="J307" t="inlineStr">
        <is>
          <t>53327146</t>
        </is>
      </c>
      <c r="K307" t="n">
        <v>130000</v>
      </c>
      <c r="L307" t="n">
        <v>136500</v>
      </c>
      <c r="M307" t="inlineStr">
        <is>
          <t>數據收益</t>
        </is>
      </c>
      <c r="N307" t="inlineStr">
        <is>
          <t>張凱維</t>
        </is>
      </c>
      <c r="O307" t="inlineStr">
        <is>
          <t>110055台北市信義區菸廠路88號5樓之1</t>
        </is>
      </c>
      <c r="P307" t="inlineStr">
        <is>
          <t>kai.chang@thenewslens.com</t>
        </is>
      </c>
      <c r="Q307" t="inlineStr">
        <is>
          <t>0921-120-780</t>
        </is>
      </c>
      <c r="R307" t="inlineStr"/>
      <c r="S307" t="inlineStr">
        <is>
          <t>已收款</t>
        </is>
      </c>
      <c r="T307" t="inlineStr">
        <is>
          <t>160萬年約(未稅)，168萬含稅。第5期 (共12期)
來源：訂閱型發票及收款紀錄 第 323 列</t>
        </is>
      </c>
      <c r="U307" t="inlineStr">
        <is>
          <t>月結60天</t>
        </is>
      </c>
      <c r="V307" t="inlineStr">
        <is>
          <t>2026-05-18</t>
        </is>
      </c>
    </row>
    <row r="308">
      <c r="A308" t="inlineStr">
        <is>
          <t>inv_2dbd483eb33d</t>
        </is>
      </c>
      <c r="B308" t="inlineStr">
        <is>
          <t>Kate</t>
        </is>
      </c>
      <c r="C308" t="inlineStr">
        <is>
          <t>2026-04-30</t>
        </is>
      </c>
      <c r="D308" t="inlineStr">
        <is>
          <t>2948532</t>
        </is>
      </c>
      <c r="E308" t="inlineStr">
        <is>
          <t>2026-02-01 00:00:00</t>
        </is>
      </c>
      <c r="F308" t="inlineStr">
        <is>
          <t>2026-02-10</t>
        </is>
      </c>
      <c r="G308" t="inlineStr"/>
      <c r="H308" t="inlineStr">
        <is>
          <t>cus_45f7f5ab2cf9</t>
        </is>
      </c>
      <c r="I308" t="inlineStr">
        <is>
          <t>艾迪英特股份有限公司</t>
        </is>
      </c>
      <c r="J308" t="inlineStr">
        <is>
          <t>53327146</t>
        </is>
      </c>
      <c r="K308" t="n">
        <v>130000</v>
      </c>
      <c r="L308" t="n">
        <v>136500</v>
      </c>
      <c r="M308" t="inlineStr">
        <is>
          <t>數據收益</t>
        </is>
      </c>
      <c r="N308" t="inlineStr">
        <is>
          <t>張凱維</t>
        </is>
      </c>
      <c r="O308" t="inlineStr">
        <is>
          <t>110055台北市信義區菸廠路88號5樓之1</t>
        </is>
      </c>
      <c r="P308" t="inlineStr">
        <is>
          <t>kai.chang@thenewslens.com</t>
        </is>
      </c>
      <c r="Q308" t="inlineStr">
        <is>
          <t>0921-120-780</t>
        </is>
      </c>
      <c r="R308" t="inlineStr"/>
      <c r="S308" t="inlineStr">
        <is>
          <t>已收款</t>
        </is>
      </c>
      <c r="T308" t="inlineStr">
        <is>
          <t>160萬年約(未稅)，168萬含稅。第6期 (共12期)
來源：訂閱型發票及收款紀錄 第 324 列</t>
        </is>
      </c>
      <c r="U308" t="inlineStr">
        <is>
          <t>月結60天</t>
        </is>
      </c>
      <c r="V308" t="inlineStr">
        <is>
          <t>2026-05-18</t>
        </is>
      </c>
    </row>
    <row r="309">
      <c r="A309" t="inlineStr">
        <is>
          <t>inv_e12c40b9ef16</t>
        </is>
      </c>
      <c r="B309" t="inlineStr">
        <is>
          <t>Kate</t>
        </is>
      </c>
      <c r="C309" t="inlineStr"/>
      <c r="D309" t="inlineStr">
        <is>
          <t>2978932</t>
        </is>
      </c>
      <c r="E309" t="inlineStr">
        <is>
          <t>2026-03-01 00:00:00</t>
        </is>
      </c>
      <c r="F309" t="inlineStr">
        <is>
          <t>2026-03-13</t>
        </is>
      </c>
      <c r="G309" t="inlineStr"/>
      <c r="H309" t="inlineStr">
        <is>
          <t>cus_45f7f5ab2cf9</t>
        </is>
      </c>
      <c r="I309" t="inlineStr">
        <is>
          <t>艾迪英特股份有限公司</t>
        </is>
      </c>
      <c r="J309" t="inlineStr">
        <is>
          <t>53327146</t>
        </is>
      </c>
      <c r="K309" t="n">
        <v>130000</v>
      </c>
      <c r="L309" t="n">
        <v>136500</v>
      </c>
      <c r="M309" t="inlineStr">
        <is>
          <t>數據收益</t>
        </is>
      </c>
      <c r="N309" t="inlineStr">
        <is>
          <t>張凱維</t>
        </is>
      </c>
      <c r="O309" t="inlineStr">
        <is>
          <t>110055台北市信義區菸廠路88號5樓之1</t>
        </is>
      </c>
      <c r="P309" t="inlineStr">
        <is>
          <t>kai.chang@thenewslens.com</t>
        </is>
      </c>
      <c r="Q309" t="inlineStr">
        <is>
          <t>0921-120-780</t>
        </is>
      </c>
      <c r="R309" t="inlineStr"/>
      <c r="S309" t="inlineStr">
        <is>
          <t>未收款</t>
        </is>
      </c>
      <c r="T309" t="inlineStr">
        <is>
          <t>160萬年約(未稅)，168萬含稅。第7期 (共12期)
來源：訂閱型發票及收款紀錄 第 325 列</t>
        </is>
      </c>
      <c r="U309" t="inlineStr">
        <is>
          <t>月結60天</t>
        </is>
      </c>
      <c r="V309" t="inlineStr">
        <is>
          <t>2026-05-18</t>
        </is>
      </c>
    </row>
    <row r="310">
      <c r="A310" t="inlineStr">
        <is>
          <t>inv_62e02ea4b67d</t>
        </is>
      </c>
      <c r="B310" t="inlineStr">
        <is>
          <t>Kate</t>
        </is>
      </c>
      <c r="C310" t="inlineStr"/>
      <c r="D310" t="inlineStr">
        <is>
          <t>B01204</t>
        </is>
      </c>
      <c r="E310" t="inlineStr">
        <is>
          <t>2026-04-01 00:00:00</t>
        </is>
      </c>
      <c r="F310" t="inlineStr">
        <is>
          <t>2026-04-15</t>
        </is>
      </c>
      <c r="G310" t="inlineStr">
        <is>
          <t>ZA96391415</t>
        </is>
      </c>
      <c r="H310" t="inlineStr">
        <is>
          <t>cus_45f7f5ab2cf9</t>
        </is>
      </c>
      <c r="I310" t="inlineStr">
        <is>
          <t>艾迪英特股份有限公司</t>
        </is>
      </c>
      <c r="J310" t="inlineStr">
        <is>
          <t>53327146</t>
        </is>
      </c>
      <c r="K310" t="n">
        <v>130000</v>
      </c>
      <c r="L310" t="n">
        <v>136500</v>
      </c>
      <c r="M310" t="inlineStr">
        <is>
          <t>數據收益</t>
        </is>
      </c>
      <c r="N310" t="inlineStr">
        <is>
          <t>張凱維</t>
        </is>
      </c>
      <c r="O310" t="inlineStr">
        <is>
          <t>110055台北市信義區菸廠路88號5樓之1</t>
        </is>
      </c>
      <c r="P310" t="inlineStr">
        <is>
          <t>kai.chang@thenewslens.com</t>
        </is>
      </c>
      <c r="Q310" t="inlineStr">
        <is>
          <t>0921-120-780</t>
        </is>
      </c>
      <c r="R310" t="inlineStr"/>
      <c r="S310" t="inlineStr">
        <is>
          <t>未收款</t>
        </is>
      </c>
      <c r="T310" t="inlineStr">
        <is>
          <t>160萬年約(未稅)，168萬含稅。第8期 (共12期)
來源：訂閱型發票及收款紀錄 第 326 列</t>
        </is>
      </c>
      <c r="U310" t="inlineStr">
        <is>
          <t>月結60天</t>
        </is>
      </c>
      <c r="V310" t="inlineStr">
        <is>
          <t>2026-05-18</t>
        </is>
      </c>
    </row>
    <row r="311">
      <c r="A311" t="inlineStr">
        <is>
          <t>inv_8e2a13d342eb</t>
        </is>
      </c>
      <c r="B311" t="inlineStr">
        <is>
          <t>Kate</t>
        </is>
      </c>
      <c r="C311" t="inlineStr"/>
      <c r="D311" t="inlineStr"/>
      <c r="E311" t="inlineStr">
        <is>
          <t>2026-05-01 00:00:00</t>
        </is>
      </c>
      <c r="F311" t="inlineStr"/>
      <c r="G311" t="inlineStr"/>
      <c r="H311" t="inlineStr">
        <is>
          <t>cus_45f7f5ab2cf9</t>
        </is>
      </c>
      <c r="I311" t="inlineStr">
        <is>
          <t>艾迪英特股份有限公司</t>
        </is>
      </c>
      <c r="J311" t="inlineStr">
        <is>
          <t>53327146</t>
        </is>
      </c>
      <c r="K311" t="n">
        <v>130000</v>
      </c>
      <c r="L311" t="n">
        <v>136500</v>
      </c>
      <c r="M311" t="inlineStr">
        <is>
          <t>數據收益</t>
        </is>
      </c>
      <c r="N311" t="inlineStr">
        <is>
          <t>張凱維</t>
        </is>
      </c>
      <c r="O311" t="inlineStr">
        <is>
          <t>110055台北市信義區菸廠路88號5樓之1</t>
        </is>
      </c>
      <c r="P311" t="inlineStr">
        <is>
          <t>kai.chang@thenewslens.com</t>
        </is>
      </c>
      <c r="Q311" t="inlineStr">
        <is>
          <t>0921-120-780</t>
        </is>
      </c>
      <c r="R311" t="inlineStr"/>
      <c r="S311" t="inlineStr">
        <is>
          <t>未收款</t>
        </is>
      </c>
      <c r="T311" t="inlineStr">
        <is>
          <t>160萬年約(未稅)，168萬含稅。第9期 (共12期)
來源：訂閱型發票及收款紀錄 第 327 列</t>
        </is>
      </c>
      <c r="U311" t="inlineStr"/>
      <c r="V311" t="inlineStr">
        <is>
          <t>2026-05-18</t>
        </is>
      </c>
    </row>
    <row r="312">
      <c r="A312" t="inlineStr">
        <is>
          <t>inv_fb7b33202c9a</t>
        </is>
      </c>
      <c r="B312" t="inlineStr">
        <is>
          <t>Kate</t>
        </is>
      </c>
      <c r="C312" t="inlineStr"/>
      <c r="D312" t="inlineStr"/>
      <c r="E312" t="inlineStr">
        <is>
          <t>2026-06-01 00:00:00</t>
        </is>
      </c>
      <c r="F312" t="inlineStr"/>
      <c r="G312" t="inlineStr"/>
      <c r="H312" t="inlineStr">
        <is>
          <t>cus_45f7f5ab2cf9</t>
        </is>
      </c>
      <c r="I312" t="inlineStr">
        <is>
          <t>艾迪英特股份有限公司</t>
        </is>
      </c>
      <c r="J312" t="inlineStr">
        <is>
          <t>53327146</t>
        </is>
      </c>
      <c r="K312" t="n">
        <v>130000</v>
      </c>
      <c r="L312" t="n">
        <v>136500</v>
      </c>
      <c r="M312" t="inlineStr">
        <is>
          <t>數據收益</t>
        </is>
      </c>
      <c r="N312" t="inlineStr">
        <is>
          <t>張凱維</t>
        </is>
      </c>
      <c r="O312" t="inlineStr">
        <is>
          <t>110055台北市信義區菸廠路88號5樓之1</t>
        </is>
      </c>
      <c r="P312" t="inlineStr">
        <is>
          <t>kai.chang@thenewslens.com</t>
        </is>
      </c>
      <c r="Q312" t="inlineStr">
        <is>
          <t>0921-120-780</t>
        </is>
      </c>
      <c r="R312" t="inlineStr"/>
      <c r="S312" t="inlineStr">
        <is>
          <t>未收款</t>
        </is>
      </c>
      <c r="T312" t="inlineStr">
        <is>
          <t>160萬年約(未稅)，168萬含稅。第10期 (共12期)
來源：訂閱型發票及收款紀錄 第 328 列</t>
        </is>
      </c>
      <c r="U312" t="inlineStr"/>
      <c r="V312" t="inlineStr">
        <is>
          <t>2026-05-18</t>
        </is>
      </c>
    </row>
    <row r="313">
      <c r="A313" t="inlineStr">
        <is>
          <t>inv_ac0e92fb575b</t>
        </is>
      </c>
      <c r="B313" t="inlineStr">
        <is>
          <t>Kate</t>
        </is>
      </c>
      <c r="C313" t="inlineStr"/>
      <c r="D313" t="inlineStr"/>
      <c r="E313" t="inlineStr">
        <is>
          <t>2026-07-01 00:00:00</t>
        </is>
      </c>
      <c r="F313" t="inlineStr"/>
      <c r="G313" t="inlineStr"/>
      <c r="H313" t="inlineStr">
        <is>
          <t>cus_45f7f5ab2cf9</t>
        </is>
      </c>
      <c r="I313" t="inlineStr">
        <is>
          <t>艾迪英特股份有限公司</t>
        </is>
      </c>
      <c r="J313" t="inlineStr">
        <is>
          <t>53327146</t>
        </is>
      </c>
      <c r="K313" t="n">
        <v>130000</v>
      </c>
      <c r="L313" t="n">
        <v>136500</v>
      </c>
      <c r="M313" t="inlineStr">
        <is>
          <t>數據收益</t>
        </is>
      </c>
      <c r="N313" t="inlineStr">
        <is>
          <t>張凱維</t>
        </is>
      </c>
      <c r="O313" t="inlineStr">
        <is>
          <t>110055台北市信義區菸廠路88號5樓之1</t>
        </is>
      </c>
      <c r="P313" t="inlineStr">
        <is>
          <t>kai.chang@thenewslens.com</t>
        </is>
      </c>
      <c r="Q313" t="inlineStr">
        <is>
          <t>0921-120-780</t>
        </is>
      </c>
      <c r="R313" t="inlineStr"/>
      <c r="S313" t="inlineStr">
        <is>
          <t>未收款</t>
        </is>
      </c>
      <c r="T313" t="inlineStr">
        <is>
          <t>160萬年約(未稅)，168萬含稅。第11期 (共12期)
來源：訂閱型發票及收款紀錄 第 329 列</t>
        </is>
      </c>
      <c r="U313" t="inlineStr"/>
      <c r="V313" t="inlineStr">
        <is>
          <t>2026-05-18</t>
        </is>
      </c>
    </row>
    <row r="314">
      <c r="A314" t="inlineStr">
        <is>
          <t>inv_02bb0a4eb88c</t>
        </is>
      </c>
      <c r="B314" t="inlineStr">
        <is>
          <t>Kate</t>
        </is>
      </c>
      <c r="C314" t="inlineStr"/>
      <c r="D314" t="inlineStr"/>
      <c r="E314" t="inlineStr">
        <is>
          <t>2026-08-01 00:00:00</t>
        </is>
      </c>
      <c r="F314" t="inlineStr"/>
      <c r="G314" t="inlineStr"/>
      <c r="H314" t="inlineStr">
        <is>
          <t>cus_45f7f5ab2cf9</t>
        </is>
      </c>
      <c r="I314" t="inlineStr">
        <is>
          <t>艾迪英特股份有限公司</t>
        </is>
      </c>
      <c r="J314" t="inlineStr">
        <is>
          <t>53327146</t>
        </is>
      </c>
      <c r="K314" t="n">
        <v>170000</v>
      </c>
      <c r="L314" t="n">
        <v>178500</v>
      </c>
      <c r="M314" t="inlineStr">
        <is>
          <t>數據收益</t>
        </is>
      </c>
      <c r="N314" t="inlineStr">
        <is>
          <t>張凱維</t>
        </is>
      </c>
      <c r="O314" t="inlineStr">
        <is>
          <t>110055台北市信義區菸廠路88號5樓之1</t>
        </is>
      </c>
      <c r="P314" t="inlineStr">
        <is>
          <t>kai.chang@thenewslens.com</t>
        </is>
      </c>
      <c r="Q314" t="inlineStr">
        <is>
          <t>0921-120-780</t>
        </is>
      </c>
      <c r="R314" t="inlineStr"/>
      <c r="S314" t="inlineStr">
        <is>
          <t>未收款</t>
        </is>
      </c>
      <c r="T314" t="inlineStr">
        <is>
          <t>160萬年約(未稅)，168萬含稅。第12期 (共12期)
來源：訂閱型發票及收款紀錄 第 330 列</t>
        </is>
      </c>
      <c r="U314" t="inlineStr"/>
      <c r="V314" t="inlineStr">
        <is>
          <t>2026-05-18</t>
        </is>
      </c>
    </row>
    <row r="315">
      <c r="A315" t="inlineStr">
        <is>
          <t>inv_19e95d7f0dfb</t>
        </is>
      </c>
      <c r="B315" t="inlineStr">
        <is>
          <t>瀞鍶</t>
        </is>
      </c>
      <c r="C315" t="inlineStr">
        <is>
          <t>2025-12-22</t>
        </is>
      </c>
      <c r="D315" t="inlineStr">
        <is>
          <t>2829116</t>
        </is>
      </c>
      <c r="E315" t="inlineStr">
        <is>
          <t>2025-11-01 00:00:00</t>
        </is>
      </c>
      <c r="F315" t="inlineStr">
        <is>
          <t>2025-11-05</t>
        </is>
      </c>
      <c r="G315" t="inlineStr"/>
      <c r="H315" t="inlineStr">
        <is>
          <t>cus_3816722e3e66</t>
        </is>
      </c>
      <c r="I315" t="inlineStr">
        <is>
          <t>全聯實業股份有限公司</t>
        </is>
      </c>
      <c r="J315" t="inlineStr">
        <is>
          <t>16740494</t>
        </is>
      </c>
      <c r="K315" t="n">
        <v>90000</v>
      </c>
      <c r="L315" t="n">
        <v>94500</v>
      </c>
      <c r="M315" t="inlineStr">
        <is>
          <t>發票記帳本專案</t>
        </is>
      </c>
      <c r="N315" t="inlineStr">
        <is>
          <t>邱俊皓 Howard</t>
        </is>
      </c>
      <c r="O315" t="inlineStr">
        <is>
          <t>台北市中山區敬業四路33號4樓</t>
        </is>
      </c>
      <c r="P315" t="inlineStr">
        <is>
          <t>howard_chiu@pxmart.com.tw</t>
        </is>
      </c>
      <c r="Q315" t="inlineStr">
        <is>
          <t>02-2532-8000 ext. 1207</t>
        </is>
      </c>
      <c r="R315" t="inlineStr"/>
      <c r="S315" t="inlineStr">
        <is>
          <t>已收款</t>
        </is>
      </c>
      <c r="T315" t="inlineStr">
        <is>
          <t>10月雲端記帳API租用。
來源：訂閱型發票及收款紀錄 第 332 列</t>
        </is>
      </c>
      <c r="U315" t="inlineStr">
        <is>
          <t>每月5號開立。收到發票隔月30號。發票開立至2026年五月為最後一期。</t>
        </is>
      </c>
      <c r="V315" t="inlineStr">
        <is>
          <t>2026-05-18</t>
        </is>
      </c>
    </row>
    <row r="316">
      <c r="A316" t="inlineStr">
        <is>
          <t>inv_40e889fdc349</t>
        </is>
      </c>
      <c r="B316" t="inlineStr">
        <is>
          <t>瀞鍶</t>
        </is>
      </c>
      <c r="C316" t="inlineStr">
        <is>
          <t>2026-01-20</t>
        </is>
      </c>
      <c r="D316" t="inlineStr">
        <is>
          <t>2867319</t>
        </is>
      </c>
      <c r="E316" t="inlineStr">
        <is>
          <t>2025-12-01 00:00:00</t>
        </is>
      </c>
      <c r="F316" t="inlineStr">
        <is>
          <t>2025-12-05</t>
        </is>
      </c>
      <c r="G316" t="inlineStr"/>
      <c r="H316" t="inlineStr">
        <is>
          <t>cus_3816722e3e66</t>
        </is>
      </c>
      <c r="I316" t="inlineStr">
        <is>
          <t>全聯實業股份有限公司</t>
        </is>
      </c>
      <c r="J316" t="inlineStr">
        <is>
          <t>16740494</t>
        </is>
      </c>
      <c r="K316" t="n">
        <v>90000</v>
      </c>
      <c r="L316" t="n">
        <v>94500</v>
      </c>
      <c r="M316" t="inlineStr">
        <is>
          <t>發票記帳本專案</t>
        </is>
      </c>
      <c r="N316" t="inlineStr">
        <is>
          <t>邱俊皓 Howard</t>
        </is>
      </c>
      <c r="O316" t="inlineStr">
        <is>
          <t>台北市中山區敬業四路33號4樓</t>
        </is>
      </c>
      <c r="P316" t="inlineStr">
        <is>
          <t>howard_chiu@pxmart.com.tw</t>
        </is>
      </c>
      <c r="Q316" t="inlineStr">
        <is>
          <t>02-2532-8000 ext. 1207</t>
        </is>
      </c>
      <c r="R316" t="inlineStr"/>
      <c r="S316" t="inlineStr">
        <is>
          <t>已收款</t>
        </is>
      </c>
      <c r="T316" t="inlineStr">
        <is>
          <t>11月雲端記帳API租用。
來源：訂閱型發票及收款紀錄 第 333 列</t>
        </is>
      </c>
      <c r="U316" t="inlineStr">
        <is>
          <t>每月5號開立。收到發票隔月30號。發票開立至2026年五月為最後一期。</t>
        </is>
      </c>
      <c r="V316" t="inlineStr">
        <is>
          <t>2026-05-18</t>
        </is>
      </c>
    </row>
    <row r="317">
      <c r="A317" t="inlineStr">
        <is>
          <t>inv_64724fd09c22</t>
        </is>
      </c>
      <c r="B317" t="inlineStr">
        <is>
          <t>瀞鍶</t>
        </is>
      </c>
      <c r="C317" t="inlineStr">
        <is>
          <t>2026-03-05</t>
        </is>
      </c>
      <c r="D317" t="inlineStr">
        <is>
          <t>2899808</t>
        </is>
      </c>
      <c r="E317" t="inlineStr">
        <is>
          <t>2026-01-01 00:00:00</t>
        </is>
      </c>
      <c r="F317" t="inlineStr">
        <is>
          <t>2026-01-05</t>
        </is>
      </c>
      <c r="G317" t="inlineStr"/>
      <c r="H317" t="inlineStr">
        <is>
          <t>cus_3816722e3e66</t>
        </is>
      </c>
      <c r="I317" t="inlineStr">
        <is>
          <t>全聯實業股份有限公司</t>
        </is>
      </c>
      <c r="J317" t="inlineStr">
        <is>
          <t>16740494</t>
        </is>
      </c>
      <c r="K317" t="n">
        <v>90000</v>
      </c>
      <c r="L317" t="n">
        <v>94500</v>
      </c>
      <c r="M317" t="inlineStr">
        <is>
          <t>發票記帳本專案</t>
        </is>
      </c>
      <c r="N317" t="inlineStr">
        <is>
          <t>邱俊皓 Howard</t>
        </is>
      </c>
      <c r="O317" t="inlineStr">
        <is>
          <t>台北市中山區敬業四路33號4樓</t>
        </is>
      </c>
      <c r="P317" t="inlineStr">
        <is>
          <t>howard_chiu@pxmart.com.tw</t>
        </is>
      </c>
      <c r="Q317" t="inlineStr">
        <is>
          <t>02-2532-8000 ext. 1207</t>
        </is>
      </c>
      <c r="R317" t="inlineStr"/>
      <c r="S317" t="inlineStr">
        <is>
          <t>已收款</t>
        </is>
      </c>
      <c r="T317" t="inlineStr">
        <is>
          <t>12月雲端記帳API租用。
來源：訂閱型發票及收款紀錄 第 334 列</t>
        </is>
      </c>
      <c r="U317" t="inlineStr">
        <is>
          <t>每月5號開立。收到發票隔月30號。發票開立至2026年五月為最後一期。</t>
        </is>
      </c>
      <c r="V317" t="inlineStr">
        <is>
          <t>2026-05-18</t>
        </is>
      </c>
    </row>
    <row r="318">
      <c r="A318" t="inlineStr">
        <is>
          <t>inv_552a009eaf41</t>
        </is>
      </c>
      <c r="B318" t="inlineStr">
        <is>
          <t>瀞鍶</t>
        </is>
      </c>
      <c r="C318" t="inlineStr">
        <is>
          <t>2026-05-05</t>
        </is>
      </c>
      <c r="D318" t="inlineStr">
        <is>
          <t>2944167</t>
        </is>
      </c>
      <c r="E318" t="inlineStr">
        <is>
          <t>2026-02-01 00:00:00</t>
        </is>
      </c>
      <c r="F318" t="inlineStr">
        <is>
          <t>2026-02-06</t>
        </is>
      </c>
      <c r="G318" t="inlineStr"/>
      <c r="H318" t="inlineStr">
        <is>
          <t>cus_3816722e3e66</t>
        </is>
      </c>
      <c r="I318" t="inlineStr">
        <is>
          <t>全聯實業股份有限公司</t>
        </is>
      </c>
      <c r="J318" t="inlineStr">
        <is>
          <t>16740494</t>
        </is>
      </c>
      <c r="K318" t="n">
        <v>120000</v>
      </c>
      <c r="L318" t="n">
        <v>126000</v>
      </c>
      <c r="M318" t="inlineStr">
        <is>
          <t>發票記帳本專案</t>
        </is>
      </c>
      <c r="N318" t="inlineStr">
        <is>
          <t>邱俊皓 Howard</t>
        </is>
      </c>
      <c r="O318" t="inlineStr">
        <is>
          <t>台北市中山區敬業四路33號4樓</t>
        </is>
      </c>
      <c r="P318" t="inlineStr">
        <is>
          <t>howard_chiu@pxmart.com.tw</t>
        </is>
      </c>
      <c r="Q318" t="inlineStr">
        <is>
          <t>02-2532-8000 ext. 1207</t>
        </is>
      </c>
      <c r="R318" t="inlineStr"/>
      <c r="S318" t="inlineStr">
        <is>
          <t>已收款</t>
        </is>
      </c>
      <c r="T318" t="inlineStr">
        <is>
          <t>1月雲端記帳API租用。
來源：訂閱型發票及收款紀錄 第 335 列</t>
        </is>
      </c>
      <c r="U318" t="inlineStr">
        <is>
          <t>每月5號開立。收到發票隔月30號。發票開立至2026年五月為最後一期。</t>
        </is>
      </c>
      <c r="V318" t="inlineStr">
        <is>
          <t>2026-05-18</t>
        </is>
      </c>
    </row>
    <row r="319">
      <c r="A319" t="inlineStr">
        <is>
          <t>inv_8c4c96948131</t>
        </is>
      </c>
      <c r="B319" t="inlineStr">
        <is>
          <t>瀞鍶</t>
        </is>
      </c>
      <c r="C319" t="inlineStr">
        <is>
          <t>2026-05-05</t>
        </is>
      </c>
      <c r="D319" t="inlineStr">
        <is>
          <t>2970439</t>
        </is>
      </c>
      <c r="E319" t="inlineStr">
        <is>
          <t>2026-03-01 00:00:00</t>
        </is>
      </c>
      <c r="F319" t="inlineStr">
        <is>
          <t>2026-03-05</t>
        </is>
      </c>
      <c r="G319" t="inlineStr"/>
      <c r="H319" t="inlineStr">
        <is>
          <t>cus_3816722e3e66</t>
        </is>
      </c>
      <c r="I319" t="inlineStr">
        <is>
          <t>全聯實業股份有限公司</t>
        </is>
      </c>
      <c r="J319" t="inlineStr">
        <is>
          <t>16740494</t>
        </is>
      </c>
      <c r="K319" t="n">
        <v>120000</v>
      </c>
      <c r="L319" t="n">
        <v>126000</v>
      </c>
      <c r="M319" t="inlineStr">
        <is>
          <t>發票記帳本專案</t>
        </is>
      </c>
      <c r="N319" t="inlineStr">
        <is>
          <t>邱俊皓 Howard</t>
        </is>
      </c>
      <c r="O319" t="inlineStr">
        <is>
          <t>台北市中山區敬業四路33號4樓</t>
        </is>
      </c>
      <c r="P319" t="inlineStr">
        <is>
          <t>howard_chiu@pxmart.com.tw</t>
        </is>
      </c>
      <c r="Q319" t="inlineStr">
        <is>
          <t>02-2532-8000 ext. 1207</t>
        </is>
      </c>
      <c r="R319" t="inlineStr"/>
      <c r="S319" t="inlineStr">
        <is>
          <t>已收款</t>
        </is>
      </c>
      <c r="T319" t="inlineStr">
        <is>
          <t>2月雲端記帳API租用。
來源：訂閱型發票及收款紀錄 第 336 列</t>
        </is>
      </c>
      <c r="U319" t="inlineStr">
        <is>
          <t>每月5號開立。收到發票隔月30號。發票開立至2026年五月為最後一期。</t>
        </is>
      </c>
      <c r="V319" t="inlineStr">
        <is>
          <t>2026-05-18</t>
        </is>
      </c>
    </row>
    <row r="320">
      <c r="A320" t="inlineStr">
        <is>
          <t>inv_f33429c693c9</t>
        </is>
      </c>
      <c r="B320" t="inlineStr">
        <is>
          <t>Cobi</t>
        </is>
      </c>
      <c r="C320" t="inlineStr"/>
      <c r="D320" t="inlineStr">
        <is>
          <t>3017809</t>
        </is>
      </c>
      <c r="E320" t="inlineStr">
        <is>
          <t>2026-04-01 00:00:00</t>
        </is>
      </c>
      <c r="F320" t="inlineStr">
        <is>
          <t>2026-04-07</t>
        </is>
      </c>
      <c r="G320" t="inlineStr"/>
      <c r="H320" t="inlineStr">
        <is>
          <t>cus_3816722e3e66</t>
        </is>
      </c>
      <c r="I320" t="inlineStr">
        <is>
          <t>全聯實業股份有限公司</t>
        </is>
      </c>
      <c r="J320" t="inlineStr">
        <is>
          <t>16740494</t>
        </is>
      </c>
      <c r="K320" t="n">
        <v>120000</v>
      </c>
      <c r="L320" t="n">
        <v>126000</v>
      </c>
      <c r="M320" t="inlineStr">
        <is>
          <t>發票記帳本專案</t>
        </is>
      </c>
      <c r="N320" t="inlineStr">
        <is>
          <t>邱俊皓 Howard</t>
        </is>
      </c>
      <c r="O320" t="inlineStr">
        <is>
          <t>台北市中山區敬業四路33號4樓</t>
        </is>
      </c>
      <c r="P320" t="inlineStr">
        <is>
          <t>howard_chiu@pxmart.com.tw</t>
        </is>
      </c>
      <c r="Q320" t="inlineStr">
        <is>
          <t>02-2532-8000 ext. 1207</t>
        </is>
      </c>
      <c r="R320" t="inlineStr"/>
      <c r="S320" t="inlineStr">
        <is>
          <t>未收款</t>
        </is>
      </c>
      <c r="T320" t="inlineStr">
        <is>
          <t>3月雲端記帳API租用。
來源：訂閱型發票及收款紀錄 第 337 列</t>
        </is>
      </c>
      <c r="U320" t="inlineStr">
        <is>
          <t>每月5號開立。收到發票隔月30號。發票開立至2026年五月為最後一期。</t>
        </is>
      </c>
      <c r="V320" t="inlineStr">
        <is>
          <t>2026-05-18</t>
        </is>
      </c>
    </row>
    <row r="321">
      <c r="A321" t="inlineStr">
        <is>
          <t>inv_0619c953b829</t>
        </is>
      </c>
      <c r="B321" t="inlineStr">
        <is>
          <t>Cobi</t>
        </is>
      </c>
      <c r="C321" t="inlineStr"/>
      <c r="D321" t="inlineStr">
        <is>
          <t>3058805</t>
        </is>
      </c>
      <c r="E321" t="inlineStr">
        <is>
          <t>2026-05-01 00:00:00</t>
        </is>
      </c>
      <c r="F321" t="inlineStr">
        <is>
          <t>2026-05-05</t>
        </is>
      </c>
      <c r="G321" t="inlineStr"/>
      <c r="H321" t="inlineStr">
        <is>
          <t>cus_3816722e3e66</t>
        </is>
      </c>
      <c r="I321" t="inlineStr">
        <is>
          <t>全聯實業股份有限公司</t>
        </is>
      </c>
      <c r="J321" t="inlineStr">
        <is>
          <t>16740494</t>
        </is>
      </c>
      <c r="K321" t="n">
        <v>120000</v>
      </c>
      <c r="L321" t="n">
        <v>126000</v>
      </c>
      <c r="M321" t="inlineStr">
        <is>
          <t>發票記帳本專案</t>
        </is>
      </c>
      <c r="N321" t="inlineStr">
        <is>
          <t>吳郊 Chester</t>
        </is>
      </c>
      <c r="O321" t="inlineStr">
        <is>
          <t>台北市中山區敬業四路33號4樓</t>
        </is>
      </c>
      <c r="P321" t="inlineStr">
        <is>
          <t>Chiao_Wu@pxmart.com.tw</t>
        </is>
      </c>
      <c r="Q321" t="inlineStr">
        <is>
          <t>02-2532-8000 ext. 1207</t>
        </is>
      </c>
      <c r="R321" t="inlineStr"/>
      <c r="S321" t="inlineStr">
        <is>
          <t>未收款</t>
        </is>
      </c>
      <c r="T321" t="inlineStr">
        <is>
          <t>4月雲端記帳API租用。
來源：訂閱型發票及收款紀錄 第 338 列</t>
        </is>
      </c>
      <c r="U321" t="inlineStr">
        <is>
          <t>每月5號開立。收到發票隔月30號。發票開立至2026年五月為最後一期。</t>
        </is>
      </c>
      <c r="V321" t="inlineStr">
        <is>
          <t>2026-05-18</t>
        </is>
      </c>
    </row>
    <row r="322">
      <c r="A322" t="inlineStr">
        <is>
          <t>inv_0b9692bfe710</t>
        </is>
      </c>
      <c r="B322" t="inlineStr">
        <is>
          <t>瀞鍶</t>
        </is>
      </c>
      <c r="C322" t="inlineStr">
        <is>
          <t>2025-12-22</t>
        </is>
      </c>
      <c r="D322" t="inlineStr">
        <is>
          <t>2829117</t>
        </is>
      </c>
      <c r="E322" t="inlineStr">
        <is>
          <t>2025-11-01 00:00:00</t>
        </is>
      </c>
      <c r="F322" t="inlineStr">
        <is>
          <t>2025-11-05</t>
        </is>
      </c>
      <c r="G322" t="inlineStr"/>
      <c r="H322" t="inlineStr">
        <is>
          <t>cus_3816722e3e66</t>
        </is>
      </c>
      <c r="I322" t="inlineStr">
        <is>
          <t>全聯實業股份有限公司</t>
        </is>
      </c>
      <c r="J322" t="inlineStr">
        <is>
          <t>16740494</t>
        </is>
      </c>
      <c r="K322" t="n">
        <v>82000</v>
      </c>
      <c r="L322" t="n">
        <v>86100</v>
      </c>
      <c r="M322" t="inlineStr">
        <is>
          <t>發票記帳本專案</t>
        </is>
      </c>
      <c r="N322" t="inlineStr">
        <is>
          <t>邱俊皓 Howard</t>
        </is>
      </c>
      <c r="O322" t="inlineStr">
        <is>
          <t>台北市中山區敬業四路33號4樓</t>
        </is>
      </c>
      <c r="P322" t="inlineStr">
        <is>
          <t>howard_chiu@pxmart.com.tw</t>
        </is>
      </c>
      <c r="Q322" t="inlineStr">
        <is>
          <t>02-2532-8000 ext. 1207</t>
        </is>
      </c>
      <c r="R322" t="inlineStr"/>
      <c r="S322" t="inlineStr">
        <is>
          <t>已收款</t>
        </is>
      </c>
      <c r="T322" t="inlineStr">
        <is>
          <t>資料庫維護
來源：訂閱型發票及收款紀錄 第 340 列</t>
        </is>
      </c>
      <c r="U322" t="inlineStr">
        <is>
          <t>每月5號開立。收到發票隔月30號。發票開立至2026年五月為最後一期。</t>
        </is>
      </c>
      <c r="V322" t="inlineStr">
        <is>
          <t>2026-05-18</t>
        </is>
      </c>
    </row>
    <row r="323">
      <c r="A323" t="inlineStr">
        <is>
          <t>inv_d8cec006434c</t>
        </is>
      </c>
      <c r="B323" t="inlineStr">
        <is>
          <t>瀞鍶</t>
        </is>
      </c>
      <c r="C323" t="inlineStr">
        <is>
          <t>2026-01-20</t>
        </is>
      </c>
      <c r="D323" t="inlineStr">
        <is>
          <t>2867320</t>
        </is>
      </c>
      <c r="E323" t="inlineStr">
        <is>
          <t>2025-12-01 00:00:00</t>
        </is>
      </c>
      <c r="F323" t="inlineStr">
        <is>
          <t>2025-12-05</t>
        </is>
      </c>
      <c r="G323" t="inlineStr"/>
      <c r="H323" t="inlineStr">
        <is>
          <t>cus_3816722e3e66</t>
        </is>
      </c>
      <c r="I323" t="inlineStr">
        <is>
          <t>全聯實業股份有限公司</t>
        </is>
      </c>
      <c r="J323" t="inlineStr">
        <is>
          <t>16740494</t>
        </is>
      </c>
      <c r="K323" t="n">
        <v>82000</v>
      </c>
      <c r="L323" t="n">
        <v>86100</v>
      </c>
      <c r="M323" t="inlineStr">
        <is>
          <t>發票記帳本專案</t>
        </is>
      </c>
      <c r="N323" t="inlineStr">
        <is>
          <t>邱俊皓 Howard</t>
        </is>
      </c>
      <c r="O323" t="inlineStr">
        <is>
          <t>台北市中山區敬業四路33號4樓</t>
        </is>
      </c>
      <c r="P323" t="inlineStr">
        <is>
          <t>howard_chiu@pxmart.com.tw</t>
        </is>
      </c>
      <c r="Q323" t="inlineStr">
        <is>
          <t>02-2532-8000 ext. 1207</t>
        </is>
      </c>
      <c r="R323" t="inlineStr"/>
      <c r="S323" t="inlineStr">
        <is>
          <t>已收款</t>
        </is>
      </c>
      <c r="T323" t="inlineStr">
        <is>
          <t>資料庫維護
來源：訂閱型發票及收款紀錄 第 341 列</t>
        </is>
      </c>
      <c r="U323" t="inlineStr">
        <is>
          <t>每月5號開立。收到發票隔月30號。發票開立至2026年五月為最後一期。</t>
        </is>
      </c>
      <c r="V323" t="inlineStr">
        <is>
          <t>2026-05-18</t>
        </is>
      </c>
    </row>
    <row r="324">
      <c r="A324" t="inlineStr">
        <is>
          <t>inv_3bec0919f0c0</t>
        </is>
      </c>
      <c r="B324" t="inlineStr">
        <is>
          <t>瀞鍶</t>
        </is>
      </c>
      <c r="C324" t="inlineStr">
        <is>
          <t>2026-03-05</t>
        </is>
      </c>
      <c r="D324" t="inlineStr">
        <is>
          <t>2899809</t>
        </is>
      </c>
      <c r="E324" t="inlineStr">
        <is>
          <t>2026-01-01 00:00:00</t>
        </is>
      </c>
      <c r="F324" t="inlineStr">
        <is>
          <t>2026-01-05</t>
        </is>
      </c>
      <c r="G324" t="inlineStr"/>
      <c r="H324" t="inlineStr">
        <is>
          <t>cus_3816722e3e66</t>
        </is>
      </c>
      <c r="I324" t="inlineStr">
        <is>
          <t>全聯實業股份有限公司</t>
        </is>
      </c>
      <c r="J324" t="inlineStr">
        <is>
          <t>16740494</t>
        </is>
      </c>
      <c r="K324" t="n">
        <v>82000</v>
      </c>
      <c r="L324" t="n">
        <v>86100</v>
      </c>
      <c r="M324" t="inlineStr">
        <is>
          <t>發票記帳本專案</t>
        </is>
      </c>
      <c r="N324" t="inlineStr">
        <is>
          <t>邱俊皓 Howard</t>
        </is>
      </c>
      <c r="O324" t="inlineStr">
        <is>
          <t>台北市中山區敬業四路33號4樓</t>
        </is>
      </c>
      <c r="P324" t="inlineStr">
        <is>
          <t>howard_chiu@pxmart.com.tw</t>
        </is>
      </c>
      <c r="Q324" t="inlineStr">
        <is>
          <t>02-2532-8000 ext. 1207</t>
        </is>
      </c>
      <c r="R324" t="inlineStr"/>
      <c r="S324" t="inlineStr">
        <is>
          <t>已收款</t>
        </is>
      </c>
      <c r="T324" t="inlineStr">
        <is>
          <t>資料庫維護
來源：訂閱型發票及收款紀錄 第 342 列</t>
        </is>
      </c>
      <c r="U324" t="inlineStr">
        <is>
          <t>每月5號開立。收到發票隔月30號。發票開立至2026年五月為最後一期。</t>
        </is>
      </c>
      <c r="V324" t="inlineStr">
        <is>
          <t>2026-05-18</t>
        </is>
      </c>
    </row>
    <row r="325">
      <c r="A325" t="inlineStr">
        <is>
          <t>inv_b8f9c2dba34a</t>
        </is>
      </c>
      <c r="B325" t="inlineStr">
        <is>
          <t>瀞鍶</t>
        </is>
      </c>
      <c r="C325" t="inlineStr">
        <is>
          <t>2026-05-05</t>
        </is>
      </c>
      <c r="D325" t="inlineStr">
        <is>
          <t>2944168</t>
        </is>
      </c>
      <c r="E325" t="inlineStr">
        <is>
          <t>2026-02-01 00:00:00</t>
        </is>
      </c>
      <c r="F325" t="inlineStr">
        <is>
          <t>2026-02-06</t>
        </is>
      </c>
      <c r="G325" t="inlineStr"/>
      <c r="H325" t="inlineStr">
        <is>
          <t>cus_3816722e3e66</t>
        </is>
      </c>
      <c r="I325" t="inlineStr">
        <is>
          <t>全聯實業股份有限公司</t>
        </is>
      </c>
      <c r="J325" t="inlineStr">
        <is>
          <t>16740494</t>
        </is>
      </c>
      <c r="K325" t="n">
        <v>82000</v>
      </c>
      <c r="L325" t="n">
        <v>86100</v>
      </c>
      <c r="M325" t="inlineStr">
        <is>
          <t>發票記帳本專案</t>
        </is>
      </c>
      <c r="N325" t="inlineStr">
        <is>
          <t>邱俊皓 Howard</t>
        </is>
      </c>
      <c r="O325" t="inlineStr">
        <is>
          <t>台北市中山區敬業四路33號4樓</t>
        </is>
      </c>
      <c r="P325" t="inlineStr">
        <is>
          <t>howard_chiu@pxmart.com.tw</t>
        </is>
      </c>
      <c r="Q325" t="inlineStr">
        <is>
          <t>02-2532-8000 ext. 1207</t>
        </is>
      </c>
      <c r="R325" t="inlineStr"/>
      <c r="S325" t="inlineStr">
        <is>
          <t>已收款</t>
        </is>
      </c>
      <c r="T325" t="inlineStr">
        <is>
          <t>資料庫維護
來源：訂閱型發票及收款紀錄 第 343 列</t>
        </is>
      </c>
      <c r="U325" t="inlineStr">
        <is>
          <t>每月5號開立。收到發票隔月30號。發票開立至2026年五月為最後一期。</t>
        </is>
      </c>
      <c r="V325" t="inlineStr">
        <is>
          <t>2026-05-18</t>
        </is>
      </c>
    </row>
    <row r="326">
      <c r="A326" t="inlineStr">
        <is>
          <t>inv_b392507f842d</t>
        </is>
      </c>
      <c r="B326" t="inlineStr">
        <is>
          <t>瀞鍶</t>
        </is>
      </c>
      <c r="C326" t="inlineStr">
        <is>
          <t>2026-05-05</t>
        </is>
      </c>
      <c r="D326" t="inlineStr">
        <is>
          <t>2970440</t>
        </is>
      </c>
      <c r="E326" t="inlineStr">
        <is>
          <t>2026-03-01 00:00:00</t>
        </is>
      </c>
      <c r="F326" t="inlineStr">
        <is>
          <t>2026-03-05</t>
        </is>
      </c>
      <c r="G326" t="inlineStr"/>
      <c r="H326" t="inlineStr">
        <is>
          <t>cus_3816722e3e66</t>
        </is>
      </c>
      <c r="I326" t="inlineStr">
        <is>
          <t>全聯實業股份有限公司</t>
        </is>
      </c>
      <c r="J326" t="inlineStr">
        <is>
          <t>16740494</t>
        </is>
      </c>
      <c r="K326" t="n">
        <v>82000</v>
      </c>
      <c r="L326" t="n">
        <v>86100</v>
      </c>
      <c r="M326" t="inlineStr">
        <is>
          <t>發票記帳本專案</t>
        </is>
      </c>
      <c r="N326" t="inlineStr">
        <is>
          <t>邱俊皓 Howard</t>
        </is>
      </c>
      <c r="O326" t="inlineStr">
        <is>
          <t>台北市中山區敬業四路33號4樓</t>
        </is>
      </c>
      <c r="P326" t="inlineStr">
        <is>
          <t>howard_chiu@pxmart.com.tw</t>
        </is>
      </c>
      <c r="Q326" t="inlineStr">
        <is>
          <t>02-2532-8000 ext. 1207</t>
        </is>
      </c>
      <c r="R326" t="inlineStr"/>
      <c r="S326" t="inlineStr">
        <is>
          <t>已收款</t>
        </is>
      </c>
      <c r="T326" t="inlineStr">
        <is>
          <t>資料庫維護
來源：訂閱型發票及收款紀錄 第 344 列</t>
        </is>
      </c>
      <c r="U326" t="inlineStr">
        <is>
          <t>每月5號開立。收到發票隔月30號。發票開立至2026年五月為最後一期。</t>
        </is>
      </c>
      <c r="V326" t="inlineStr">
        <is>
          <t>2026-05-18</t>
        </is>
      </c>
    </row>
    <row r="327">
      <c r="A327" t="inlineStr">
        <is>
          <t>inv_e8efc136a611</t>
        </is>
      </c>
      <c r="B327" t="inlineStr">
        <is>
          <t>Cobi</t>
        </is>
      </c>
      <c r="C327" t="inlineStr"/>
      <c r="D327" t="inlineStr"/>
      <c r="E327" t="inlineStr">
        <is>
          <t>2026-04-01 00:00:00</t>
        </is>
      </c>
      <c r="F327" t="inlineStr">
        <is>
          <t>2026-04-07</t>
        </is>
      </c>
      <c r="G327" t="inlineStr"/>
      <c r="H327" t="inlineStr">
        <is>
          <t>cus_3816722e3e66</t>
        </is>
      </c>
      <c r="I327" t="inlineStr">
        <is>
          <t>全聯實業股份有限公司</t>
        </is>
      </c>
      <c r="J327" t="inlineStr">
        <is>
          <t>16740494</t>
        </is>
      </c>
      <c r="K327" t="n">
        <v>82000</v>
      </c>
      <c r="L327" t="n">
        <v>86100</v>
      </c>
      <c r="M327" t="inlineStr">
        <is>
          <t>發票記帳本專案</t>
        </is>
      </c>
      <c r="N327" t="inlineStr">
        <is>
          <t>邱俊皓 Howard</t>
        </is>
      </c>
      <c r="O327" t="inlineStr">
        <is>
          <t>台北市中山區敬業四路33號4樓</t>
        </is>
      </c>
      <c r="P327" t="inlineStr">
        <is>
          <t>howard_chiu@pxmart.com.tw</t>
        </is>
      </c>
      <c r="Q327" t="inlineStr">
        <is>
          <t>02-2532-8000 ext. 1207</t>
        </is>
      </c>
      <c r="R327" t="inlineStr"/>
      <c r="S327" t="inlineStr">
        <is>
          <t>未收款</t>
        </is>
      </c>
      <c r="T327" t="inlineStr">
        <is>
          <t>資料庫維護
來源：訂閱型發票及收款紀錄 第 345 列</t>
        </is>
      </c>
      <c r="U327" t="inlineStr">
        <is>
          <t>每月5號開立。收到發票隔月30號。發票開立至2026年五月為最後一期。</t>
        </is>
      </c>
      <c r="V327" t="inlineStr">
        <is>
          <t>2026-05-18</t>
        </is>
      </c>
    </row>
    <row r="328">
      <c r="A328" t="inlineStr">
        <is>
          <t>inv_60f1b0496e23</t>
        </is>
      </c>
      <c r="B328" t="inlineStr">
        <is>
          <t>Cobi</t>
        </is>
      </c>
      <c r="C328" t="inlineStr"/>
      <c r="D328" t="inlineStr">
        <is>
          <t>3058806</t>
        </is>
      </c>
      <c r="E328" t="inlineStr">
        <is>
          <t>2026-05-01 00:00:00</t>
        </is>
      </c>
      <c r="F328" t="inlineStr">
        <is>
          <t>2026-05-05</t>
        </is>
      </c>
      <c r="G328" t="inlineStr"/>
      <c r="H328" t="inlineStr">
        <is>
          <t>cus_3816722e3e66</t>
        </is>
      </c>
      <c r="I328" t="inlineStr">
        <is>
          <t>全聯實業股份有限公司</t>
        </is>
      </c>
      <c r="J328" t="inlineStr">
        <is>
          <t>16740494</t>
        </is>
      </c>
      <c r="K328" t="n">
        <v>82000</v>
      </c>
      <c r="L328" t="n">
        <v>86100</v>
      </c>
      <c r="M328" t="inlineStr">
        <is>
          <t>發票記帳本專案</t>
        </is>
      </c>
      <c r="N328" t="inlineStr">
        <is>
          <t>吳郊 Chester</t>
        </is>
      </c>
      <c r="O328" t="inlineStr">
        <is>
          <t>台北市中山區敬業四路33號4樓</t>
        </is>
      </c>
      <c r="P328" t="inlineStr">
        <is>
          <t>Chiao_Wu@pxmart.com.tw</t>
        </is>
      </c>
      <c r="Q328" t="inlineStr">
        <is>
          <t>02-2532-8000 ext. 1207</t>
        </is>
      </c>
      <c r="R328" t="inlineStr"/>
      <c r="S328" t="inlineStr">
        <is>
          <t>未收款</t>
        </is>
      </c>
      <c r="T328" t="inlineStr">
        <is>
          <t>資料庫維護
來源：訂閱型發票及收款紀錄 第 346 列</t>
        </is>
      </c>
      <c r="U328" t="inlineStr">
        <is>
          <t>每月5號開立。收到發票隔月30號。發票開立至2026年五月為最後一期。</t>
        </is>
      </c>
      <c r="V328" t="inlineStr">
        <is>
          <t>2026-05-18</t>
        </is>
      </c>
    </row>
    <row r="329">
      <c r="A329" t="inlineStr">
        <is>
          <t>inv_f41fedbcc9ff</t>
        </is>
      </c>
      <c r="B329" t="inlineStr">
        <is>
          <t>Kate</t>
        </is>
      </c>
      <c r="C329" t="inlineStr">
        <is>
          <t>2025-10-30</t>
        </is>
      </c>
      <c r="D329" t="inlineStr">
        <is>
          <t>2772902</t>
        </is>
      </c>
      <c r="E329" t="inlineStr">
        <is>
          <t>2025-09-01 00:00:00</t>
        </is>
      </c>
      <c r="F329" t="inlineStr">
        <is>
          <t>2025-09-15</t>
        </is>
      </c>
      <c r="G329" t="inlineStr"/>
      <c r="H329" t="inlineStr">
        <is>
          <t>cus_6cf846994bdb</t>
        </is>
      </c>
      <c r="I329" t="inlineStr">
        <is>
          <t>展將數位科技股份有限公司</t>
        </is>
      </c>
      <c r="J329" t="inlineStr">
        <is>
          <t>83288872</t>
        </is>
      </c>
      <c r="K329" t="n">
        <v>30000</v>
      </c>
      <c r="L329" t="n">
        <v>31500</v>
      </c>
      <c r="M329" t="inlineStr">
        <is>
          <t>平台訂閱</t>
        </is>
      </c>
      <c r="N329" t="inlineStr">
        <is>
          <t>Gina</t>
        </is>
      </c>
      <c r="O329" t="inlineStr">
        <is>
          <t>台北市中山區建國北路一段80號11樓</t>
        </is>
      </c>
      <c r="P329" t="inlineStr">
        <is>
          <t>GinaHuang@mediadrive.com.tw</t>
        </is>
      </c>
      <c r="Q329" t="inlineStr">
        <is>
          <t>02-2502-5788 Ext. 5707</t>
        </is>
      </c>
      <c r="R329" t="inlineStr"/>
      <c r="S329" t="inlineStr">
        <is>
          <t>已收款</t>
        </is>
      </c>
      <c r="T329" t="inlineStr">
        <is>
          <t>36萬年約(未稅)，$378000含稅，每期$31500含稅(此為第1期，共12期)
來源：訂閱型發票及收款紀錄 第 349 列</t>
        </is>
      </c>
      <c r="U329" t="inlineStr"/>
      <c r="V329" t="inlineStr">
        <is>
          <t>2026-05-18</t>
        </is>
      </c>
    </row>
    <row r="330">
      <c r="A330" t="inlineStr">
        <is>
          <t>inv_920d596ece99</t>
        </is>
      </c>
      <c r="B330" t="inlineStr">
        <is>
          <t>Kate</t>
        </is>
      </c>
      <c r="C330" t="inlineStr">
        <is>
          <t>2025-11-28</t>
        </is>
      </c>
      <c r="D330" t="inlineStr">
        <is>
          <t>2806658</t>
        </is>
      </c>
      <c r="E330" t="inlineStr">
        <is>
          <t>2025-10-01 00:00:00</t>
        </is>
      </c>
      <c r="F330" t="inlineStr">
        <is>
          <t>2025-10-15</t>
        </is>
      </c>
      <c r="G330" t="inlineStr"/>
      <c r="H330" t="inlineStr">
        <is>
          <t>cus_6cf846994bdb</t>
        </is>
      </c>
      <c r="I330" t="inlineStr">
        <is>
          <t>展將數位科技股份有限公司</t>
        </is>
      </c>
      <c r="J330" t="inlineStr">
        <is>
          <t>83288872</t>
        </is>
      </c>
      <c r="K330" t="n">
        <v>10000</v>
      </c>
      <c r="L330" t="n">
        <v>10500</v>
      </c>
      <c r="M330" t="inlineStr">
        <is>
          <t>平台訂閱</t>
        </is>
      </c>
      <c r="N330" t="inlineStr">
        <is>
          <t>Gina</t>
        </is>
      </c>
      <c r="O330" t="inlineStr">
        <is>
          <t>台北市中山區建國北路一段80號11樓</t>
        </is>
      </c>
      <c r="P330" t="inlineStr">
        <is>
          <t>GinaHuang@mediadrive.com.tw</t>
        </is>
      </c>
      <c r="Q330" t="inlineStr">
        <is>
          <t>02-2502-5788 Ext. 5707</t>
        </is>
      </c>
      <c r="R330" t="inlineStr"/>
      <c r="S330" t="inlineStr">
        <is>
          <t>已收款</t>
        </is>
      </c>
      <c r="T330" t="inlineStr">
        <is>
          <t>36萬年約(未稅)，$378000含稅/3，每期$10500含稅(此為第2期，共12期)
來源：訂閱型發票及收款紀錄 第 350 列</t>
        </is>
      </c>
      <c r="U330" t="inlineStr"/>
      <c r="V330" t="inlineStr">
        <is>
          <t>2026-05-18</t>
        </is>
      </c>
    </row>
    <row r="331">
      <c r="A331" t="inlineStr">
        <is>
          <t>inv_38b07d0f5b74</t>
        </is>
      </c>
      <c r="B331" t="inlineStr">
        <is>
          <t>Kate</t>
        </is>
      </c>
      <c r="C331" t="inlineStr">
        <is>
          <t>2025-11-28</t>
        </is>
      </c>
      <c r="D331" t="inlineStr">
        <is>
          <t>2806657</t>
        </is>
      </c>
      <c r="E331" t="inlineStr"/>
      <c r="F331" t="inlineStr">
        <is>
          <t>2025-10-15</t>
        </is>
      </c>
      <c r="G331" t="inlineStr"/>
      <c r="H331" t="inlineStr">
        <is>
          <t>cus_6cf846994bdb</t>
        </is>
      </c>
      <c r="I331" t="inlineStr">
        <is>
          <t>展將數位科技股份有限公司</t>
        </is>
      </c>
      <c r="J331" t="inlineStr">
        <is>
          <t>83288872</t>
        </is>
      </c>
      <c r="K331" t="n">
        <v>10000</v>
      </c>
      <c r="L331" t="n">
        <v>10500</v>
      </c>
      <c r="M331" t="inlineStr">
        <is>
          <t>平台訂閱</t>
        </is>
      </c>
      <c r="N331" t="inlineStr">
        <is>
          <t>Gina</t>
        </is>
      </c>
      <c r="O331" t="inlineStr">
        <is>
          <t>台北市中山區建國北路一段80號11樓</t>
        </is>
      </c>
      <c r="P331" t="inlineStr">
        <is>
          <t>GinaHuang@mediadrive.com.tw</t>
        </is>
      </c>
      <c r="Q331" t="inlineStr">
        <is>
          <t>02-2502-5788 Ext. 5707</t>
        </is>
      </c>
      <c r="R331" t="inlineStr"/>
      <c r="S331" t="inlineStr">
        <is>
          <t>已收款</t>
        </is>
      </c>
      <c r="T331" t="inlineStr">
        <is>
          <t>來源：訂閱型發票及收款紀錄 第 351 列</t>
        </is>
      </c>
      <c r="U331" t="inlineStr"/>
      <c r="V331" t="inlineStr">
        <is>
          <t>2026-05-18</t>
        </is>
      </c>
    </row>
    <row r="332">
      <c r="A332" t="inlineStr">
        <is>
          <t>inv_31ec74659cda</t>
        </is>
      </c>
      <c r="B332" t="inlineStr">
        <is>
          <t>Kate</t>
        </is>
      </c>
      <c r="C332" t="inlineStr">
        <is>
          <t>2025-11-28</t>
        </is>
      </c>
      <c r="D332" t="inlineStr">
        <is>
          <t>2806656</t>
        </is>
      </c>
      <c r="E332" t="inlineStr"/>
      <c r="F332" t="inlineStr">
        <is>
          <t>2025-10-15</t>
        </is>
      </c>
      <c r="G332" t="inlineStr"/>
      <c r="H332" t="inlineStr">
        <is>
          <t>cus_6cf846994bdb</t>
        </is>
      </c>
      <c r="I332" t="inlineStr">
        <is>
          <t>展將數位科技股份有限公司</t>
        </is>
      </c>
      <c r="J332" t="inlineStr">
        <is>
          <t>83288872</t>
        </is>
      </c>
      <c r="K332" t="n">
        <v>10000</v>
      </c>
      <c r="L332" t="n">
        <v>10500</v>
      </c>
      <c r="M332" t="inlineStr">
        <is>
          <t>平台訂閱</t>
        </is>
      </c>
      <c r="N332" t="inlineStr">
        <is>
          <t>Gina</t>
        </is>
      </c>
      <c r="O332" t="inlineStr">
        <is>
          <t>台北市中山區建國北路一段80號11樓</t>
        </is>
      </c>
      <c r="P332" t="inlineStr">
        <is>
          <t>GinaHuang@mediadrive.com.tw</t>
        </is>
      </c>
      <c r="Q332" t="inlineStr">
        <is>
          <t>02-2502-5788 Ext. 5707</t>
        </is>
      </c>
      <c r="R332" t="inlineStr"/>
      <c r="S332" t="inlineStr">
        <is>
          <t>已收款</t>
        </is>
      </c>
      <c r="T332" t="inlineStr">
        <is>
          <t>來源：訂閱型發票及收款紀錄 第 352 列</t>
        </is>
      </c>
      <c r="U332" t="inlineStr"/>
      <c r="V332" t="inlineStr">
        <is>
          <t>2026-05-18</t>
        </is>
      </c>
    </row>
    <row r="333">
      <c r="A333" t="inlineStr">
        <is>
          <t>inv_74b9f0ea409d</t>
        </is>
      </c>
      <c r="B333" t="inlineStr">
        <is>
          <t>Kate</t>
        </is>
      </c>
      <c r="C333" t="inlineStr">
        <is>
          <t>2025-12-30</t>
        </is>
      </c>
      <c r="D333" t="inlineStr">
        <is>
          <t>2844628</t>
        </is>
      </c>
      <c r="E333" t="inlineStr">
        <is>
          <t>2025-11-10 00:00:00</t>
        </is>
      </c>
      <c r="F333" t="inlineStr">
        <is>
          <t>2025-11-15</t>
        </is>
      </c>
      <c r="G333" t="inlineStr"/>
      <c r="H333" t="inlineStr">
        <is>
          <t>cus_6cf846994bdb</t>
        </is>
      </c>
      <c r="I333" t="inlineStr">
        <is>
          <t>展將數位科技股份有限公司</t>
        </is>
      </c>
      <c r="J333" t="inlineStr">
        <is>
          <t>83288872</t>
        </is>
      </c>
      <c r="K333" t="n">
        <v>10000</v>
      </c>
      <c r="L333" t="n">
        <v>10500</v>
      </c>
      <c r="M333" t="inlineStr">
        <is>
          <t>平台訂閱</t>
        </is>
      </c>
      <c r="N333" t="inlineStr">
        <is>
          <t>Gina</t>
        </is>
      </c>
      <c r="O333" t="inlineStr">
        <is>
          <t>台北市中山區建國北路一段80號11樓</t>
        </is>
      </c>
      <c r="P333" t="inlineStr">
        <is>
          <t>GinaHuang@mediadrive.com.tw</t>
        </is>
      </c>
      <c r="Q333" t="inlineStr">
        <is>
          <t>02-2502-5788 Ext. 5707</t>
        </is>
      </c>
      <c r="R333" t="inlineStr"/>
      <c r="S333" t="inlineStr">
        <is>
          <t>已收款</t>
        </is>
      </c>
      <c r="T333" t="inlineStr">
        <is>
          <t>36萬年約(未稅)，$378000含稅/3，每期$10500含稅(此為第3期，共12期)
來源：訂閱型發票及收款紀錄 第 353 列</t>
        </is>
      </c>
      <c r="U333" t="inlineStr"/>
      <c r="V333" t="inlineStr">
        <is>
          <t>2026-05-18</t>
        </is>
      </c>
    </row>
    <row r="334">
      <c r="A334" t="inlineStr">
        <is>
          <t>inv_a0952dee4c61</t>
        </is>
      </c>
      <c r="B334" t="inlineStr">
        <is>
          <t>Kate</t>
        </is>
      </c>
      <c r="C334" t="inlineStr">
        <is>
          <t>2025-12-30</t>
        </is>
      </c>
      <c r="D334" t="inlineStr">
        <is>
          <t>2844629</t>
        </is>
      </c>
      <c r="E334" t="inlineStr"/>
      <c r="F334" t="inlineStr">
        <is>
          <t>2025-11-15</t>
        </is>
      </c>
      <c r="G334" t="inlineStr"/>
      <c r="H334" t="inlineStr">
        <is>
          <t>cus_6cf846994bdb</t>
        </is>
      </c>
      <c r="I334" t="inlineStr">
        <is>
          <t>展將數位科技股份有限公司</t>
        </is>
      </c>
      <c r="J334" t="inlineStr">
        <is>
          <t>83288872</t>
        </is>
      </c>
      <c r="K334" t="n">
        <v>10000</v>
      </c>
      <c r="L334" t="n">
        <v>10500</v>
      </c>
      <c r="M334" t="inlineStr">
        <is>
          <t>平台訂閱</t>
        </is>
      </c>
      <c r="N334" t="inlineStr">
        <is>
          <t>Gina</t>
        </is>
      </c>
      <c r="O334" t="inlineStr">
        <is>
          <t>台北市中山區建國北路一段80號11樓</t>
        </is>
      </c>
      <c r="P334" t="inlineStr">
        <is>
          <t>GinaHuang@mediadrive.com.tw</t>
        </is>
      </c>
      <c r="Q334" t="inlineStr">
        <is>
          <t>02-2502-5788 Ext. 5707</t>
        </is>
      </c>
      <c r="R334" t="inlineStr"/>
      <c r="S334" t="inlineStr">
        <is>
          <t>已收款</t>
        </is>
      </c>
      <c r="T334" t="inlineStr">
        <is>
          <t>來源：訂閱型發票及收款紀錄 第 354 列</t>
        </is>
      </c>
      <c r="U334" t="inlineStr"/>
      <c r="V334" t="inlineStr">
        <is>
          <t>2026-05-18</t>
        </is>
      </c>
    </row>
    <row r="335">
      <c r="A335" t="inlineStr">
        <is>
          <t>inv_354d3a80d2f2</t>
        </is>
      </c>
      <c r="B335" t="inlineStr">
        <is>
          <t>Kate</t>
        </is>
      </c>
      <c r="C335" t="inlineStr">
        <is>
          <t>2025-12-30</t>
        </is>
      </c>
      <c r="D335" t="inlineStr">
        <is>
          <t>2844630</t>
        </is>
      </c>
      <c r="E335" t="inlineStr"/>
      <c r="F335" t="inlineStr">
        <is>
          <t>2025-11-15</t>
        </is>
      </c>
      <c r="G335" t="inlineStr"/>
      <c r="H335" t="inlineStr">
        <is>
          <t>cus_6cf846994bdb</t>
        </is>
      </c>
      <c r="I335" t="inlineStr">
        <is>
          <t>展將數位科技股份有限公司</t>
        </is>
      </c>
      <c r="J335" t="inlineStr">
        <is>
          <t>83288872</t>
        </is>
      </c>
      <c r="K335" t="n">
        <v>10000</v>
      </c>
      <c r="L335" t="n">
        <v>10500</v>
      </c>
      <c r="M335" t="inlineStr">
        <is>
          <t>平台訂閱</t>
        </is>
      </c>
      <c r="N335" t="inlineStr">
        <is>
          <t>Gina</t>
        </is>
      </c>
      <c r="O335" t="inlineStr">
        <is>
          <t>台北市中山區建國北路一段80號11樓</t>
        </is>
      </c>
      <c r="P335" t="inlineStr">
        <is>
          <t>GinaHuang@mediadrive.com.tw</t>
        </is>
      </c>
      <c r="Q335" t="inlineStr">
        <is>
          <t>02-2502-5788 Ext. 5707</t>
        </is>
      </c>
      <c r="R335" t="inlineStr"/>
      <c r="S335" t="inlineStr">
        <is>
          <t>已收款</t>
        </is>
      </c>
      <c r="T335" t="inlineStr">
        <is>
          <t>來源：訂閱型發票及收款紀錄 第 355 列</t>
        </is>
      </c>
      <c r="U335" t="inlineStr"/>
      <c r="V335" t="inlineStr">
        <is>
          <t>2026-05-18</t>
        </is>
      </c>
    </row>
    <row r="336">
      <c r="A336" t="inlineStr">
        <is>
          <t>inv_ec0a797612b7</t>
        </is>
      </c>
      <c r="B336" t="inlineStr">
        <is>
          <t>Kate</t>
        </is>
      </c>
      <c r="C336" t="inlineStr">
        <is>
          <t>2026-01-30</t>
        </is>
      </c>
      <c r="D336" t="inlineStr">
        <is>
          <t>2878214</t>
        </is>
      </c>
      <c r="E336" t="inlineStr">
        <is>
          <t>2025-12-10 00:00:00</t>
        </is>
      </c>
      <c r="F336" t="inlineStr">
        <is>
          <t>2025-12-15</t>
        </is>
      </c>
      <c r="G336" t="inlineStr"/>
      <c r="H336" t="inlineStr">
        <is>
          <t>cus_6cf846994bdb</t>
        </is>
      </c>
      <c r="I336" t="inlineStr">
        <is>
          <t>展將數位科技股份有限公司</t>
        </is>
      </c>
      <c r="J336" t="inlineStr">
        <is>
          <t>83288872</t>
        </is>
      </c>
      <c r="K336" t="n">
        <v>10000</v>
      </c>
      <c r="L336" t="n">
        <v>10500</v>
      </c>
      <c r="M336" t="inlineStr">
        <is>
          <t>平台訂閱</t>
        </is>
      </c>
      <c r="N336" t="inlineStr">
        <is>
          <t>Gina</t>
        </is>
      </c>
      <c r="O336" t="inlineStr">
        <is>
          <t>台北市中山區建國北路一段80號11樓</t>
        </is>
      </c>
      <c r="P336" t="inlineStr">
        <is>
          <t>GinaHuang@mediadrive.com.tw</t>
        </is>
      </c>
      <c r="Q336" t="inlineStr">
        <is>
          <t>02-2502-5788 Ext. 5707</t>
        </is>
      </c>
      <c r="R336" t="inlineStr"/>
      <c r="S336" t="inlineStr">
        <is>
          <t>已收款</t>
        </is>
      </c>
      <c r="T336" t="inlineStr">
        <is>
          <t>36萬年約(未稅)，$378000含稅/3，每期$10500含稅(此為第4期，共12期)
來源：訂閱型發票及收款紀錄 第 356 列</t>
        </is>
      </c>
      <c r="U336" t="inlineStr"/>
      <c r="V336" t="inlineStr">
        <is>
          <t>2026-05-18</t>
        </is>
      </c>
    </row>
    <row r="337">
      <c r="A337" t="inlineStr">
        <is>
          <t>inv_f1975e5d4cb1</t>
        </is>
      </c>
      <c r="B337" t="inlineStr">
        <is>
          <t>Kate</t>
        </is>
      </c>
      <c r="C337" t="inlineStr">
        <is>
          <t>2026-01-30</t>
        </is>
      </c>
      <c r="D337" t="inlineStr">
        <is>
          <t>2878215</t>
        </is>
      </c>
      <c r="E337" t="inlineStr"/>
      <c r="F337" t="inlineStr">
        <is>
          <t>2025-12-15</t>
        </is>
      </c>
      <c r="G337" t="inlineStr"/>
      <c r="H337" t="inlineStr">
        <is>
          <t>cus_6cf846994bdb</t>
        </is>
      </c>
      <c r="I337" t="inlineStr">
        <is>
          <t>展將數位科技股份有限公司</t>
        </is>
      </c>
      <c r="J337" t="inlineStr">
        <is>
          <t>83288872</t>
        </is>
      </c>
      <c r="K337" t="n">
        <v>10000</v>
      </c>
      <c r="L337" t="n">
        <v>10500</v>
      </c>
      <c r="M337" t="inlineStr">
        <is>
          <t>平台訂閱</t>
        </is>
      </c>
      <c r="N337" t="inlineStr">
        <is>
          <t>Gina</t>
        </is>
      </c>
      <c r="O337" t="inlineStr">
        <is>
          <t>台北市中山區建國北路一段80號11樓</t>
        </is>
      </c>
      <c r="P337" t="inlineStr">
        <is>
          <t>GinaHuang@mediadrive.com.tw</t>
        </is>
      </c>
      <c r="Q337" t="inlineStr">
        <is>
          <t>02-2502-5788 Ext. 5707</t>
        </is>
      </c>
      <c r="R337" t="inlineStr"/>
      <c r="S337" t="inlineStr">
        <is>
          <t>已收款</t>
        </is>
      </c>
      <c r="T337" t="inlineStr">
        <is>
          <t>來源：訂閱型發票及收款紀錄 第 357 列</t>
        </is>
      </c>
      <c r="U337" t="inlineStr"/>
      <c r="V337" t="inlineStr">
        <is>
          <t>2026-05-18</t>
        </is>
      </c>
    </row>
    <row r="338">
      <c r="A338" t="inlineStr">
        <is>
          <t>inv_6d6b886ad649</t>
        </is>
      </c>
      <c r="B338" t="inlineStr">
        <is>
          <t>Kate</t>
        </is>
      </c>
      <c r="C338" t="inlineStr">
        <is>
          <t>2026-01-30</t>
        </is>
      </c>
      <c r="D338" t="inlineStr">
        <is>
          <t>2878216</t>
        </is>
      </c>
      <c r="E338" t="inlineStr"/>
      <c r="F338" t="inlineStr">
        <is>
          <t>2025-12-15</t>
        </is>
      </c>
      <c r="G338" t="inlineStr"/>
      <c r="H338" t="inlineStr">
        <is>
          <t>cus_6cf846994bdb</t>
        </is>
      </c>
      <c r="I338" t="inlineStr">
        <is>
          <t>展將數位科技股份有限公司</t>
        </is>
      </c>
      <c r="J338" t="inlineStr">
        <is>
          <t>83288872</t>
        </is>
      </c>
      <c r="K338" t="n">
        <v>10000</v>
      </c>
      <c r="L338" t="n">
        <v>10500</v>
      </c>
      <c r="M338" t="inlineStr">
        <is>
          <t>平台訂閱</t>
        </is>
      </c>
      <c r="N338" t="inlineStr">
        <is>
          <t>Gina</t>
        </is>
      </c>
      <c r="O338" t="inlineStr">
        <is>
          <t>台北市中山區建國北路一段80號11樓</t>
        </is>
      </c>
      <c r="P338" t="inlineStr">
        <is>
          <t>GinaHuang@mediadrive.com.tw</t>
        </is>
      </c>
      <c r="Q338" t="inlineStr">
        <is>
          <t>02-2502-5788 Ext. 5707</t>
        </is>
      </c>
      <c r="R338" t="inlineStr"/>
      <c r="S338" t="inlineStr">
        <is>
          <t>已收款</t>
        </is>
      </c>
      <c r="T338" t="inlineStr">
        <is>
          <t>來源：訂閱型發票及收款紀錄 第 358 列</t>
        </is>
      </c>
      <c r="U338" t="inlineStr"/>
      <c r="V338" t="inlineStr">
        <is>
          <t>2026-05-18</t>
        </is>
      </c>
    </row>
    <row r="339">
      <c r="A339" t="inlineStr">
        <is>
          <t>inv_12c553c28db7</t>
        </is>
      </c>
      <c r="B339" t="inlineStr">
        <is>
          <t>Kate</t>
        </is>
      </c>
      <c r="C339" t="inlineStr">
        <is>
          <t>2026-03-05</t>
        </is>
      </c>
      <c r="D339" t="inlineStr">
        <is>
          <t>2916264</t>
        </is>
      </c>
      <c r="E339" t="inlineStr">
        <is>
          <t>2026-01-01 00:00:00</t>
        </is>
      </c>
      <c r="F339" t="inlineStr">
        <is>
          <t>2026-01-15</t>
        </is>
      </c>
      <c r="G339" t="inlineStr"/>
      <c r="H339" t="inlineStr">
        <is>
          <t>cus_6cf846994bdb</t>
        </is>
      </c>
      <c r="I339" t="inlineStr">
        <is>
          <t>展將數位科技股份有限公司</t>
        </is>
      </c>
      <c r="J339" t="inlineStr">
        <is>
          <t>83288872</t>
        </is>
      </c>
      <c r="K339" t="n">
        <v>10000</v>
      </c>
      <c r="L339" t="n">
        <v>10500</v>
      </c>
      <c r="M339" t="inlineStr">
        <is>
          <t>平台訂閱</t>
        </is>
      </c>
      <c r="N339" t="inlineStr">
        <is>
          <t>Gina</t>
        </is>
      </c>
      <c r="O339" t="inlineStr">
        <is>
          <t>台北市中山區建國北路一段80號11樓</t>
        </is>
      </c>
      <c r="P339" t="inlineStr">
        <is>
          <t>GinaHuang@mediadrive.com.tw</t>
        </is>
      </c>
      <c r="Q339" t="inlineStr">
        <is>
          <t>02-2502-5788 Ext. 5707</t>
        </is>
      </c>
      <c r="R339" t="inlineStr"/>
      <c r="S339" t="inlineStr">
        <is>
          <t>已收款</t>
        </is>
      </c>
      <c r="T339" t="inlineStr">
        <is>
          <t>36萬年約(未稅)，$378000含稅/3，每期$10500含稅(此為第5期，共12期)
來源：訂閱型發票及收款紀錄 第 359 列</t>
        </is>
      </c>
      <c r="U339" t="inlineStr"/>
      <c r="V339" t="inlineStr">
        <is>
          <t>2026-05-18</t>
        </is>
      </c>
    </row>
    <row r="340">
      <c r="A340" t="inlineStr">
        <is>
          <t>inv_8a454b791a94</t>
        </is>
      </c>
      <c r="B340" t="inlineStr">
        <is>
          <t>Kate</t>
        </is>
      </c>
      <c r="C340" t="inlineStr">
        <is>
          <t>2026-03-05</t>
        </is>
      </c>
      <c r="D340" t="inlineStr">
        <is>
          <t>2916265</t>
        </is>
      </c>
      <c r="E340" t="inlineStr"/>
      <c r="F340" t="inlineStr">
        <is>
          <t>2026-01-15</t>
        </is>
      </c>
      <c r="G340" t="inlineStr"/>
      <c r="H340" t="inlineStr">
        <is>
          <t>cus_6cf846994bdb</t>
        </is>
      </c>
      <c r="I340" t="inlineStr">
        <is>
          <t>展將數位科技股份有限公司</t>
        </is>
      </c>
      <c r="J340" t="inlineStr">
        <is>
          <t>83288872</t>
        </is>
      </c>
      <c r="K340" t="n">
        <v>10000</v>
      </c>
      <c r="L340" t="n">
        <v>10500</v>
      </c>
      <c r="M340" t="inlineStr">
        <is>
          <t>平台訂閱</t>
        </is>
      </c>
      <c r="N340" t="inlineStr">
        <is>
          <t>Gina</t>
        </is>
      </c>
      <c r="O340" t="inlineStr">
        <is>
          <t>台北市中山區建國北路一段80號11樓</t>
        </is>
      </c>
      <c r="P340" t="inlineStr">
        <is>
          <t>GinaHuang@mediadrive.com.tw</t>
        </is>
      </c>
      <c r="Q340" t="inlineStr">
        <is>
          <t>02-2502-5788 Ext. 5707</t>
        </is>
      </c>
      <c r="R340" t="inlineStr"/>
      <c r="S340" t="inlineStr">
        <is>
          <t>已收款</t>
        </is>
      </c>
      <c r="T340" t="inlineStr">
        <is>
          <t>來源：訂閱型發票及收款紀錄 第 360 列</t>
        </is>
      </c>
      <c r="U340" t="inlineStr"/>
      <c r="V340" t="inlineStr">
        <is>
          <t>2026-05-18</t>
        </is>
      </c>
    </row>
    <row r="341">
      <c r="A341" t="inlineStr">
        <is>
          <t>inv_7318d87aea14</t>
        </is>
      </c>
      <c r="B341" t="inlineStr">
        <is>
          <t>Kate</t>
        </is>
      </c>
      <c r="C341" t="inlineStr">
        <is>
          <t>2026-03-05</t>
        </is>
      </c>
      <c r="D341" t="inlineStr">
        <is>
          <t>2916266</t>
        </is>
      </c>
      <c r="E341" t="inlineStr"/>
      <c r="F341" t="inlineStr">
        <is>
          <t>2026-01-15</t>
        </is>
      </c>
      <c r="G341" t="inlineStr"/>
      <c r="H341" t="inlineStr">
        <is>
          <t>cus_6cf846994bdb</t>
        </is>
      </c>
      <c r="I341" t="inlineStr">
        <is>
          <t>展將數位科技股份有限公司</t>
        </is>
      </c>
      <c r="J341" t="inlineStr">
        <is>
          <t>83288872</t>
        </is>
      </c>
      <c r="K341" t="n">
        <v>10000</v>
      </c>
      <c r="L341" t="n">
        <v>10500</v>
      </c>
      <c r="M341" t="inlineStr">
        <is>
          <t>平台訂閱</t>
        </is>
      </c>
      <c r="N341" t="inlineStr">
        <is>
          <t>Gina</t>
        </is>
      </c>
      <c r="O341" t="inlineStr">
        <is>
          <t>台北市中山區建國北路一段80號11樓</t>
        </is>
      </c>
      <c r="P341" t="inlineStr">
        <is>
          <t>GinaHuang@mediadrive.com.tw</t>
        </is>
      </c>
      <c r="Q341" t="inlineStr">
        <is>
          <t>02-2502-5788 Ext. 5707</t>
        </is>
      </c>
      <c r="R341" t="inlineStr"/>
      <c r="S341" t="inlineStr">
        <is>
          <t>已收款</t>
        </is>
      </c>
      <c r="T341" t="inlineStr">
        <is>
          <t>來源：訂閱型發票及收款紀錄 第 361 列</t>
        </is>
      </c>
      <c r="U341" t="inlineStr"/>
      <c r="V341" t="inlineStr">
        <is>
          <t>2026-05-18</t>
        </is>
      </c>
    </row>
    <row r="342">
      <c r="A342" t="inlineStr">
        <is>
          <t>inv_571a20d29cef</t>
        </is>
      </c>
      <c r="B342" t="inlineStr">
        <is>
          <t>Kate</t>
        </is>
      </c>
      <c r="C342" t="inlineStr">
        <is>
          <t>2026-03-30</t>
        </is>
      </c>
      <c r="D342" t="inlineStr">
        <is>
          <t>2948533</t>
        </is>
      </c>
      <c r="E342" t="inlineStr">
        <is>
          <t>2026-02-01 00:00:00</t>
        </is>
      </c>
      <c r="F342" t="inlineStr">
        <is>
          <t>2026-02-10</t>
        </is>
      </c>
      <c r="G342" t="inlineStr"/>
      <c r="H342" t="inlineStr">
        <is>
          <t>cus_6cf846994bdb</t>
        </is>
      </c>
      <c r="I342" t="inlineStr">
        <is>
          <t>展將數位科技股份有限公司</t>
        </is>
      </c>
      <c r="J342" t="inlineStr">
        <is>
          <t>83288872</t>
        </is>
      </c>
      <c r="K342" t="n">
        <v>10000</v>
      </c>
      <c r="L342" t="n">
        <v>10500</v>
      </c>
      <c r="M342" t="inlineStr">
        <is>
          <t>平台訂閱</t>
        </is>
      </c>
      <c r="N342" t="inlineStr">
        <is>
          <t>Gina</t>
        </is>
      </c>
      <c r="O342" t="inlineStr">
        <is>
          <t>台北市中山區建國北路一段80號11樓</t>
        </is>
      </c>
      <c r="P342" t="inlineStr">
        <is>
          <t>GinaHuang@mediadrive.com.tw</t>
        </is>
      </c>
      <c r="Q342" t="inlineStr">
        <is>
          <t>02-2502-5788 Ext. 5707</t>
        </is>
      </c>
      <c r="R342" t="inlineStr"/>
      <c r="S342" t="inlineStr">
        <is>
          <t>已收款</t>
        </is>
      </c>
      <c r="T342" t="inlineStr">
        <is>
          <t>36萬年約(未稅)，$378000含稅/3，每期$10500含稅(此為第6期，共12期)
來源：訂閱型發票及收款紀錄 第 362 列</t>
        </is>
      </c>
      <c r="U342" t="inlineStr"/>
      <c r="V342" t="inlineStr">
        <is>
          <t>2026-05-18</t>
        </is>
      </c>
    </row>
    <row r="343">
      <c r="A343" t="inlineStr">
        <is>
          <t>inv_720c4ef6debe</t>
        </is>
      </c>
      <c r="B343" t="inlineStr">
        <is>
          <t>Kate</t>
        </is>
      </c>
      <c r="C343" t="inlineStr">
        <is>
          <t>2026-04-30</t>
        </is>
      </c>
      <c r="D343" t="inlineStr">
        <is>
          <t>2948534</t>
        </is>
      </c>
      <c r="E343" t="inlineStr"/>
      <c r="F343" t="inlineStr">
        <is>
          <t>2026-02-10</t>
        </is>
      </c>
      <c r="G343" t="inlineStr"/>
      <c r="H343" t="inlineStr">
        <is>
          <t>cus_6cf846994bdb</t>
        </is>
      </c>
      <c r="I343" t="inlineStr">
        <is>
          <t>展將數位科技股份有限公司</t>
        </is>
      </c>
      <c r="J343" t="inlineStr">
        <is>
          <t>83288872</t>
        </is>
      </c>
      <c r="K343" t="n">
        <v>10000</v>
      </c>
      <c r="L343" t="n">
        <v>10500</v>
      </c>
      <c r="M343" t="inlineStr">
        <is>
          <t>平台訂閱</t>
        </is>
      </c>
      <c r="N343" t="inlineStr">
        <is>
          <t>Gina</t>
        </is>
      </c>
      <c r="O343" t="inlineStr">
        <is>
          <t>台北市中山區建國北路一段80號11樓</t>
        </is>
      </c>
      <c r="P343" t="inlineStr">
        <is>
          <t>GinaHuang@mediadrive.com.tw</t>
        </is>
      </c>
      <c r="Q343" t="inlineStr">
        <is>
          <t>02-2502-5788 Ext. 5707</t>
        </is>
      </c>
      <c r="R343" t="inlineStr"/>
      <c r="S343" t="inlineStr">
        <is>
          <t>已收款</t>
        </is>
      </c>
      <c r="T343" t="inlineStr">
        <is>
          <t>來源：訂閱型發票及收款紀錄 第 363 列</t>
        </is>
      </c>
      <c r="U343" t="inlineStr"/>
      <c r="V343" t="inlineStr">
        <is>
          <t>2026-05-18</t>
        </is>
      </c>
    </row>
    <row r="344">
      <c r="A344" t="inlineStr">
        <is>
          <t>inv_b0d0a9e14ed4</t>
        </is>
      </c>
      <c r="B344" t="inlineStr">
        <is>
          <t>Kate</t>
        </is>
      </c>
      <c r="C344" t="inlineStr">
        <is>
          <t>2026-04-30</t>
        </is>
      </c>
      <c r="D344" t="inlineStr">
        <is>
          <t>2948535</t>
        </is>
      </c>
      <c r="E344" t="inlineStr"/>
      <c r="F344" t="inlineStr">
        <is>
          <t>2026-02-10</t>
        </is>
      </c>
      <c r="G344" t="inlineStr"/>
      <c r="H344" t="inlineStr">
        <is>
          <t>cus_6cf846994bdb</t>
        </is>
      </c>
      <c r="I344" t="inlineStr">
        <is>
          <t>展將數位科技股份有限公司</t>
        </is>
      </c>
      <c r="J344" t="inlineStr">
        <is>
          <t>83288872</t>
        </is>
      </c>
      <c r="K344" t="n">
        <v>10000</v>
      </c>
      <c r="L344" t="n">
        <v>10500</v>
      </c>
      <c r="M344" t="inlineStr">
        <is>
          <t>平台訂閱</t>
        </is>
      </c>
      <c r="N344" t="inlineStr">
        <is>
          <t>Gina</t>
        </is>
      </c>
      <c r="O344" t="inlineStr">
        <is>
          <t>台北市中山區建國北路一段80號11樓</t>
        </is>
      </c>
      <c r="P344" t="inlineStr">
        <is>
          <t>GinaHuang@mediadrive.com.tw</t>
        </is>
      </c>
      <c r="Q344" t="inlineStr">
        <is>
          <t>02-2502-5788 Ext. 5707</t>
        </is>
      </c>
      <c r="R344" t="inlineStr"/>
      <c r="S344" t="inlineStr">
        <is>
          <t>已收款</t>
        </is>
      </c>
      <c r="T344" t="inlineStr">
        <is>
          <t>來源：訂閱型發票及收款紀錄 第 364 列</t>
        </is>
      </c>
      <c r="U344" t="inlineStr"/>
      <c r="V344" t="inlineStr">
        <is>
          <t>2026-05-18</t>
        </is>
      </c>
    </row>
    <row r="345">
      <c r="A345" t="inlineStr">
        <is>
          <t>inv_a278ca11536e</t>
        </is>
      </c>
      <c r="B345" t="inlineStr">
        <is>
          <t>Kate</t>
        </is>
      </c>
      <c r="C345" t="inlineStr">
        <is>
          <t>2026-04-30</t>
        </is>
      </c>
      <c r="D345" t="inlineStr">
        <is>
          <t>2975076</t>
        </is>
      </c>
      <c r="E345" t="inlineStr">
        <is>
          <t>2026-03-01 00:00:00</t>
        </is>
      </c>
      <c r="F345" t="inlineStr">
        <is>
          <t>2026-03-10</t>
        </is>
      </c>
      <c r="G345" t="inlineStr"/>
      <c r="H345" t="inlineStr">
        <is>
          <t>cus_6cf846994bdb</t>
        </is>
      </c>
      <c r="I345" t="inlineStr">
        <is>
          <t>展將數位科技股份有限公司</t>
        </is>
      </c>
      <c r="J345" t="inlineStr">
        <is>
          <t>83288872</t>
        </is>
      </c>
      <c r="K345" t="n">
        <v>10000</v>
      </c>
      <c r="L345" t="n">
        <v>10500</v>
      </c>
      <c r="M345" t="inlineStr">
        <is>
          <t>平台訂閱</t>
        </is>
      </c>
      <c r="N345" t="inlineStr">
        <is>
          <t>Gina</t>
        </is>
      </c>
      <c r="O345" t="inlineStr">
        <is>
          <t>台北市中山區建國北路一段80號11樓</t>
        </is>
      </c>
      <c r="P345" t="inlineStr">
        <is>
          <t>GinaHuang@mediadrive.com.tw</t>
        </is>
      </c>
      <c r="Q345" t="inlineStr">
        <is>
          <t>02-2502-5788 Ext. 5707</t>
        </is>
      </c>
      <c r="R345" t="inlineStr"/>
      <c r="S345" t="inlineStr">
        <is>
          <t>已收款</t>
        </is>
      </c>
      <c r="T345" t="inlineStr">
        <is>
          <t>36萬年約(未稅)，$378000含稅/3，每期$10500含稅(此為第7期，共12期)
來源：訂閱型發票及收款紀錄 第 365 列</t>
        </is>
      </c>
      <c r="U345" t="inlineStr"/>
      <c r="V345" t="inlineStr">
        <is>
          <t>2026-05-18</t>
        </is>
      </c>
    </row>
    <row r="346">
      <c r="A346" t="inlineStr">
        <is>
          <t>inv_895cbeec8264</t>
        </is>
      </c>
      <c r="B346" t="inlineStr">
        <is>
          <t>Kate</t>
        </is>
      </c>
      <c r="C346" t="inlineStr"/>
      <c r="D346" t="inlineStr">
        <is>
          <t>2975077</t>
        </is>
      </c>
      <c r="E346" t="inlineStr"/>
      <c r="F346" t="inlineStr">
        <is>
          <t>2026-03-10</t>
        </is>
      </c>
      <c r="G346" t="inlineStr"/>
      <c r="H346" t="inlineStr">
        <is>
          <t>cus_6cf846994bdb</t>
        </is>
      </c>
      <c r="I346" t="inlineStr">
        <is>
          <t>展將數位科技股份有限公司</t>
        </is>
      </c>
      <c r="J346" t="inlineStr">
        <is>
          <t>83288872</t>
        </is>
      </c>
      <c r="K346" t="n">
        <v>10000</v>
      </c>
      <c r="L346" t="n">
        <v>10500</v>
      </c>
      <c r="M346" t="inlineStr">
        <is>
          <t>平台訂閱</t>
        </is>
      </c>
      <c r="N346" t="inlineStr">
        <is>
          <t>Gina</t>
        </is>
      </c>
      <c r="O346" t="inlineStr">
        <is>
          <t>台北市中山區建國北路一段80號11樓</t>
        </is>
      </c>
      <c r="P346" t="inlineStr">
        <is>
          <t>GinaHuang@mediadrive.com.tw</t>
        </is>
      </c>
      <c r="Q346" t="inlineStr">
        <is>
          <t>02-2502-5788 Ext. 5707</t>
        </is>
      </c>
      <c r="R346" t="inlineStr"/>
      <c r="S346" t="inlineStr">
        <is>
          <t>未收款</t>
        </is>
      </c>
      <c r="T346" t="inlineStr">
        <is>
          <t>來源：訂閱型發票及收款紀錄 第 366 列</t>
        </is>
      </c>
      <c r="U346" t="inlineStr"/>
      <c r="V346" t="inlineStr">
        <is>
          <t>2026-05-18</t>
        </is>
      </c>
    </row>
    <row r="347">
      <c r="A347" t="inlineStr">
        <is>
          <t>inv_b19609393602</t>
        </is>
      </c>
      <c r="B347" t="inlineStr">
        <is>
          <t>Kate</t>
        </is>
      </c>
      <c r="C347" t="inlineStr"/>
      <c r="D347" t="inlineStr">
        <is>
          <t>2975078</t>
        </is>
      </c>
      <c r="E347" t="inlineStr"/>
      <c r="F347" t="inlineStr">
        <is>
          <t>2026-03-10</t>
        </is>
      </c>
      <c r="G347" t="inlineStr"/>
      <c r="H347" t="inlineStr">
        <is>
          <t>cus_6cf846994bdb</t>
        </is>
      </c>
      <c r="I347" t="inlineStr">
        <is>
          <t>展將數位科技股份有限公司</t>
        </is>
      </c>
      <c r="J347" t="inlineStr">
        <is>
          <t>83288872</t>
        </is>
      </c>
      <c r="K347" t="n">
        <v>10000</v>
      </c>
      <c r="L347" t="n">
        <v>10500</v>
      </c>
      <c r="M347" t="inlineStr">
        <is>
          <t>平台訂閱</t>
        </is>
      </c>
      <c r="N347" t="inlineStr">
        <is>
          <t>Gina</t>
        </is>
      </c>
      <c r="O347" t="inlineStr">
        <is>
          <t>台北市中山區建國北路一段80號11樓</t>
        </is>
      </c>
      <c r="P347" t="inlineStr">
        <is>
          <t>GinaHuang@mediadrive.com.tw</t>
        </is>
      </c>
      <c r="Q347" t="inlineStr">
        <is>
          <t>02-2502-5788 Ext. 5707</t>
        </is>
      </c>
      <c r="R347" t="inlineStr"/>
      <c r="S347" t="inlineStr">
        <is>
          <t>未收款</t>
        </is>
      </c>
      <c r="T347" t="inlineStr">
        <is>
          <t>來源：訂閱型發票及收款紀錄 第 367 列</t>
        </is>
      </c>
      <c r="U347" t="inlineStr"/>
      <c r="V347" t="inlineStr">
        <is>
          <t>2026-05-18</t>
        </is>
      </c>
    </row>
    <row r="348">
      <c r="A348" t="inlineStr">
        <is>
          <t>inv_a61fbffe85eb</t>
        </is>
      </c>
      <c r="B348" t="inlineStr">
        <is>
          <t>Kate</t>
        </is>
      </c>
      <c r="C348" t="inlineStr"/>
      <c r="D348" t="inlineStr">
        <is>
          <t>3020029</t>
        </is>
      </c>
      <c r="E348" t="inlineStr">
        <is>
          <t>2026-04-01 00:00:00</t>
        </is>
      </c>
      <c r="F348" t="inlineStr">
        <is>
          <t>2026-04-10</t>
        </is>
      </c>
      <c r="G348" t="inlineStr"/>
      <c r="H348" t="inlineStr">
        <is>
          <t>cus_6cf846994bdb</t>
        </is>
      </c>
      <c r="I348" t="inlineStr">
        <is>
          <t>展將數位科技股份有限公司</t>
        </is>
      </c>
      <c r="J348" t="inlineStr">
        <is>
          <t>83288872</t>
        </is>
      </c>
      <c r="K348" t="n">
        <v>10000</v>
      </c>
      <c r="L348" t="n">
        <v>10500</v>
      </c>
      <c r="M348" t="inlineStr">
        <is>
          <t>平台訂閱</t>
        </is>
      </c>
      <c r="N348" t="inlineStr">
        <is>
          <t>Gina</t>
        </is>
      </c>
      <c r="O348" t="inlineStr">
        <is>
          <t>台北市中山區建國北路一段80號11樓</t>
        </is>
      </c>
      <c r="P348" t="inlineStr">
        <is>
          <t>GinaHuang@mediadrive.com.tw</t>
        </is>
      </c>
      <c r="Q348" t="inlineStr">
        <is>
          <t>02-2502-5788 Ext. 5707</t>
        </is>
      </c>
      <c r="R348" t="inlineStr"/>
      <c r="S348" t="inlineStr">
        <is>
          <t>未收款</t>
        </is>
      </c>
      <c r="T348" t="inlineStr">
        <is>
          <t>36萬年約(未稅)，$378000含稅/3，每期$10500含稅(此為第8期，共12期)
來源：訂閱型發票及收款紀錄 第 368 列</t>
        </is>
      </c>
      <c r="U348" t="inlineStr"/>
      <c r="V348" t="inlineStr">
        <is>
          <t>2026-05-18</t>
        </is>
      </c>
    </row>
    <row r="349">
      <c r="A349" t="inlineStr">
        <is>
          <t>inv_bb6149f6643b</t>
        </is>
      </c>
      <c r="B349" t="inlineStr">
        <is>
          <t>Kate</t>
        </is>
      </c>
      <c r="C349" t="inlineStr"/>
      <c r="D349" t="inlineStr">
        <is>
          <t>3020030</t>
        </is>
      </c>
      <c r="E349" t="inlineStr"/>
      <c r="F349" t="inlineStr">
        <is>
          <t>2026-04-10</t>
        </is>
      </c>
      <c r="G349" t="inlineStr"/>
      <c r="H349" t="inlineStr">
        <is>
          <t>cus_6cf846994bdb</t>
        </is>
      </c>
      <c r="I349" t="inlineStr">
        <is>
          <t>展將數位科技股份有限公司</t>
        </is>
      </c>
      <c r="J349" t="inlineStr">
        <is>
          <t>83288872</t>
        </is>
      </c>
      <c r="K349" t="n">
        <v>10000</v>
      </c>
      <c r="L349" t="n">
        <v>10500</v>
      </c>
      <c r="M349" t="inlineStr">
        <is>
          <t>平台訂閱</t>
        </is>
      </c>
      <c r="N349" t="inlineStr">
        <is>
          <t>Gina</t>
        </is>
      </c>
      <c r="O349" t="inlineStr">
        <is>
          <t>台北市中山區建國北路一段80號11樓</t>
        </is>
      </c>
      <c r="P349" t="inlineStr">
        <is>
          <t>GinaHuang@mediadrive.com.tw</t>
        </is>
      </c>
      <c r="Q349" t="inlineStr">
        <is>
          <t>02-2502-5788 Ext. 5707</t>
        </is>
      </c>
      <c r="R349" t="inlineStr"/>
      <c r="S349" t="inlineStr">
        <is>
          <t>未收款</t>
        </is>
      </c>
      <c r="T349" t="inlineStr">
        <is>
          <t>來源：訂閱型發票及收款紀錄 第 369 列</t>
        </is>
      </c>
      <c r="U349" t="inlineStr"/>
      <c r="V349" t="inlineStr">
        <is>
          <t>2026-05-18</t>
        </is>
      </c>
    </row>
    <row r="350">
      <c r="A350" t="inlineStr">
        <is>
          <t>inv_8a48dce2b17f</t>
        </is>
      </c>
      <c r="B350" t="inlineStr">
        <is>
          <t>Kate</t>
        </is>
      </c>
      <c r="C350" t="inlineStr"/>
      <c r="D350" t="inlineStr">
        <is>
          <t>3020031</t>
        </is>
      </c>
      <c r="E350" t="inlineStr"/>
      <c r="F350" t="inlineStr">
        <is>
          <t>2026-04-10</t>
        </is>
      </c>
      <c r="G350" t="inlineStr"/>
      <c r="H350" t="inlineStr">
        <is>
          <t>cus_6cf846994bdb</t>
        </is>
      </c>
      <c r="I350" t="inlineStr">
        <is>
          <t>展將數位科技股份有限公司</t>
        </is>
      </c>
      <c r="J350" t="inlineStr">
        <is>
          <t>83288872</t>
        </is>
      </c>
      <c r="K350" t="n">
        <v>10000</v>
      </c>
      <c r="L350" t="n">
        <v>10500</v>
      </c>
      <c r="M350" t="inlineStr">
        <is>
          <t>平台訂閱</t>
        </is>
      </c>
      <c r="N350" t="inlineStr">
        <is>
          <t>Gina</t>
        </is>
      </c>
      <c r="O350" t="inlineStr">
        <is>
          <t>台北市中山區建國北路一段80號11樓</t>
        </is>
      </c>
      <c r="P350" t="inlineStr">
        <is>
          <t>GinaHuang@mediadrive.com.tw</t>
        </is>
      </c>
      <c r="Q350" t="inlineStr">
        <is>
          <t>02-2502-5788 Ext. 5707</t>
        </is>
      </c>
      <c r="R350" t="inlineStr"/>
      <c r="S350" t="inlineStr">
        <is>
          <t>未收款</t>
        </is>
      </c>
      <c r="T350" t="inlineStr">
        <is>
          <t>來源：訂閱型發票及收款紀錄 第 370 列</t>
        </is>
      </c>
      <c r="U350" t="inlineStr"/>
      <c r="V350" t="inlineStr">
        <is>
          <t>2026-05-18</t>
        </is>
      </c>
    </row>
    <row r="351">
      <c r="A351" t="inlineStr">
        <is>
          <t>inv_e7cb87d84fd0</t>
        </is>
      </c>
      <c r="B351" t="inlineStr">
        <is>
          <t>Kate</t>
        </is>
      </c>
      <c r="C351" t="inlineStr"/>
      <c r="D351" t="inlineStr"/>
      <c r="E351" t="inlineStr">
        <is>
          <t>2026-05-01 00:00:00</t>
        </is>
      </c>
      <c r="F351" t="inlineStr"/>
      <c r="G351" t="inlineStr"/>
      <c r="H351" t="inlineStr">
        <is>
          <t>cus_6cf846994bdb</t>
        </is>
      </c>
      <c r="I351" t="inlineStr">
        <is>
          <t>展將數位科技股份有限公司</t>
        </is>
      </c>
      <c r="J351" t="inlineStr">
        <is>
          <t>83288872</t>
        </is>
      </c>
      <c r="K351" t="n">
        <v>10000</v>
      </c>
      <c r="L351" t="n">
        <v>10500</v>
      </c>
      <c r="M351" t="inlineStr">
        <is>
          <t>平台訂閱</t>
        </is>
      </c>
      <c r="N351" t="inlineStr">
        <is>
          <t>Gina</t>
        </is>
      </c>
      <c r="O351" t="inlineStr">
        <is>
          <t>台北市中山區建國北路一段80號11樓</t>
        </is>
      </c>
      <c r="P351" t="inlineStr">
        <is>
          <t>GinaHuang@mediadrive.com.tw</t>
        </is>
      </c>
      <c r="Q351" t="inlineStr">
        <is>
          <t>02-2502-5788 Ext. 5707</t>
        </is>
      </c>
      <c r="R351" t="inlineStr"/>
      <c r="S351" t="inlineStr">
        <is>
          <t>未收款</t>
        </is>
      </c>
      <c r="T351" t="inlineStr">
        <is>
          <t>36萬年約(未稅)，$378000含稅/3，每期$10500含稅(此為第9期，共12期)
來源：訂閱型發票及收款紀錄 第 371 列</t>
        </is>
      </c>
      <c r="U351" t="inlineStr"/>
      <c r="V351" t="inlineStr">
        <is>
          <t>2026-05-18</t>
        </is>
      </c>
    </row>
    <row r="352">
      <c r="A352" t="inlineStr">
        <is>
          <t>inv_1e62f6628578</t>
        </is>
      </c>
      <c r="B352" t="inlineStr">
        <is>
          <t>Kate</t>
        </is>
      </c>
      <c r="C352" t="inlineStr"/>
      <c r="D352" t="inlineStr"/>
      <c r="E352" t="inlineStr"/>
      <c r="F352" t="inlineStr"/>
      <c r="G352" t="inlineStr"/>
      <c r="H352" t="inlineStr">
        <is>
          <t>cus_6cf846994bdb</t>
        </is>
      </c>
      <c r="I352" t="inlineStr">
        <is>
          <t>展將數位科技股份有限公司</t>
        </is>
      </c>
      <c r="J352" t="inlineStr">
        <is>
          <t>83288872</t>
        </is>
      </c>
      <c r="K352" t="n">
        <v>10000</v>
      </c>
      <c r="L352" t="n">
        <v>10500</v>
      </c>
      <c r="M352" t="inlineStr">
        <is>
          <t>平台訂閱</t>
        </is>
      </c>
      <c r="N352" t="inlineStr">
        <is>
          <t>Gina</t>
        </is>
      </c>
      <c r="O352" t="inlineStr">
        <is>
          <t>台北市中山區建國北路一段80號11樓</t>
        </is>
      </c>
      <c r="P352" t="inlineStr">
        <is>
          <t>GinaHuang@mediadrive.com.tw</t>
        </is>
      </c>
      <c r="Q352" t="inlineStr">
        <is>
          <t>02-2502-5788 Ext. 5707</t>
        </is>
      </c>
      <c r="R352" t="inlineStr"/>
      <c r="S352" t="inlineStr">
        <is>
          <t>未收款</t>
        </is>
      </c>
      <c r="T352" t="inlineStr">
        <is>
          <t>來源：訂閱型發票及收款紀錄 第 372 列</t>
        </is>
      </c>
      <c r="U352" t="inlineStr"/>
      <c r="V352" t="inlineStr">
        <is>
          <t>2026-05-18</t>
        </is>
      </c>
    </row>
    <row r="353">
      <c r="A353" t="inlineStr">
        <is>
          <t>inv_8effd04831ef</t>
        </is>
      </c>
      <c r="B353" t="inlineStr">
        <is>
          <t>Kate</t>
        </is>
      </c>
      <c r="C353" t="inlineStr"/>
      <c r="D353" t="inlineStr"/>
      <c r="E353" t="inlineStr"/>
      <c r="F353" t="inlineStr"/>
      <c r="G353" t="inlineStr"/>
      <c r="H353" t="inlineStr">
        <is>
          <t>cus_6cf846994bdb</t>
        </is>
      </c>
      <c r="I353" t="inlineStr">
        <is>
          <t>展將數位科技股份有限公司</t>
        </is>
      </c>
      <c r="J353" t="inlineStr">
        <is>
          <t>83288872</t>
        </is>
      </c>
      <c r="K353" t="n">
        <v>10000</v>
      </c>
      <c r="L353" t="n">
        <v>10500</v>
      </c>
      <c r="M353" t="inlineStr">
        <is>
          <t>平台訂閱</t>
        </is>
      </c>
      <c r="N353" t="inlineStr">
        <is>
          <t>Gina</t>
        </is>
      </c>
      <c r="O353" t="inlineStr">
        <is>
          <t>台北市中山區建國北路一段80號11樓</t>
        </is>
      </c>
      <c r="P353" t="inlineStr">
        <is>
          <t>GinaHuang@mediadrive.com.tw</t>
        </is>
      </c>
      <c r="Q353" t="inlineStr">
        <is>
          <t>02-2502-5788 Ext. 5707</t>
        </is>
      </c>
      <c r="R353" t="inlineStr"/>
      <c r="S353" t="inlineStr">
        <is>
          <t>未收款</t>
        </is>
      </c>
      <c r="T353" t="inlineStr">
        <is>
          <t>來源：訂閱型發票及收款紀錄 第 373 列</t>
        </is>
      </c>
      <c r="U353" t="inlineStr"/>
      <c r="V353" t="inlineStr">
        <is>
          <t>2026-05-18</t>
        </is>
      </c>
    </row>
    <row r="354">
      <c r="A354" t="inlineStr">
        <is>
          <t>inv_a32f35cbd773</t>
        </is>
      </c>
      <c r="B354" t="inlineStr">
        <is>
          <t>Kate</t>
        </is>
      </c>
      <c r="C354" t="inlineStr"/>
      <c r="D354" t="inlineStr"/>
      <c r="E354" t="inlineStr">
        <is>
          <t>2026-06-01 00:00:00</t>
        </is>
      </c>
      <c r="F354" t="inlineStr"/>
      <c r="G354" t="inlineStr"/>
      <c r="H354" t="inlineStr">
        <is>
          <t>cus_6cf846994bdb</t>
        </is>
      </c>
      <c r="I354" t="inlineStr">
        <is>
          <t>展將數位科技股份有限公司</t>
        </is>
      </c>
      <c r="J354" t="inlineStr">
        <is>
          <t>83288872</t>
        </is>
      </c>
      <c r="K354" t="n">
        <v>10000</v>
      </c>
      <c r="L354" t="n">
        <v>10500</v>
      </c>
      <c r="M354" t="inlineStr">
        <is>
          <t>平台訂閱</t>
        </is>
      </c>
      <c r="N354" t="inlineStr">
        <is>
          <t>Gina</t>
        </is>
      </c>
      <c r="O354" t="inlineStr">
        <is>
          <t>台北市中山區建國北路一段80號11樓</t>
        </is>
      </c>
      <c r="P354" t="inlineStr">
        <is>
          <t>GinaHuang@mediadrive.com.tw</t>
        </is>
      </c>
      <c r="Q354" t="inlineStr">
        <is>
          <t>02-2502-5788 Ext. 5707</t>
        </is>
      </c>
      <c r="R354" t="inlineStr"/>
      <c r="S354" t="inlineStr">
        <is>
          <t>未收款</t>
        </is>
      </c>
      <c r="T354" t="inlineStr">
        <is>
          <t>36萬年約(未稅)，$378000含稅/3，每期$10500含稅(此為第10期，共12期)
來源：訂閱型發票及收款紀錄 第 374 列</t>
        </is>
      </c>
      <c r="U354" t="inlineStr"/>
      <c r="V354" t="inlineStr">
        <is>
          <t>2026-05-18</t>
        </is>
      </c>
    </row>
    <row r="355">
      <c r="A355" t="inlineStr">
        <is>
          <t>inv_e3f453a36a37</t>
        </is>
      </c>
      <c r="B355" t="inlineStr">
        <is>
          <t>Kate</t>
        </is>
      </c>
      <c r="C355" t="inlineStr"/>
      <c r="D355" t="inlineStr"/>
      <c r="E355" t="inlineStr"/>
      <c r="F355" t="inlineStr"/>
      <c r="G355" t="inlineStr"/>
      <c r="H355" t="inlineStr">
        <is>
          <t>cus_6cf846994bdb</t>
        </is>
      </c>
      <c r="I355" t="inlineStr">
        <is>
          <t>展將數位科技股份有限公司</t>
        </is>
      </c>
      <c r="J355" t="inlineStr">
        <is>
          <t>83288872</t>
        </is>
      </c>
      <c r="K355" t="n">
        <v>10000</v>
      </c>
      <c r="L355" t="n">
        <v>10500</v>
      </c>
      <c r="M355" t="inlineStr">
        <is>
          <t>平台訂閱</t>
        </is>
      </c>
      <c r="N355" t="inlineStr">
        <is>
          <t>Gina</t>
        </is>
      </c>
      <c r="O355" t="inlineStr">
        <is>
          <t>台北市中山區建國北路一段80號11樓</t>
        </is>
      </c>
      <c r="P355" t="inlineStr">
        <is>
          <t>GinaHuang@mediadrive.com.tw</t>
        </is>
      </c>
      <c r="Q355" t="inlineStr">
        <is>
          <t>02-2502-5788 Ext. 5707</t>
        </is>
      </c>
      <c r="R355" t="inlineStr"/>
      <c r="S355" t="inlineStr">
        <is>
          <t>未收款</t>
        </is>
      </c>
      <c r="T355" t="inlineStr">
        <is>
          <t>來源：訂閱型發票及收款紀錄 第 375 列</t>
        </is>
      </c>
      <c r="U355" t="inlineStr"/>
      <c r="V355" t="inlineStr">
        <is>
          <t>2026-05-18</t>
        </is>
      </c>
    </row>
    <row r="356">
      <c r="A356" t="inlineStr">
        <is>
          <t>inv_a45905b30e70</t>
        </is>
      </c>
      <c r="B356" t="inlineStr">
        <is>
          <t>Kate</t>
        </is>
      </c>
      <c r="C356" t="inlineStr"/>
      <c r="D356" t="inlineStr"/>
      <c r="E356" t="inlineStr"/>
      <c r="F356" t="inlineStr"/>
      <c r="G356" t="inlineStr"/>
      <c r="H356" t="inlineStr">
        <is>
          <t>cus_6cf846994bdb</t>
        </is>
      </c>
      <c r="I356" t="inlineStr">
        <is>
          <t>展將數位科技股份有限公司</t>
        </is>
      </c>
      <c r="J356" t="inlineStr">
        <is>
          <t>83288872</t>
        </is>
      </c>
      <c r="K356" t="n">
        <v>10000</v>
      </c>
      <c r="L356" t="n">
        <v>10500</v>
      </c>
      <c r="M356" t="inlineStr">
        <is>
          <t>平台訂閱</t>
        </is>
      </c>
      <c r="N356" t="inlineStr">
        <is>
          <t>Gina</t>
        </is>
      </c>
      <c r="O356" t="inlineStr">
        <is>
          <t>台北市中山區建國北路一段80號11樓</t>
        </is>
      </c>
      <c r="P356" t="inlineStr">
        <is>
          <t>GinaHuang@mediadrive.com.tw</t>
        </is>
      </c>
      <c r="Q356" t="inlineStr">
        <is>
          <t>02-2502-5788 Ext. 5707</t>
        </is>
      </c>
      <c r="R356" t="inlineStr"/>
      <c r="S356" t="inlineStr">
        <is>
          <t>未收款</t>
        </is>
      </c>
      <c r="T356" t="inlineStr">
        <is>
          <t>來源：訂閱型發票及收款紀錄 第 376 列</t>
        </is>
      </c>
      <c r="U356" t="inlineStr"/>
      <c r="V356" t="inlineStr">
        <is>
          <t>2026-05-18</t>
        </is>
      </c>
    </row>
    <row r="357">
      <c r="A357" t="inlineStr">
        <is>
          <t>inv_e77082b8f021</t>
        </is>
      </c>
      <c r="B357" t="inlineStr">
        <is>
          <t>Kate</t>
        </is>
      </c>
      <c r="C357" t="inlineStr"/>
      <c r="D357" t="inlineStr"/>
      <c r="E357" t="inlineStr">
        <is>
          <t>2026-07-01 00:00:00</t>
        </is>
      </c>
      <c r="F357" t="inlineStr"/>
      <c r="G357" t="inlineStr"/>
      <c r="H357" t="inlineStr">
        <is>
          <t>cus_6cf846994bdb</t>
        </is>
      </c>
      <c r="I357" t="inlineStr">
        <is>
          <t>展將數位科技股份有限公司</t>
        </is>
      </c>
      <c r="J357" t="inlineStr">
        <is>
          <t>83288872</t>
        </is>
      </c>
      <c r="K357" t="n">
        <v>10000</v>
      </c>
      <c r="L357" t="n">
        <v>10500</v>
      </c>
      <c r="M357" t="inlineStr">
        <is>
          <t>平台訂閱</t>
        </is>
      </c>
      <c r="N357" t="inlineStr">
        <is>
          <t>Gina</t>
        </is>
      </c>
      <c r="O357" t="inlineStr">
        <is>
          <t>台北市中山區建國北路一段80號11樓</t>
        </is>
      </c>
      <c r="P357" t="inlineStr">
        <is>
          <t>GinaHuang@mediadrive.com.tw</t>
        </is>
      </c>
      <c r="Q357" t="inlineStr">
        <is>
          <t>02-2502-5788 Ext. 5707</t>
        </is>
      </c>
      <c r="R357" t="inlineStr"/>
      <c r="S357" t="inlineStr">
        <is>
          <t>未收款</t>
        </is>
      </c>
      <c r="T357" t="inlineStr">
        <is>
          <t>36萬年約(未稅)，$378000含稅/3，每期$10500含稅(此為第11期，共12期)
來源：訂閱型發票及收款紀錄 第 377 列</t>
        </is>
      </c>
      <c r="U357" t="inlineStr"/>
      <c r="V357" t="inlineStr">
        <is>
          <t>2026-05-18</t>
        </is>
      </c>
    </row>
    <row r="358">
      <c r="A358" t="inlineStr">
        <is>
          <t>inv_e23161370b46</t>
        </is>
      </c>
      <c r="B358" t="inlineStr">
        <is>
          <t>Kate</t>
        </is>
      </c>
      <c r="C358" t="inlineStr"/>
      <c r="D358" t="inlineStr"/>
      <c r="E358" t="inlineStr"/>
      <c r="F358" t="inlineStr"/>
      <c r="G358" t="inlineStr"/>
      <c r="H358" t="inlineStr">
        <is>
          <t>cus_6cf846994bdb</t>
        </is>
      </c>
      <c r="I358" t="inlineStr">
        <is>
          <t>展將數位科技股份有限公司</t>
        </is>
      </c>
      <c r="J358" t="inlineStr">
        <is>
          <t>83288872</t>
        </is>
      </c>
      <c r="K358" t="n">
        <v>10000</v>
      </c>
      <c r="L358" t="n">
        <v>10500</v>
      </c>
      <c r="M358" t="inlineStr">
        <is>
          <t>平台訂閱</t>
        </is>
      </c>
      <c r="N358" t="inlineStr">
        <is>
          <t>Gina</t>
        </is>
      </c>
      <c r="O358" t="inlineStr">
        <is>
          <t>台北市中山區建國北路一段80號11樓</t>
        </is>
      </c>
      <c r="P358" t="inlineStr">
        <is>
          <t>GinaHuang@mediadrive.com.tw</t>
        </is>
      </c>
      <c r="Q358" t="inlineStr">
        <is>
          <t>02-2502-5788 Ext. 5707</t>
        </is>
      </c>
      <c r="R358" t="inlineStr"/>
      <c r="S358" t="inlineStr">
        <is>
          <t>未收款</t>
        </is>
      </c>
      <c r="T358" t="inlineStr">
        <is>
          <t>來源：訂閱型發票及收款紀錄 第 378 列</t>
        </is>
      </c>
      <c r="U358" t="inlineStr"/>
      <c r="V358" t="inlineStr">
        <is>
          <t>2026-05-18</t>
        </is>
      </c>
    </row>
    <row r="359">
      <c r="A359" t="inlineStr">
        <is>
          <t>inv_a1d75b2de19b</t>
        </is>
      </c>
      <c r="B359" t="inlineStr">
        <is>
          <t>Kate</t>
        </is>
      </c>
      <c r="C359" t="inlineStr"/>
      <c r="D359" t="inlineStr"/>
      <c r="E359" t="inlineStr"/>
      <c r="F359" t="inlineStr"/>
      <c r="G359" t="inlineStr"/>
      <c r="H359" t="inlineStr">
        <is>
          <t>cus_6cf846994bdb</t>
        </is>
      </c>
      <c r="I359" t="inlineStr">
        <is>
          <t>展將數位科技股份有限公司</t>
        </is>
      </c>
      <c r="J359" t="inlineStr">
        <is>
          <t>83288872</t>
        </is>
      </c>
      <c r="K359" t="n">
        <v>10000</v>
      </c>
      <c r="L359" t="n">
        <v>10500</v>
      </c>
      <c r="M359" t="inlineStr">
        <is>
          <t>平台訂閱</t>
        </is>
      </c>
      <c r="N359" t="inlineStr">
        <is>
          <t>Gina</t>
        </is>
      </c>
      <c r="O359" t="inlineStr">
        <is>
          <t>台北市中山區建國北路一段80號11樓</t>
        </is>
      </c>
      <c r="P359" t="inlineStr">
        <is>
          <t>GinaHuang@mediadrive.com.tw</t>
        </is>
      </c>
      <c r="Q359" t="inlineStr">
        <is>
          <t>02-2502-5788 Ext. 5707</t>
        </is>
      </c>
      <c r="R359" t="inlineStr"/>
      <c r="S359" t="inlineStr">
        <is>
          <t>未收款</t>
        </is>
      </c>
      <c r="T359" t="inlineStr">
        <is>
          <t>來源：訂閱型發票及收款紀錄 第 379 列</t>
        </is>
      </c>
      <c r="U359" t="inlineStr"/>
      <c r="V359" t="inlineStr">
        <is>
          <t>2026-05-18</t>
        </is>
      </c>
    </row>
    <row r="360">
      <c r="A360" t="inlineStr">
        <is>
          <t>inv_a232894297c9</t>
        </is>
      </c>
      <c r="B360" t="inlineStr">
        <is>
          <t>Kate</t>
        </is>
      </c>
      <c r="C360" t="inlineStr"/>
      <c r="D360" t="inlineStr"/>
      <c r="E360" t="inlineStr">
        <is>
          <t>2026-08-01 00:00:00</t>
        </is>
      </c>
      <c r="F360" t="inlineStr"/>
      <c r="G360" t="inlineStr"/>
      <c r="H360" t="inlineStr">
        <is>
          <t>cus_6cf846994bdb</t>
        </is>
      </c>
      <c r="I360" t="inlineStr">
        <is>
          <t>展將數位科技股份有限公司</t>
        </is>
      </c>
      <c r="J360" t="inlineStr">
        <is>
          <t>83288872</t>
        </is>
      </c>
      <c r="K360" t="n">
        <v>10000</v>
      </c>
      <c r="L360" t="n">
        <v>10500</v>
      </c>
      <c r="M360" t="inlineStr">
        <is>
          <t>平台訂閱</t>
        </is>
      </c>
      <c r="N360" t="inlineStr">
        <is>
          <t>Gina</t>
        </is>
      </c>
      <c r="O360" t="inlineStr">
        <is>
          <t>台北市中山區建國北路一段80號11樓</t>
        </is>
      </c>
      <c r="P360" t="inlineStr">
        <is>
          <t>GinaHuang@mediadrive.com.tw</t>
        </is>
      </c>
      <c r="Q360" t="inlineStr">
        <is>
          <t>02-2502-5788 Ext. 5707</t>
        </is>
      </c>
      <c r="R360" t="inlineStr"/>
      <c r="S360" t="inlineStr">
        <is>
          <t>未收款</t>
        </is>
      </c>
      <c r="T360" t="inlineStr">
        <is>
          <t>36萬年約(未稅)，$378000含稅/3，每期$10500含稅(此為第12期，共12期)
來源：訂閱型發票及收款紀錄 第 380 列</t>
        </is>
      </c>
      <c r="U360" t="inlineStr"/>
      <c r="V360" t="inlineStr">
        <is>
          <t>2026-05-18</t>
        </is>
      </c>
    </row>
    <row r="361">
      <c r="A361" t="inlineStr">
        <is>
          <t>inv_4ace0ae46d5c</t>
        </is>
      </c>
      <c r="B361" t="inlineStr">
        <is>
          <t>Kate</t>
        </is>
      </c>
      <c r="C361" t="inlineStr"/>
      <c r="D361" t="inlineStr"/>
      <c r="E361" t="inlineStr"/>
      <c r="F361" t="inlineStr"/>
      <c r="G361" t="inlineStr"/>
      <c r="H361" t="inlineStr">
        <is>
          <t>cus_6cf846994bdb</t>
        </is>
      </c>
      <c r="I361" t="inlineStr">
        <is>
          <t>展將數位科技股份有限公司</t>
        </is>
      </c>
      <c r="J361" t="inlineStr">
        <is>
          <t>83288872</t>
        </is>
      </c>
      <c r="K361" t="n">
        <v>10000</v>
      </c>
      <c r="L361" t="n">
        <v>10500</v>
      </c>
      <c r="M361" t="inlineStr">
        <is>
          <t>平台訂閱</t>
        </is>
      </c>
      <c r="N361" t="inlineStr">
        <is>
          <t>Gina</t>
        </is>
      </c>
      <c r="O361" t="inlineStr">
        <is>
          <t>台北市中山區建國北路一段80號11樓</t>
        </is>
      </c>
      <c r="P361" t="inlineStr">
        <is>
          <t>GinaHuang@mediadrive.com.tw</t>
        </is>
      </c>
      <c r="Q361" t="inlineStr">
        <is>
          <t>02-2502-5788 Ext. 5707</t>
        </is>
      </c>
      <c r="R361" t="inlineStr"/>
      <c r="S361" t="inlineStr">
        <is>
          <t>未收款</t>
        </is>
      </c>
      <c r="T361" t="inlineStr">
        <is>
          <t>來源：訂閱型發票及收款紀錄 第 381 列</t>
        </is>
      </c>
      <c r="U361" t="inlineStr"/>
      <c r="V361" t="inlineStr">
        <is>
          <t>2026-05-18</t>
        </is>
      </c>
    </row>
    <row r="362">
      <c r="A362" t="inlineStr">
        <is>
          <t>inv_8e0460045d3e</t>
        </is>
      </c>
      <c r="B362" t="inlineStr">
        <is>
          <t>Kate</t>
        </is>
      </c>
      <c r="C362" t="inlineStr"/>
      <c r="D362" t="inlineStr"/>
      <c r="E362" t="inlineStr"/>
      <c r="F362" t="inlineStr"/>
      <c r="G362" t="inlineStr"/>
      <c r="H362" t="inlineStr">
        <is>
          <t>cus_6cf846994bdb</t>
        </is>
      </c>
      <c r="I362" t="inlineStr">
        <is>
          <t>展將數位科技股份有限公司</t>
        </is>
      </c>
      <c r="J362" t="inlineStr">
        <is>
          <t>83288872</t>
        </is>
      </c>
      <c r="K362" t="n">
        <v>10000</v>
      </c>
      <c r="L362" t="n">
        <v>10500</v>
      </c>
      <c r="M362" t="inlineStr">
        <is>
          <t>平台訂閱</t>
        </is>
      </c>
      <c r="N362" t="inlineStr">
        <is>
          <t>Gina</t>
        </is>
      </c>
      <c r="O362" t="inlineStr">
        <is>
          <t>台北市中山區建國北路一段80號11樓</t>
        </is>
      </c>
      <c r="P362" t="inlineStr">
        <is>
          <t>GinaHuang@mediadrive.com.tw</t>
        </is>
      </c>
      <c r="Q362" t="inlineStr">
        <is>
          <t>02-2502-5788 Ext. 5707</t>
        </is>
      </c>
      <c r="R362" t="inlineStr"/>
      <c r="S362" t="inlineStr">
        <is>
          <t>未收款</t>
        </is>
      </c>
      <c r="T362" t="inlineStr">
        <is>
          <t>來源：訂閱型發票及收款紀錄 第 382 列</t>
        </is>
      </c>
      <c r="U362" t="inlineStr"/>
      <c r="V362" t="inlineStr">
        <is>
          <t>2026-05-18</t>
        </is>
      </c>
    </row>
    <row r="363">
      <c r="A363" t="inlineStr">
        <is>
          <t>inv_9b6c10123d9b</t>
        </is>
      </c>
      <c r="B363" t="inlineStr">
        <is>
          <t>Erin</t>
        </is>
      </c>
      <c r="C363" t="inlineStr">
        <is>
          <t>2025-12-26</t>
        </is>
      </c>
      <c r="D363" t="inlineStr">
        <is>
          <t>2834356</t>
        </is>
      </c>
      <c r="E363" t="inlineStr">
        <is>
          <t>2025-11-01 00:00:00</t>
        </is>
      </c>
      <c r="F363" t="inlineStr">
        <is>
          <t>2025-11-10</t>
        </is>
      </c>
      <c r="G363" t="inlineStr"/>
      <c r="H363" t="inlineStr">
        <is>
          <t>cus_41298eb9466b</t>
        </is>
      </c>
      <c r="I363" t="inlineStr">
        <is>
          <t>王品餐飲股份有限公司</t>
        </is>
      </c>
      <c r="J363" t="inlineStr">
        <is>
          <t>84630426</t>
        </is>
      </c>
      <c r="K363" t="n">
        <v>0</v>
      </c>
      <c r="L363" t="n">
        <v>0</v>
      </c>
      <c r="M363" t="inlineStr">
        <is>
          <t>CMoney市場銷售分析戰情室</t>
        </is>
      </c>
      <c r="N363" t="inlineStr">
        <is>
          <t>李文欣</t>
        </is>
      </c>
      <c r="O363" t="inlineStr">
        <is>
          <t>台中市西區臺灣大道二段218號25樓</t>
        </is>
      </c>
      <c r="P363" t="inlineStr">
        <is>
          <t>celine.li@wowprime.com</t>
        </is>
      </c>
      <c r="Q363" t="inlineStr"/>
      <c r="R363" t="inlineStr"/>
      <c r="S363" t="inlineStr">
        <is>
          <t>已收款</t>
        </is>
      </c>
      <c r="T363" t="inlineStr">
        <is>
          <t>第一期，11月使用費(12萬扣訂金7萬)
來源：訂閱型發票及收款紀錄 第 384 列</t>
        </is>
      </c>
      <c r="U363" t="inlineStr">
        <is>
          <t>收到發票次月25日前支付</t>
        </is>
      </c>
      <c r="V363" t="inlineStr">
        <is>
          <t>2026-05-18</t>
        </is>
      </c>
    </row>
    <row r="364">
      <c r="A364" t="inlineStr">
        <is>
          <t>inv_953294e03465</t>
        </is>
      </c>
      <c r="B364" t="inlineStr">
        <is>
          <t>Erin</t>
        </is>
      </c>
      <c r="C364" t="inlineStr">
        <is>
          <t>2026-01-26</t>
        </is>
      </c>
      <c r="D364" t="inlineStr">
        <is>
          <t>2872823</t>
        </is>
      </c>
      <c r="E364" t="inlineStr">
        <is>
          <t>2025-12-01 00:00:00</t>
        </is>
      </c>
      <c r="F364" t="inlineStr">
        <is>
          <t>2025-12-10</t>
        </is>
      </c>
      <c r="G364" t="inlineStr"/>
      <c r="H364" t="inlineStr">
        <is>
          <t>cus_41298eb9466b</t>
        </is>
      </c>
      <c r="I364" t="inlineStr">
        <is>
          <t>王品餐飲股份有限公司</t>
        </is>
      </c>
      <c r="J364" t="inlineStr">
        <is>
          <t>84630426</t>
        </is>
      </c>
      <c r="K364" t="n">
        <v>0</v>
      </c>
      <c r="L364" t="n">
        <v>0</v>
      </c>
      <c r="M364" t="inlineStr">
        <is>
          <t>CMoney市場銷售分析戰情室</t>
        </is>
      </c>
      <c r="N364" t="inlineStr">
        <is>
          <t>李文欣</t>
        </is>
      </c>
      <c r="O364" t="inlineStr">
        <is>
          <t>台中市西區臺灣大道二段218號25樓</t>
        </is>
      </c>
      <c r="P364" t="inlineStr">
        <is>
          <t>celine.li@wowprime.com</t>
        </is>
      </c>
      <c r="Q364" t="inlineStr"/>
      <c r="R364" t="inlineStr"/>
      <c r="S364" t="inlineStr">
        <is>
          <t>已收款</t>
        </is>
      </c>
      <c r="T364" t="inlineStr">
        <is>
          <t>第二期，12月使用費
來源：訂閱型發票及收款紀錄 第 385 列</t>
        </is>
      </c>
      <c r="U364" t="inlineStr">
        <is>
          <t>收到發票次月25日前支付</t>
        </is>
      </c>
      <c r="V364" t="inlineStr">
        <is>
          <t>2026-05-18</t>
        </is>
      </c>
    </row>
    <row r="365">
      <c r="A365" t="inlineStr">
        <is>
          <t>inv_183ae8180bfe</t>
        </is>
      </c>
      <c r="B365" t="inlineStr">
        <is>
          <t>Erin</t>
        </is>
      </c>
      <c r="C365" t="inlineStr">
        <is>
          <t>2026-02-25</t>
        </is>
      </c>
      <c r="D365" t="inlineStr">
        <is>
          <t>2906027</t>
        </is>
      </c>
      <c r="E365" t="inlineStr">
        <is>
          <t>2026-01-01 00:00:00</t>
        </is>
      </c>
      <c r="F365" t="inlineStr">
        <is>
          <t>2025-01-09</t>
        </is>
      </c>
      <c r="G365" t="inlineStr"/>
      <c r="H365" t="inlineStr">
        <is>
          <t>cus_41298eb9466b</t>
        </is>
      </c>
      <c r="I365" t="inlineStr">
        <is>
          <t>王品餐飲股份有限公司</t>
        </is>
      </c>
      <c r="J365" t="inlineStr">
        <is>
          <t>84630426</t>
        </is>
      </c>
      <c r="K365" t="n">
        <v>0</v>
      </c>
      <c r="L365" t="n">
        <v>0</v>
      </c>
      <c r="M365" t="inlineStr">
        <is>
          <t>CMoney市場銷售分析戰情室</t>
        </is>
      </c>
      <c r="N365" t="inlineStr">
        <is>
          <t>李文欣</t>
        </is>
      </c>
      <c r="O365" t="inlineStr">
        <is>
          <t>台中市西區臺灣大道二段218號25樓</t>
        </is>
      </c>
      <c r="P365" t="inlineStr">
        <is>
          <t>celine.li@wowprime.com</t>
        </is>
      </c>
      <c r="Q365" t="inlineStr"/>
      <c r="R365" t="inlineStr"/>
      <c r="S365" t="inlineStr">
        <is>
          <t>已收款</t>
        </is>
      </c>
      <c r="T365" t="inlineStr">
        <is>
          <t>第三期，1月使用費
來源：訂閱型發票及收款紀錄 第 386 列</t>
        </is>
      </c>
      <c r="U365" t="inlineStr">
        <is>
          <t>收到發票次月25日前支付</t>
        </is>
      </c>
      <c r="V365" t="inlineStr">
        <is>
          <t>2026-05-18</t>
        </is>
      </c>
    </row>
    <row r="366">
      <c r="A366" t="inlineStr">
        <is>
          <t>inv_5b297f3137f1</t>
        </is>
      </c>
      <c r="B366" t="inlineStr">
        <is>
          <t>Erin</t>
        </is>
      </c>
      <c r="C366" t="inlineStr">
        <is>
          <t>2026-03-25</t>
        </is>
      </c>
      <c r="D366" t="inlineStr">
        <is>
          <t>2941476</t>
        </is>
      </c>
      <c r="E366" t="inlineStr">
        <is>
          <t>2026-02-01 00:00:00</t>
        </is>
      </c>
      <c r="F366" t="inlineStr"/>
      <c r="G366" t="inlineStr"/>
      <c r="H366" t="inlineStr">
        <is>
          <t>cus_41298eb9466b</t>
        </is>
      </c>
      <c r="I366" t="inlineStr">
        <is>
          <t>王品餐飲股份有限公司</t>
        </is>
      </c>
      <c r="J366" t="inlineStr">
        <is>
          <t>84630426</t>
        </is>
      </c>
      <c r="K366" t="n">
        <v>0</v>
      </c>
      <c r="L366" t="n">
        <v>0</v>
      </c>
      <c r="M366" t="inlineStr">
        <is>
          <t>CMoney市場銷售分析戰情室</t>
        </is>
      </c>
      <c r="N366" t="inlineStr">
        <is>
          <t>李文欣</t>
        </is>
      </c>
      <c r="O366" t="inlineStr">
        <is>
          <t>台中市西區臺灣大道二段218號25樓</t>
        </is>
      </c>
      <c r="P366" t="inlineStr">
        <is>
          <t>celine.li@wowprime.com</t>
        </is>
      </c>
      <c r="Q366" t="inlineStr"/>
      <c r="R366" t="inlineStr"/>
      <c r="S366" t="inlineStr">
        <is>
          <t>已收款</t>
        </is>
      </c>
      <c r="T366" t="inlineStr">
        <is>
          <t>第四期，2月使用費
來源：訂閱型發票及收款紀錄 第 387 列</t>
        </is>
      </c>
      <c r="U366" t="inlineStr">
        <is>
          <t>收到發票次月25日前支付</t>
        </is>
      </c>
      <c r="V366" t="inlineStr">
        <is>
          <t>2026-05-18</t>
        </is>
      </c>
    </row>
    <row r="367">
      <c r="A367" t="inlineStr">
        <is>
          <t>inv_933880da7b0d</t>
        </is>
      </c>
      <c r="B367" t="inlineStr">
        <is>
          <t>Erin</t>
        </is>
      </c>
      <c r="C367" t="inlineStr">
        <is>
          <t>2026-04-27</t>
        </is>
      </c>
      <c r="D367" t="inlineStr">
        <is>
          <t>2975079</t>
        </is>
      </c>
      <c r="E367" t="inlineStr">
        <is>
          <t>2026-03-01 00:00:00</t>
        </is>
      </c>
      <c r="F367" t="inlineStr">
        <is>
          <t>2026-03-10</t>
        </is>
      </c>
      <c r="G367" t="inlineStr"/>
      <c r="H367" t="inlineStr">
        <is>
          <t>cus_41298eb9466b</t>
        </is>
      </c>
      <c r="I367" t="inlineStr">
        <is>
          <t>王品餐飲股份有限公司</t>
        </is>
      </c>
      <c r="J367" t="inlineStr">
        <is>
          <t>84630426</t>
        </is>
      </c>
      <c r="K367" t="n">
        <v>0</v>
      </c>
      <c r="L367" t="n">
        <v>0</v>
      </c>
      <c r="M367" t="inlineStr">
        <is>
          <t>CMoney市場銷售分析戰情室</t>
        </is>
      </c>
      <c r="N367" t="inlineStr">
        <is>
          <t>李文欣</t>
        </is>
      </c>
      <c r="O367" t="inlineStr">
        <is>
          <t>台中市西區臺灣大道二段218號25樓</t>
        </is>
      </c>
      <c r="P367" t="inlineStr">
        <is>
          <t>celine.li@wowprime.com</t>
        </is>
      </c>
      <c r="Q367" t="inlineStr"/>
      <c r="R367" t="inlineStr"/>
      <c r="S367" t="inlineStr">
        <is>
          <t>已收款</t>
        </is>
      </c>
      <c r="T367" t="inlineStr">
        <is>
          <t>第五期，3月使用費
來源：訂閱型發票及收款紀錄 第 388 列</t>
        </is>
      </c>
      <c r="U367" t="inlineStr">
        <is>
          <t>收到發票次月25日前支付</t>
        </is>
      </c>
      <c r="V367" t="inlineStr">
        <is>
          <t>2026-05-18</t>
        </is>
      </c>
    </row>
    <row r="368">
      <c r="A368" t="inlineStr">
        <is>
          <t>inv_fe840ef221de</t>
        </is>
      </c>
      <c r="B368" t="inlineStr">
        <is>
          <t>Erin</t>
        </is>
      </c>
      <c r="C368" t="inlineStr"/>
      <c r="D368" t="inlineStr">
        <is>
          <t>B01208</t>
        </is>
      </c>
      <c r="E368" t="inlineStr">
        <is>
          <t>2026-04-01 00:00:00</t>
        </is>
      </c>
      <c r="F368" t="inlineStr">
        <is>
          <t>2026-04-15</t>
        </is>
      </c>
      <c r="G368" t="inlineStr">
        <is>
          <t>ZA96391424</t>
        </is>
      </c>
      <c r="H368" t="inlineStr">
        <is>
          <t>cus_41298eb9466b</t>
        </is>
      </c>
      <c r="I368" t="inlineStr">
        <is>
          <t>王品餐飲股份有限公司</t>
        </is>
      </c>
      <c r="J368" t="inlineStr">
        <is>
          <t>84630426</t>
        </is>
      </c>
      <c r="K368" t="n">
        <v>0</v>
      </c>
      <c r="L368" t="n">
        <v>0</v>
      </c>
      <c r="M368" t="inlineStr">
        <is>
          <t>CMoney市場銷售分析戰情室</t>
        </is>
      </c>
      <c r="N368" t="inlineStr">
        <is>
          <t>李文欣</t>
        </is>
      </c>
      <c r="O368" t="inlineStr">
        <is>
          <t>台中市西區臺灣大道二段218號25樓</t>
        </is>
      </c>
      <c r="P368" t="inlineStr">
        <is>
          <t>celine.li@wowprime.com</t>
        </is>
      </c>
      <c r="Q368" t="inlineStr"/>
      <c r="R368" t="inlineStr"/>
      <c r="S368" t="inlineStr">
        <is>
          <t>未收款</t>
        </is>
      </c>
      <c r="T368" t="inlineStr">
        <is>
          <t>第六期，4月使用費
來源：訂閱型發票及收款紀錄 第 389 列</t>
        </is>
      </c>
      <c r="U368" t="inlineStr">
        <is>
          <t>收到發票次月25日前支付</t>
        </is>
      </c>
      <c r="V368" t="inlineStr">
        <is>
          <t>2026-05-18</t>
        </is>
      </c>
    </row>
    <row r="369">
      <c r="A369" t="inlineStr">
        <is>
          <t>inv_155233ba99f0</t>
        </is>
      </c>
      <c r="B369" t="inlineStr">
        <is>
          <t>Erin</t>
        </is>
      </c>
      <c r="C369" t="inlineStr"/>
      <c r="D369" t="inlineStr"/>
      <c r="E369" t="inlineStr"/>
      <c r="F369" t="inlineStr">
        <is>
          <t>預計5/11</t>
        </is>
      </c>
      <c r="G369" t="inlineStr"/>
      <c r="H369" t="inlineStr">
        <is>
          <t>cus_41298eb9466b</t>
        </is>
      </c>
      <c r="I369" t="inlineStr">
        <is>
          <t>王品餐飲股份有限公司</t>
        </is>
      </c>
      <c r="J369" t="inlineStr">
        <is>
          <t>84630426</t>
        </is>
      </c>
      <c r="K369" t="n">
        <v>0</v>
      </c>
      <c r="L369" t="n">
        <v>0</v>
      </c>
      <c r="M369" t="inlineStr">
        <is>
          <t>CMoney市場銷售分析戰情室</t>
        </is>
      </c>
      <c r="N369" t="inlineStr">
        <is>
          <t>李文欣</t>
        </is>
      </c>
      <c r="O369" t="inlineStr">
        <is>
          <t>台中市西區臺灣大道二段218號25樓</t>
        </is>
      </c>
      <c r="P369" t="inlineStr">
        <is>
          <t>celine.li@wowprime.com</t>
        </is>
      </c>
      <c r="Q369" t="inlineStr"/>
      <c r="R369" t="inlineStr"/>
      <c r="S369" t="inlineStr">
        <is>
          <t>未收款</t>
        </is>
      </c>
      <c r="T369" t="inlineStr">
        <is>
          <t>續約第1期，5月使用費
來源：訂閱型發票及收款紀錄 第 390 列</t>
        </is>
      </c>
      <c r="U369" t="inlineStr">
        <is>
          <t>收到發票次月25日前支付</t>
        </is>
      </c>
      <c r="V369" t="inlineStr">
        <is>
          <t>2026-05-18</t>
        </is>
      </c>
    </row>
    <row r="370">
      <c r="A370" t="inlineStr">
        <is>
          <t>inv_c941ddb7d001</t>
        </is>
      </c>
      <c r="B370" t="inlineStr">
        <is>
          <t>Erin</t>
        </is>
      </c>
      <c r="C370" t="inlineStr"/>
      <c r="D370" t="inlineStr"/>
      <c r="E370" t="inlineStr"/>
      <c r="F370" t="inlineStr"/>
      <c r="G370" t="inlineStr"/>
      <c r="H370" t="inlineStr">
        <is>
          <t>cus_41298eb9466b</t>
        </is>
      </c>
      <c r="I370" t="inlineStr">
        <is>
          <t>王品餐飲股份有限公司</t>
        </is>
      </c>
      <c r="J370" t="inlineStr">
        <is>
          <t>84630426</t>
        </is>
      </c>
      <c r="K370" t="n">
        <v>0</v>
      </c>
      <c r="L370" t="n">
        <v>0</v>
      </c>
      <c r="M370" t="inlineStr">
        <is>
          <t>CMoney市場銷售分析戰情室</t>
        </is>
      </c>
      <c r="N370" t="inlineStr">
        <is>
          <t>李文欣</t>
        </is>
      </c>
      <c r="O370" t="inlineStr">
        <is>
          <t>台中市西區臺灣大道二段218號25樓</t>
        </is>
      </c>
      <c r="P370" t="inlineStr">
        <is>
          <t>celine.li@wowprime.com</t>
        </is>
      </c>
      <c r="Q370" t="inlineStr"/>
      <c r="R370" t="inlineStr"/>
      <c r="S370" t="inlineStr">
        <is>
          <t>未收款</t>
        </is>
      </c>
      <c r="T370" t="inlineStr">
        <is>
          <t>續約第2期，6月使用費
來源：訂閱型發票及收款紀錄 第 391 列</t>
        </is>
      </c>
      <c r="U370" t="inlineStr">
        <is>
          <t>收到發票次月25日前支付</t>
        </is>
      </c>
      <c r="V370" t="inlineStr">
        <is>
          <t>2026-05-18</t>
        </is>
      </c>
    </row>
    <row r="371">
      <c r="A371" t="inlineStr">
        <is>
          <t>inv_f937c8da97a8</t>
        </is>
      </c>
      <c r="B371" t="inlineStr">
        <is>
          <t>Erin</t>
        </is>
      </c>
      <c r="C371" t="inlineStr"/>
      <c r="D371" t="inlineStr"/>
      <c r="E371" t="inlineStr"/>
      <c r="F371" t="inlineStr"/>
      <c r="G371" t="inlineStr"/>
      <c r="H371" t="inlineStr">
        <is>
          <t>cus_41298eb9466b</t>
        </is>
      </c>
      <c r="I371" t="inlineStr">
        <is>
          <t>王品餐飲股份有限公司</t>
        </is>
      </c>
      <c r="J371" t="inlineStr">
        <is>
          <t>84630426</t>
        </is>
      </c>
      <c r="K371" t="n">
        <v>0</v>
      </c>
      <c r="L371" t="n">
        <v>0</v>
      </c>
      <c r="M371" t="inlineStr">
        <is>
          <t>CMoney市場銷售分析戰情室</t>
        </is>
      </c>
      <c r="N371" t="inlineStr">
        <is>
          <t>李文欣</t>
        </is>
      </c>
      <c r="O371" t="inlineStr">
        <is>
          <t>台中市西區臺灣大道二段218號25樓</t>
        </is>
      </c>
      <c r="P371" t="inlineStr">
        <is>
          <t>celine.li@wowprime.com</t>
        </is>
      </c>
      <c r="Q371" t="inlineStr"/>
      <c r="R371" t="inlineStr"/>
      <c r="S371" t="inlineStr">
        <is>
          <t>未收款</t>
        </is>
      </c>
      <c r="T371" t="inlineStr">
        <is>
          <t>續約第3期，7月使用費
來源：訂閱型發票及收款紀錄 第 392 列</t>
        </is>
      </c>
      <c r="U371" t="inlineStr">
        <is>
          <t>收到發票次月25日前支付</t>
        </is>
      </c>
      <c r="V371" t="inlineStr">
        <is>
          <t>2026-05-18</t>
        </is>
      </c>
    </row>
    <row r="372">
      <c r="A372" t="inlineStr">
        <is>
          <t>inv_f271d081115e</t>
        </is>
      </c>
      <c r="B372" t="inlineStr">
        <is>
          <t>Erin</t>
        </is>
      </c>
      <c r="C372" t="inlineStr"/>
      <c r="D372" t="inlineStr"/>
      <c r="E372" t="inlineStr"/>
      <c r="F372" t="inlineStr"/>
      <c r="G372" t="inlineStr"/>
      <c r="H372" t="inlineStr">
        <is>
          <t>cus_41298eb9466b</t>
        </is>
      </c>
      <c r="I372" t="inlineStr">
        <is>
          <t>王品餐飲股份有限公司</t>
        </is>
      </c>
      <c r="J372" t="inlineStr">
        <is>
          <t>84630426</t>
        </is>
      </c>
      <c r="K372" t="n">
        <v>0</v>
      </c>
      <c r="L372" t="n">
        <v>0</v>
      </c>
      <c r="M372" t="inlineStr">
        <is>
          <t>CMoney市場銷售分析戰情室</t>
        </is>
      </c>
      <c r="N372" t="inlineStr">
        <is>
          <t>李文欣</t>
        </is>
      </c>
      <c r="O372" t="inlineStr">
        <is>
          <t>台中市西區臺灣大道二段218號25樓</t>
        </is>
      </c>
      <c r="P372" t="inlineStr">
        <is>
          <t>celine.li@wowprime.com</t>
        </is>
      </c>
      <c r="Q372" t="inlineStr"/>
      <c r="R372" t="inlineStr"/>
      <c r="S372" t="inlineStr">
        <is>
          <t>未收款</t>
        </is>
      </c>
      <c r="T372" t="inlineStr">
        <is>
          <t>續約第4期，8月使用費
來源：訂閱型發票及收款紀錄 第 393 列</t>
        </is>
      </c>
      <c r="U372" t="inlineStr">
        <is>
          <t>收到發票次月25日前支付</t>
        </is>
      </c>
      <c r="V372" t="inlineStr">
        <is>
          <t>2026-05-18</t>
        </is>
      </c>
    </row>
    <row r="373">
      <c r="A373" t="inlineStr">
        <is>
          <t>inv_46b001fa56d1</t>
        </is>
      </c>
      <c r="B373" t="inlineStr">
        <is>
          <t>Erin</t>
        </is>
      </c>
      <c r="C373" t="inlineStr"/>
      <c r="D373" t="inlineStr"/>
      <c r="E373" t="inlineStr"/>
      <c r="F373" t="inlineStr"/>
      <c r="G373" t="inlineStr"/>
      <c r="H373" t="inlineStr">
        <is>
          <t>cus_41298eb9466b</t>
        </is>
      </c>
      <c r="I373" t="inlineStr">
        <is>
          <t>王品餐飲股份有限公司</t>
        </is>
      </c>
      <c r="J373" t="inlineStr">
        <is>
          <t>84630426</t>
        </is>
      </c>
      <c r="K373" t="n">
        <v>0</v>
      </c>
      <c r="L373" t="n">
        <v>0</v>
      </c>
      <c r="M373" t="inlineStr">
        <is>
          <t>CMoney市場銷售分析戰情室</t>
        </is>
      </c>
      <c r="N373" t="inlineStr">
        <is>
          <t>李文欣</t>
        </is>
      </c>
      <c r="O373" t="inlineStr">
        <is>
          <t>台中市西區臺灣大道二段218號25樓</t>
        </is>
      </c>
      <c r="P373" t="inlineStr">
        <is>
          <t>celine.li@wowprime.com</t>
        </is>
      </c>
      <c r="Q373" t="inlineStr"/>
      <c r="R373" t="inlineStr"/>
      <c r="S373" t="inlineStr">
        <is>
          <t>未收款</t>
        </is>
      </c>
      <c r="T373" t="inlineStr">
        <is>
          <t>續約第5期，9月使用費
來源：訂閱型發票及收款紀錄 第 394 列</t>
        </is>
      </c>
      <c r="U373" t="inlineStr">
        <is>
          <t>收到發票次月25日前支付</t>
        </is>
      </c>
      <c r="V373" t="inlineStr">
        <is>
          <t>2026-05-18</t>
        </is>
      </c>
    </row>
    <row r="374">
      <c r="A374" t="inlineStr">
        <is>
          <t>inv_9ebd5b92817e</t>
        </is>
      </c>
      <c r="B374" t="inlineStr">
        <is>
          <t>Erin</t>
        </is>
      </c>
      <c r="C374" t="inlineStr"/>
      <c r="D374" t="inlineStr"/>
      <c r="E374" t="inlineStr"/>
      <c r="F374" t="inlineStr"/>
      <c r="G374" t="inlineStr"/>
      <c r="H374" t="inlineStr">
        <is>
          <t>cus_41298eb9466b</t>
        </is>
      </c>
      <c r="I374" t="inlineStr">
        <is>
          <t>王品餐飲股份有限公司</t>
        </is>
      </c>
      <c r="J374" t="inlineStr">
        <is>
          <t>84630426</t>
        </is>
      </c>
      <c r="K374" t="n">
        <v>0</v>
      </c>
      <c r="L374" t="n">
        <v>0</v>
      </c>
      <c r="M374" t="inlineStr">
        <is>
          <t>CMoney市場銷售分析戰情室</t>
        </is>
      </c>
      <c r="N374" t="inlineStr">
        <is>
          <t>李文欣</t>
        </is>
      </c>
      <c r="O374" t="inlineStr">
        <is>
          <t>台中市西區臺灣大道二段218號25樓</t>
        </is>
      </c>
      <c r="P374" t="inlineStr">
        <is>
          <t>celine.li@wowprime.com</t>
        </is>
      </c>
      <c r="Q374" t="inlineStr"/>
      <c r="R374" t="inlineStr"/>
      <c r="S374" t="inlineStr">
        <is>
          <t>未收款</t>
        </is>
      </c>
      <c r="T374" t="inlineStr">
        <is>
          <t>續約第6期，10月使用費
來源：訂閱型發票及收款紀錄 第 395 列</t>
        </is>
      </c>
      <c r="U374" t="inlineStr">
        <is>
          <t>收到發票次月25日前支付</t>
        </is>
      </c>
      <c r="V374" t="inlineStr">
        <is>
          <t>2026-05-18</t>
        </is>
      </c>
    </row>
    <row r="375">
      <c r="A375" t="inlineStr">
        <is>
          <t>inv_04c9352ba7ec</t>
        </is>
      </c>
      <c r="B375" t="inlineStr">
        <is>
          <t>Erin</t>
        </is>
      </c>
      <c r="C375" t="inlineStr"/>
      <c r="D375" t="inlineStr"/>
      <c r="E375" t="inlineStr"/>
      <c r="F375" t="inlineStr"/>
      <c r="G375" t="inlineStr"/>
      <c r="H375" t="inlineStr">
        <is>
          <t>cus_41298eb9466b</t>
        </is>
      </c>
      <c r="I375" t="inlineStr">
        <is>
          <t>王品餐飲股份有限公司</t>
        </is>
      </c>
      <c r="J375" t="inlineStr">
        <is>
          <t>84630426</t>
        </is>
      </c>
      <c r="K375" t="n">
        <v>0</v>
      </c>
      <c r="L375" t="n">
        <v>0</v>
      </c>
      <c r="M375" t="inlineStr">
        <is>
          <t>CMoney市場銷售分析戰情室</t>
        </is>
      </c>
      <c r="N375" t="inlineStr">
        <is>
          <t>李文欣</t>
        </is>
      </c>
      <c r="O375" t="inlineStr">
        <is>
          <t>台中市西區臺灣大道二段218號25樓</t>
        </is>
      </c>
      <c r="P375" t="inlineStr">
        <is>
          <t>celine.li@wowprime.com</t>
        </is>
      </c>
      <c r="Q375" t="inlineStr"/>
      <c r="R375" t="inlineStr"/>
      <c r="S375" t="inlineStr">
        <is>
          <t>未收款</t>
        </is>
      </c>
      <c r="T375" t="inlineStr">
        <is>
          <t>續約第7期，11月使用費
來源：訂閱型發票及收款紀錄 第 396 列</t>
        </is>
      </c>
      <c r="U375" t="inlineStr">
        <is>
          <t>收到發票次月25日前支付</t>
        </is>
      </c>
      <c r="V375" t="inlineStr">
        <is>
          <t>2026-05-18</t>
        </is>
      </c>
    </row>
    <row r="376">
      <c r="A376" t="inlineStr">
        <is>
          <t>inv_33efaca03abd</t>
        </is>
      </c>
      <c r="B376" t="inlineStr">
        <is>
          <t>Erin</t>
        </is>
      </c>
      <c r="C376" t="inlineStr"/>
      <c r="D376" t="inlineStr"/>
      <c r="E376" t="inlineStr"/>
      <c r="F376" t="inlineStr"/>
      <c r="G376" t="inlineStr"/>
      <c r="H376" t="inlineStr">
        <is>
          <t>cus_41298eb9466b</t>
        </is>
      </c>
      <c r="I376" t="inlineStr">
        <is>
          <t>王品餐飲股份有限公司</t>
        </is>
      </c>
      <c r="J376" t="inlineStr">
        <is>
          <t>84630426</t>
        </is>
      </c>
      <c r="K376" t="n">
        <v>0</v>
      </c>
      <c r="L376" t="n">
        <v>0</v>
      </c>
      <c r="M376" t="inlineStr">
        <is>
          <t>CMoney市場銷售分析戰情室</t>
        </is>
      </c>
      <c r="N376" t="inlineStr">
        <is>
          <t>李文欣</t>
        </is>
      </c>
      <c r="O376" t="inlineStr">
        <is>
          <t>台中市西區臺灣大道二段218號25樓</t>
        </is>
      </c>
      <c r="P376" t="inlineStr">
        <is>
          <t>celine.li@wowprime.com</t>
        </is>
      </c>
      <c r="Q376" t="inlineStr"/>
      <c r="R376" t="inlineStr"/>
      <c r="S376" t="inlineStr">
        <is>
          <t>未收款</t>
        </is>
      </c>
      <c r="T376" t="inlineStr">
        <is>
          <t>續約第8期，12月使用費
來源：訂閱型發票及收款紀錄 第 397 列</t>
        </is>
      </c>
      <c r="U376" t="inlineStr">
        <is>
          <t>收到發票次月25日前支付</t>
        </is>
      </c>
      <c r="V376" t="inlineStr">
        <is>
          <t>2026-05-18</t>
        </is>
      </c>
    </row>
    <row r="377">
      <c r="A377" t="inlineStr">
        <is>
          <t>inv_c92441314ac5</t>
        </is>
      </c>
      <c r="B377" t="inlineStr">
        <is>
          <t>Peggy</t>
        </is>
      </c>
      <c r="C377" t="inlineStr">
        <is>
          <t>2026-03-02</t>
        </is>
      </c>
      <c r="D377" t="inlineStr">
        <is>
          <t>2878218</t>
        </is>
      </c>
      <c r="E377" t="inlineStr">
        <is>
          <t>2026-01-01 00:00:00</t>
        </is>
      </c>
      <c r="F377" t="inlineStr">
        <is>
          <t>2025-12-15</t>
        </is>
      </c>
      <c r="G377" t="inlineStr"/>
      <c r="H377" t="inlineStr">
        <is>
          <t>cus_41dc0723f069</t>
        </is>
      </c>
      <c r="I377" t="inlineStr">
        <is>
          <t>台灣迪艾思股份有限公司</t>
        </is>
      </c>
      <c r="J377" t="inlineStr">
        <is>
          <t>43910514</t>
        </is>
      </c>
      <c r="K377" t="n">
        <v>360000</v>
      </c>
      <c r="L377" t="n">
        <v>378000</v>
      </c>
      <c r="M377" t="inlineStr">
        <is>
          <t>廣告受眾平台3萬月訂閱</t>
        </is>
      </c>
      <c r="N377" t="inlineStr">
        <is>
          <t>鄭芷芸Lucia Cheng</t>
        </is>
      </c>
      <c r="O377" t="inlineStr">
        <is>
          <t>台北市大同區南京西路62號12樓</t>
        </is>
      </c>
      <c r="P377" t="inlineStr">
        <is>
          <t>lucia-c-cheng@dactp.com.tw</t>
        </is>
      </c>
      <c r="Q377" t="inlineStr"/>
      <c r="R377" t="inlineStr"/>
      <c r="S377" t="inlineStr">
        <is>
          <t>已收款</t>
        </is>
      </c>
      <c r="T377" t="inlineStr">
        <is>
          <t>一次付清
來源：訂閱型發票及收款紀錄 第 399 列</t>
        </is>
      </c>
      <c r="U377" t="inlineStr"/>
      <c r="V377" t="inlineStr">
        <is>
          <t>2026-05-18</t>
        </is>
      </c>
    </row>
    <row r="378">
      <c r="A378" t="inlineStr">
        <is>
          <t>inv_f88012cb96c1</t>
        </is>
      </c>
      <c r="B378" t="inlineStr">
        <is>
          <t>Peggy</t>
        </is>
      </c>
      <c r="C378" t="inlineStr">
        <is>
          <t>2026-02-25</t>
        </is>
      </c>
      <c r="D378" t="inlineStr">
        <is>
          <t>2899802</t>
        </is>
      </c>
      <c r="E378" t="inlineStr">
        <is>
          <t>2026-01-01 00:00:00</t>
        </is>
      </c>
      <c r="F378" t="inlineStr">
        <is>
          <t>2026-01-05</t>
        </is>
      </c>
      <c r="G378" t="inlineStr"/>
      <c r="H378" t="inlineStr">
        <is>
          <t>cus_238dcdd6c43a</t>
        </is>
      </c>
      <c r="I378" t="inlineStr">
        <is>
          <t>巧克科技新媒體股份有限公司</t>
        </is>
      </c>
      <c r="J378" t="inlineStr">
        <is>
          <t>52588966</t>
        </is>
      </c>
      <c r="K378" t="n">
        <v>0</v>
      </c>
      <c r="L378" t="n">
        <v>0</v>
      </c>
      <c r="M378" t="inlineStr">
        <is>
          <t>廣告受眾平台3萬月訂閱</t>
        </is>
      </c>
      <c r="N378" t="inlineStr">
        <is>
          <t>張維 Mini Chang</t>
        </is>
      </c>
      <c r="O378" t="inlineStr">
        <is>
          <t>105 台北市民權東路三段142號17樓</t>
        </is>
      </c>
      <c r="P378" t="inlineStr">
        <is>
          <t>mini.chang@choco.media</t>
        </is>
      </c>
      <c r="Q378" t="inlineStr">
        <is>
          <t>02-2719-6620</t>
        </is>
      </c>
      <c r="R378" t="inlineStr"/>
      <c r="S378" t="inlineStr">
        <is>
          <t>已收款</t>
        </is>
      </c>
      <c r="T378" t="inlineStr">
        <is>
          <t>LINE TV，第一期 (只有半年合約)
來源：訂閱型發票及收款紀錄 第 401 列</t>
        </is>
      </c>
      <c r="U378" t="inlineStr"/>
      <c r="V378" t="inlineStr">
        <is>
          <t>2026-05-18</t>
        </is>
      </c>
    </row>
    <row r="379">
      <c r="A379" t="inlineStr">
        <is>
          <t>inv_da3152f2d5c4</t>
        </is>
      </c>
      <c r="B379" t="inlineStr">
        <is>
          <t>Peggy</t>
        </is>
      </c>
      <c r="C379" t="inlineStr">
        <is>
          <t>2026-03-25</t>
        </is>
      </c>
      <c r="D379" t="inlineStr">
        <is>
          <t>2941477</t>
        </is>
      </c>
      <c r="E379" t="inlineStr">
        <is>
          <t>2026-02-01 00:00:00</t>
        </is>
      </c>
      <c r="F379" t="inlineStr">
        <is>
          <t>2026-02-04</t>
        </is>
      </c>
      <c r="G379" t="inlineStr"/>
      <c r="H379" t="inlineStr">
        <is>
          <t>cus_238dcdd6c43a</t>
        </is>
      </c>
      <c r="I379" t="inlineStr">
        <is>
          <t>巧克科技新媒體股份有限公司</t>
        </is>
      </c>
      <c r="J379" t="inlineStr">
        <is>
          <t>52588966</t>
        </is>
      </c>
      <c r="K379" t="n">
        <v>0</v>
      </c>
      <c r="L379" t="n">
        <v>0</v>
      </c>
      <c r="M379" t="inlineStr">
        <is>
          <t>廣告受眾平台3萬月訂閱</t>
        </is>
      </c>
      <c r="N379" t="inlineStr">
        <is>
          <t>張維 Mini Chang</t>
        </is>
      </c>
      <c r="O379" t="inlineStr">
        <is>
          <t>105 台北市民權東路三段142號17樓</t>
        </is>
      </c>
      <c r="P379" t="inlineStr">
        <is>
          <t>mini.chang@choco.media</t>
        </is>
      </c>
      <c r="Q379" t="inlineStr">
        <is>
          <t>02-2719-6620</t>
        </is>
      </c>
      <c r="R379" t="inlineStr"/>
      <c r="S379" t="inlineStr">
        <is>
          <t>已收款</t>
        </is>
      </c>
      <c r="T379" t="inlineStr">
        <is>
          <t>LINE TV，第二期 (只有半年合約)
來源：訂閱型發票及收款紀錄 第 402 列</t>
        </is>
      </c>
      <c r="U379" t="inlineStr">
        <is>
          <t>月結60天/每月5號開立</t>
        </is>
      </c>
      <c r="V379" t="inlineStr">
        <is>
          <t>2026-05-18</t>
        </is>
      </c>
    </row>
    <row r="380">
      <c r="A380" t="inlineStr">
        <is>
          <t>inv_396a5681bb04</t>
        </is>
      </c>
      <c r="B380" t="inlineStr">
        <is>
          <t>Peggy</t>
        </is>
      </c>
      <c r="C380" t="inlineStr">
        <is>
          <t>2026-04-27</t>
        </is>
      </c>
      <c r="D380" t="inlineStr">
        <is>
          <t>2975080</t>
        </is>
      </c>
      <c r="E380" t="inlineStr">
        <is>
          <t>2026-03-01 00:00:00</t>
        </is>
      </c>
      <c r="F380" t="inlineStr">
        <is>
          <t>2026-03-05</t>
        </is>
      </c>
      <c r="G380" t="inlineStr"/>
      <c r="H380" t="inlineStr">
        <is>
          <t>cus_238dcdd6c43a</t>
        </is>
      </c>
      <c r="I380" t="inlineStr">
        <is>
          <t>巧克科技新媒體股份有限公司</t>
        </is>
      </c>
      <c r="J380" t="inlineStr">
        <is>
          <t>52588966</t>
        </is>
      </c>
      <c r="K380" t="n">
        <v>0</v>
      </c>
      <c r="L380" t="n">
        <v>0</v>
      </c>
      <c r="M380" t="inlineStr">
        <is>
          <t>廣告受眾平台3萬月訂閱</t>
        </is>
      </c>
      <c r="N380" t="inlineStr">
        <is>
          <t>張維 Mini Chang</t>
        </is>
      </c>
      <c r="O380" t="inlineStr">
        <is>
          <t>105 台北市民權東路三段142號17樓</t>
        </is>
      </c>
      <c r="P380" t="inlineStr">
        <is>
          <t>mini.chang@choco.media</t>
        </is>
      </c>
      <c r="Q380" t="inlineStr">
        <is>
          <t>02-2719-6620</t>
        </is>
      </c>
      <c r="R380" t="inlineStr"/>
      <c r="S380" t="inlineStr">
        <is>
          <t>已收款</t>
        </is>
      </c>
      <c r="T380" t="inlineStr">
        <is>
          <t>LINE TV，第三期 (只有半年合約)
來源：訂閱型發票及收款紀錄 第 403 列</t>
        </is>
      </c>
      <c r="U380" t="inlineStr">
        <is>
          <t>月結60天/每月5號開立</t>
        </is>
      </c>
      <c r="V380" t="inlineStr">
        <is>
          <t>2026-05-18</t>
        </is>
      </c>
    </row>
    <row r="381">
      <c r="A381" t="inlineStr">
        <is>
          <t>inv_5f33d3e27039</t>
        </is>
      </c>
      <c r="B381" t="inlineStr">
        <is>
          <t>Peggy</t>
        </is>
      </c>
      <c r="C381" t="inlineStr"/>
      <c r="D381" t="inlineStr"/>
      <c r="E381" t="inlineStr">
        <is>
          <t>2026-04-01 00:00:00</t>
        </is>
      </c>
      <c r="F381" t="inlineStr">
        <is>
          <t>2026-04-07</t>
        </is>
      </c>
      <c r="G381" t="inlineStr"/>
      <c r="H381" t="inlineStr">
        <is>
          <t>cus_238dcdd6c43a</t>
        </is>
      </c>
      <c r="I381" t="inlineStr">
        <is>
          <t>巧克科技新媒體股份有限公司</t>
        </is>
      </c>
      <c r="J381" t="inlineStr">
        <is>
          <t>52588966</t>
        </is>
      </c>
      <c r="K381" t="n">
        <v>0</v>
      </c>
      <c r="L381" t="n">
        <v>0</v>
      </c>
      <c r="M381" t="inlineStr">
        <is>
          <t>廣告受眾平台3萬月訂閱</t>
        </is>
      </c>
      <c r="N381" t="inlineStr">
        <is>
          <t>張維 Mini Chang</t>
        </is>
      </c>
      <c r="O381" t="inlineStr">
        <is>
          <t>105 台北市民權東路三段142號17樓</t>
        </is>
      </c>
      <c r="P381" t="inlineStr">
        <is>
          <t>mini.chang@choco.media</t>
        </is>
      </c>
      <c r="Q381" t="inlineStr">
        <is>
          <t>02-2719-6620</t>
        </is>
      </c>
      <c r="R381" t="inlineStr"/>
      <c r="S381" t="inlineStr">
        <is>
          <t>未收款</t>
        </is>
      </c>
      <c r="T381" t="inlineStr">
        <is>
          <t>LINE TV，第四期 (只有半年合約)
來源：訂閱型發票及收款紀錄 第 404 列</t>
        </is>
      </c>
      <c r="U381" t="inlineStr">
        <is>
          <t>月結60天/每月5號開立</t>
        </is>
      </c>
      <c r="V381" t="inlineStr">
        <is>
          <t>2026-05-18</t>
        </is>
      </c>
    </row>
    <row r="382">
      <c r="A382" t="inlineStr">
        <is>
          <t>inv_1b39e99d46ce</t>
        </is>
      </c>
      <c r="B382" t="inlineStr">
        <is>
          <t>Peggy</t>
        </is>
      </c>
      <c r="C382" t="inlineStr"/>
      <c r="D382" t="inlineStr">
        <is>
          <t>3058807</t>
        </is>
      </c>
      <c r="E382" t="inlineStr">
        <is>
          <t>2026-05-01 00:00:00</t>
        </is>
      </c>
      <c r="F382" t="inlineStr">
        <is>
          <t>2026-05-05</t>
        </is>
      </c>
      <c r="G382" t="inlineStr"/>
      <c r="H382" t="inlineStr">
        <is>
          <t>cus_238dcdd6c43a</t>
        </is>
      </c>
      <c r="I382" t="inlineStr">
        <is>
          <t>巧克科技新媒體股份有限公司</t>
        </is>
      </c>
      <c r="J382" t="inlineStr">
        <is>
          <t>52588966</t>
        </is>
      </c>
      <c r="K382" t="n">
        <v>0</v>
      </c>
      <c r="L382" t="n">
        <v>0</v>
      </c>
      <c r="M382" t="inlineStr">
        <is>
          <t>廣告受眾平台3萬月訂閱</t>
        </is>
      </c>
      <c r="N382" t="inlineStr">
        <is>
          <t>張維 Mini Chang</t>
        </is>
      </c>
      <c r="O382" t="inlineStr">
        <is>
          <t>105 台北市民權東路三段142號17樓</t>
        </is>
      </c>
      <c r="P382" t="inlineStr">
        <is>
          <t>mini.chang@choco.media</t>
        </is>
      </c>
      <c r="Q382" t="inlineStr">
        <is>
          <t>02-2719-6620</t>
        </is>
      </c>
      <c r="R382" t="inlineStr"/>
      <c r="S382" t="inlineStr">
        <is>
          <t>未收款</t>
        </is>
      </c>
      <c r="T382" t="inlineStr">
        <is>
          <t>LINE TV，第五期 (只有半年合約)
來源：訂閱型發票及收款紀錄 第 405 列</t>
        </is>
      </c>
      <c r="U382" t="inlineStr">
        <is>
          <t>月結60天/每月5號開立</t>
        </is>
      </c>
      <c r="V382" t="inlineStr">
        <is>
          <t>2026-05-18</t>
        </is>
      </c>
    </row>
    <row r="383">
      <c r="A383" t="inlineStr">
        <is>
          <t>inv_1e53d90906b7</t>
        </is>
      </c>
      <c r="B383" t="inlineStr">
        <is>
          <t>Peggy</t>
        </is>
      </c>
      <c r="C383" t="inlineStr"/>
      <c r="D383" t="inlineStr"/>
      <c r="E383" t="inlineStr">
        <is>
          <t>2026-06-01 00:00:00</t>
        </is>
      </c>
      <c r="F383" t="inlineStr"/>
      <c r="G383" t="inlineStr"/>
      <c r="H383" t="inlineStr">
        <is>
          <t>cus_238dcdd6c43a</t>
        </is>
      </c>
      <c r="I383" t="inlineStr">
        <is>
          <t>巧克科技新媒體股份有限公司</t>
        </is>
      </c>
      <c r="J383" t="inlineStr">
        <is>
          <t>52588966</t>
        </is>
      </c>
      <c r="K383" t="n">
        <v>0</v>
      </c>
      <c r="L383" t="n">
        <v>0</v>
      </c>
      <c r="M383" t="inlineStr">
        <is>
          <t>廣告受眾平台3萬月訂閱</t>
        </is>
      </c>
      <c r="N383" t="inlineStr">
        <is>
          <t>張維 Mini Chang</t>
        </is>
      </c>
      <c r="O383" t="inlineStr">
        <is>
          <t>105 台北市民權東路三段142號17樓</t>
        </is>
      </c>
      <c r="P383" t="inlineStr">
        <is>
          <t>mini.chang@choco.media</t>
        </is>
      </c>
      <c r="Q383" t="inlineStr">
        <is>
          <t>02-2719-6620</t>
        </is>
      </c>
      <c r="R383" t="inlineStr"/>
      <c r="S383" t="inlineStr">
        <is>
          <t>未收款</t>
        </is>
      </c>
      <c r="T383" t="inlineStr">
        <is>
          <t>LINE TV，第六期 (只有半年合約)
來源：訂閱型發票及收款紀錄 第 406 列</t>
        </is>
      </c>
      <c r="U383" t="inlineStr">
        <is>
          <t>月結60天/每月5號開立</t>
        </is>
      </c>
      <c r="V383" t="inlineStr">
        <is>
          <t>2026-05-18</t>
        </is>
      </c>
    </row>
    <row r="384">
      <c r="A384" t="inlineStr">
        <is>
          <t>inv_d8100825bb87</t>
        </is>
      </c>
      <c r="B384" t="inlineStr">
        <is>
          <t>Peggy</t>
        </is>
      </c>
      <c r="C384" t="inlineStr">
        <is>
          <t>2026-02-25</t>
        </is>
      </c>
      <c r="D384" t="inlineStr">
        <is>
          <t>2899799</t>
        </is>
      </c>
      <c r="E384" t="inlineStr">
        <is>
          <t>2026-01-01 00:00:00</t>
        </is>
      </c>
      <c r="F384" t="inlineStr">
        <is>
          <t>2026-01-05</t>
        </is>
      </c>
      <c r="G384" t="inlineStr"/>
      <c r="H384" t="inlineStr">
        <is>
          <t>cus_82f1ec9b8a17</t>
        </is>
      </c>
      <c r="I384" t="inlineStr">
        <is>
          <t>聯利媒體股份有限公司</t>
        </is>
      </c>
      <c r="J384" t="inlineStr">
        <is>
          <t>84305300</t>
        </is>
      </c>
      <c r="K384" t="n">
        <v>0</v>
      </c>
      <c r="L384" t="n">
        <v>0</v>
      </c>
      <c r="M384" t="inlineStr">
        <is>
          <t>廣告受眾平台15萬月訂閱</t>
        </is>
      </c>
      <c r="N384" t="inlineStr">
        <is>
          <t>鄭雅方</t>
        </is>
      </c>
      <c r="O384" t="inlineStr">
        <is>
          <t>臺北市內湖區瑞光路451號11樓</t>
        </is>
      </c>
      <c r="P384" t="inlineStr">
        <is>
          <t>avoncheng@tvbs.com.tw</t>
        </is>
      </c>
      <c r="Q384" t="inlineStr">
        <is>
          <t>02-2162-8168 #88980</t>
        </is>
      </c>
      <c r="R384" t="inlineStr"/>
      <c r="S384" t="inlineStr">
        <is>
          <t>已收款</t>
        </is>
      </c>
      <c r="T384" t="inlineStr">
        <is>
          <t>TVBS，第一期
來源：訂閱型發票及收款紀錄 第 408 列</t>
        </is>
      </c>
      <c r="U384" t="inlineStr">
        <is>
          <t>月結30天/每月5號開立</t>
        </is>
      </c>
      <c r="V384" t="inlineStr">
        <is>
          <t>2026-05-18</t>
        </is>
      </c>
    </row>
    <row r="385">
      <c r="A385" t="inlineStr">
        <is>
          <t>inv_a1f43689a265</t>
        </is>
      </c>
      <c r="B385" t="inlineStr">
        <is>
          <t>Peggy</t>
        </is>
      </c>
      <c r="C385" t="inlineStr">
        <is>
          <t>2026-03-25</t>
        </is>
      </c>
      <c r="D385" t="inlineStr">
        <is>
          <t>2941478</t>
        </is>
      </c>
      <c r="E385" t="inlineStr">
        <is>
          <t>2026-02-01 00:00:00</t>
        </is>
      </c>
      <c r="F385" t="inlineStr">
        <is>
          <t>2026-02-04</t>
        </is>
      </c>
      <c r="G385" t="inlineStr"/>
      <c r="H385" t="inlineStr">
        <is>
          <t>cus_82f1ec9b8a17</t>
        </is>
      </c>
      <c r="I385" t="inlineStr">
        <is>
          <t>聯利媒體股份有限公司</t>
        </is>
      </c>
      <c r="J385" t="inlineStr">
        <is>
          <t>84305300</t>
        </is>
      </c>
      <c r="K385" t="n">
        <v>0</v>
      </c>
      <c r="L385" t="n">
        <v>0</v>
      </c>
      <c r="M385" t="inlineStr">
        <is>
          <t>廣告受眾平台15萬月訂閱</t>
        </is>
      </c>
      <c r="N385" t="inlineStr">
        <is>
          <t>鄭雅方</t>
        </is>
      </c>
      <c r="O385" t="inlineStr">
        <is>
          <t>臺北市內湖區瑞光路451號11樓</t>
        </is>
      </c>
      <c r="P385" t="inlineStr">
        <is>
          <t>avoncheng@tvbs.com.tw</t>
        </is>
      </c>
      <c r="Q385" t="inlineStr">
        <is>
          <t>02-2162-8168 #88980</t>
        </is>
      </c>
      <c r="R385" t="inlineStr"/>
      <c r="S385" t="inlineStr">
        <is>
          <t>已收款</t>
        </is>
      </c>
      <c r="T385" t="inlineStr">
        <is>
          <t>TVBS，第二期
來源：訂閱型發票及收款紀錄 第 409 列</t>
        </is>
      </c>
      <c r="U385" t="inlineStr">
        <is>
          <t>月結30天/每月5號開立</t>
        </is>
      </c>
      <c r="V385" t="inlineStr">
        <is>
          <t>2026-05-18</t>
        </is>
      </c>
    </row>
    <row r="386">
      <c r="A386" t="inlineStr">
        <is>
          <t>inv_b9347482c001</t>
        </is>
      </c>
      <c r="B386" t="inlineStr">
        <is>
          <t>Peggy</t>
        </is>
      </c>
      <c r="C386" t="inlineStr">
        <is>
          <t>2026-04-27</t>
        </is>
      </c>
      <c r="D386" t="inlineStr">
        <is>
          <t>2970441</t>
        </is>
      </c>
      <c r="E386" t="inlineStr">
        <is>
          <t>2026-03-01 00:00:00</t>
        </is>
      </c>
      <c r="F386" t="inlineStr">
        <is>
          <t>2026-03-05</t>
        </is>
      </c>
      <c r="G386" t="inlineStr"/>
      <c r="H386" t="inlineStr">
        <is>
          <t>cus_82f1ec9b8a17</t>
        </is>
      </c>
      <c r="I386" t="inlineStr">
        <is>
          <t>聯利媒體股份有限公司</t>
        </is>
      </c>
      <c r="J386" t="inlineStr">
        <is>
          <t>84305300</t>
        </is>
      </c>
      <c r="K386" t="n">
        <v>0</v>
      </c>
      <c r="L386" t="n">
        <v>0</v>
      </c>
      <c r="M386" t="inlineStr">
        <is>
          <t>廣告受眾平台15萬月訂閱</t>
        </is>
      </c>
      <c r="N386" t="inlineStr">
        <is>
          <t>鄭雅方</t>
        </is>
      </c>
      <c r="O386" t="inlineStr">
        <is>
          <t>臺北市內湖區瑞光路451號11樓</t>
        </is>
      </c>
      <c r="P386" t="inlineStr">
        <is>
          <t>avoncheng@tvbs.com.tw</t>
        </is>
      </c>
      <c r="Q386" t="inlineStr">
        <is>
          <t>02-2162-8168 #88980</t>
        </is>
      </c>
      <c r="R386" t="inlineStr"/>
      <c r="S386" t="inlineStr">
        <is>
          <t>已收款</t>
        </is>
      </c>
      <c r="T386" t="inlineStr">
        <is>
          <t>TVBS，第三期
來源：訂閱型發票及收款紀錄 第 410 列</t>
        </is>
      </c>
      <c r="U386" t="inlineStr">
        <is>
          <t>月結30天/每月5號開立</t>
        </is>
      </c>
      <c r="V386" t="inlineStr">
        <is>
          <t>2026-05-18</t>
        </is>
      </c>
    </row>
    <row r="387">
      <c r="A387" t="inlineStr">
        <is>
          <t>inv_c86796f9c155</t>
        </is>
      </c>
      <c r="B387" t="inlineStr">
        <is>
          <t>Peggy</t>
        </is>
      </c>
      <c r="C387" t="inlineStr"/>
      <c r="D387" t="inlineStr"/>
      <c r="E387" t="inlineStr">
        <is>
          <t>2026-04-01 00:00:00</t>
        </is>
      </c>
      <c r="F387" t="inlineStr">
        <is>
          <t>2026-04-07</t>
        </is>
      </c>
      <c r="G387" t="inlineStr"/>
      <c r="H387" t="inlineStr">
        <is>
          <t>cus_82f1ec9b8a17</t>
        </is>
      </c>
      <c r="I387" t="inlineStr">
        <is>
          <t>聯利媒體股份有限公司</t>
        </is>
      </c>
      <c r="J387" t="inlineStr">
        <is>
          <t>84305300</t>
        </is>
      </c>
      <c r="K387" t="n">
        <v>0</v>
      </c>
      <c r="L387" t="n">
        <v>0</v>
      </c>
      <c r="M387" t="inlineStr">
        <is>
          <t>廣告受眾平台15萬月訂閱</t>
        </is>
      </c>
      <c r="N387" t="inlineStr">
        <is>
          <t>鄭雅方</t>
        </is>
      </c>
      <c r="O387" t="inlineStr">
        <is>
          <t>臺北市內湖區瑞光路451號11樓</t>
        </is>
      </c>
      <c r="P387" t="inlineStr">
        <is>
          <t>avoncheng@tvbs.com.tw</t>
        </is>
      </c>
      <c r="Q387" t="inlineStr">
        <is>
          <t>02-2162-8168 #88980</t>
        </is>
      </c>
      <c r="R387" t="inlineStr"/>
      <c r="S387" t="inlineStr">
        <is>
          <t>未收款</t>
        </is>
      </c>
      <c r="T387" t="inlineStr">
        <is>
          <t>TVBS，第四期
來源：訂閱型發票及收款紀錄 第 411 列</t>
        </is>
      </c>
      <c r="U387" t="inlineStr">
        <is>
          <t>月結30天/每月5號開立</t>
        </is>
      </c>
      <c r="V387" t="inlineStr">
        <is>
          <t>2026-05-18</t>
        </is>
      </c>
    </row>
    <row r="388">
      <c r="A388" t="inlineStr">
        <is>
          <t>inv_483422bfba4c</t>
        </is>
      </c>
      <c r="B388" t="inlineStr">
        <is>
          <t>Peggy</t>
        </is>
      </c>
      <c r="C388" t="inlineStr"/>
      <c r="D388" t="inlineStr">
        <is>
          <t>3058808</t>
        </is>
      </c>
      <c r="E388" t="inlineStr">
        <is>
          <t>2026-05-01 00:00:00</t>
        </is>
      </c>
      <c r="F388" t="inlineStr">
        <is>
          <t>2026-05-05</t>
        </is>
      </c>
      <c r="G388" t="inlineStr"/>
      <c r="H388" t="inlineStr">
        <is>
          <t>cus_82f1ec9b8a17</t>
        </is>
      </c>
      <c r="I388" t="inlineStr">
        <is>
          <t>聯利媒體股份有限公司</t>
        </is>
      </c>
      <c r="J388" t="inlineStr">
        <is>
          <t>84305300</t>
        </is>
      </c>
      <c r="K388" t="n">
        <v>0</v>
      </c>
      <c r="L388" t="n">
        <v>0</v>
      </c>
      <c r="M388" t="inlineStr">
        <is>
          <t>廣告受眾平台15萬月訂閱</t>
        </is>
      </c>
      <c r="N388" t="inlineStr">
        <is>
          <t>鄭雅方</t>
        </is>
      </c>
      <c r="O388" t="inlineStr">
        <is>
          <t>臺北市內湖區瑞光路451號11樓</t>
        </is>
      </c>
      <c r="P388" t="inlineStr">
        <is>
          <t>avoncheng@tvbs.com.tw</t>
        </is>
      </c>
      <c r="Q388" t="inlineStr">
        <is>
          <t>02-2162-8168 #88980</t>
        </is>
      </c>
      <c r="R388" t="inlineStr"/>
      <c r="S388" t="inlineStr">
        <is>
          <t>未收款</t>
        </is>
      </c>
      <c r="T388" t="inlineStr">
        <is>
          <t>TVBS，第五期
來源：訂閱型發票及收款紀錄 第 412 列</t>
        </is>
      </c>
      <c r="U388" t="inlineStr">
        <is>
          <t>月結30天/每月5號開立</t>
        </is>
      </c>
      <c r="V388" t="inlineStr">
        <is>
          <t>2026-05-18</t>
        </is>
      </c>
    </row>
    <row r="389">
      <c r="A389" t="inlineStr">
        <is>
          <t>inv_dd9810f18201</t>
        </is>
      </c>
      <c r="B389" t="inlineStr">
        <is>
          <t>Peggy</t>
        </is>
      </c>
      <c r="C389" t="inlineStr"/>
      <c r="D389" t="inlineStr"/>
      <c r="E389" t="inlineStr">
        <is>
          <t>2026-06-01 00:00:00</t>
        </is>
      </c>
      <c r="F389" t="inlineStr"/>
      <c r="G389" t="inlineStr"/>
      <c r="H389" t="inlineStr">
        <is>
          <t>cus_82f1ec9b8a17</t>
        </is>
      </c>
      <c r="I389" t="inlineStr">
        <is>
          <t>聯利媒體股份有限公司</t>
        </is>
      </c>
      <c r="J389" t="inlineStr">
        <is>
          <t>84305300</t>
        </is>
      </c>
      <c r="K389" t="n">
        <v>0</v>
      </c>
      <c r="L389" t="n">
        <v>0</v>
      </c>
      <c r="M389" t="inlineStr">
        <is>
          <t>廣告受眾平台15萬月訂閱</t>
        </is>
      </c>
      <c r="N389" t="inlineStr">
        <is>
          <t>鄭雅方</t>
        </is>
      </c>
      <c r="O389" t="inlineStr">
        <is>
          <t>臺北市內湖區瑞光路451號11樓</t>
        </is>
      </c>
      <c r="P389" t="inlineStr">
        <is>
          <t>avoncheng@tvbs.com.tw</t>
        </is>
      </c>
      <c r="Q389" t="inlineStr">
        <is>
          <t>02-2162-8168 #88980</t>
        </is>
      </c>
      <c r="R389" t="inlineStr"/>
      <c r="S389" t="inlineStr">
        <is>
          <t>未收款</t>
        </is>
      </c>
      <c r="T389" t="inlineStr">
        <is>
          <t>TVBS，第六期
來源：訂閱型發票及收款紀錄 第 413 列</t>
        </is>
      </c>
      <c r="U389" t="inlineStr">
        <is>
          <t>月結30天/每月5號開立</t>
        </is>
      </c>
      <c r="V389" t="inlineStr">
        <is>
          <t>2026-05-18</t>
        </is>
      </c>
    </row>
    <row r="390">
      <c r="A390" t="inlineStr">
        <is>
          <t>inv_9b8590ca9e44</t>
        </is>
      </c>
      <c r="B390" t="inlineStr">
        <is>
          <t>Peggy</t>
        </is>
      </c>
      <c r="C390" t="inlineStr"/>
      <c r="D390" t="inlineStr"/>
      <c r="E390" t="inlineStr">
        <is>
          <t>2026-07-01 00:00:00</t>
        </is>
      </c>
      <c r="F390" t="inlineStr"/>
      <c r="G390" t="inlineStr"/>
      <c r="H390" t="inlineStr">
        <is>
          <t>cus_82f1ec9b8a17</t>
        </is>
      </c>
      <c r="I390" t="inlineStr">
        <is>
          <t>聯利媒體股份有限公司</t>
        </is>
      </c>
      <c r="J390" t="inlineStr">
        <is>
          <t>84305300</t>
        </is>
      </c>
      <c r="K390" t="n">
        <v>0</v>
      </c>
      <c r="L390" t="n">
        <v>0</v>
      </c>
      <c r="M390" t="inlineStr">
        <is>
          <t>廣告受眾平台15萬月訂閱</t>
        </is>
      </c>
      <c r="N390" t="inlineStr">
        <is>
          <t>鄭雅方</t>
        </is>
      </c>
      <c r="O390" t="inlineStr">
        <is>
          <t>臺北市內湖區瑞光路451號11樓</t>
        </is>
      </c>
      <c r="P390" t="inlineStr">
        <is>
          <t>avoncheng@tvbs.com.tw</t>
        </is>
      </c>
      <c r="Q390" t="inlineStr">
        <is>
          <t>02-2162-8168 #88980</t>
        </is>
      </c>
      <c r="R390" t="inlineStr"/>
      <c r="S390" t="inlineStr">
        <is>
          <t>未收款</t>
        </is>
      </c>
      <c r="T390" t="inlineStr">
        <is>
          <t>TVBS，第七期
來源：訂閱型發票及收款紀錄 第 414 列</t>
        </is>
      </c>
      <c r="U390" t="inlineStr">
        <is>
          <t>月結30天/每月5號開立</t>
        </is>
      </c>
      <c r="V390" t="inlineStr">
        <is>
          <t>2026-05-18</t>
        </is>
      </c>
    </row>
    <row r="391">
      <c r="A391" t="inlineStr">
        <is>
          <t>inv_9d8d2a1b5f56</t>
        </is>
      </c>
      <c r="B391" t="inlineStr">
        <is>
          <t>Peggy</t>
        </is>
      </c>
      <c r="C391" t="inlineStr"/>
      <c r="D391" t="inlineStr"/>
      <c r="E391" t="inlineStr">
        <is>
          <t>2026-08-01 00:00:00</t>
        </is>
      </c>
      <c r="F391" t="inlineStr"/>
      <c r="G391" t="inlineStr"/>
      <c r="H391" t="inlineStr">
        <is>
          <t>cus_82f1ec9b8a17</t>
        </is>
      </c>
      <c r="I391" t="inlineStr">
        <is>
          <t>聯利媒體股份有限公司</t>
        </is>
      </c>
      <c r="J391" t="inlineStr">
        <is>
          <t>84305300</t>
        </is>
      </c>
      <c r="K391" t="n">
        <v>0</v>
      </c>
      <c r="L391" t="n">
        <v>0</v>
      </c>
      <c r="M391" t="inlineStr">
        <is>
          <t>廣告受眾平台15萬月訂閱</t>
        </is>
      </c>
      <c r="N391" t="inlineStr">
        <is>
          <t>鄭雅方</t>
        </is>
      </c>
      <c r="O391" t="inlineStr">
        <is>
          <t>臺北市內湖區瑞光路451號11樓</t>
        </is>
      </c>
      <c r="P391" t="inlineStr">
        <is>
          <t>avoncheng@tvbs.com.tw</t>
        </is>
      </c>
      <c r="Q391" t="inlineStr">
        <is>
          <t>02-2162-8168 #88980</t>
        </is>
      </c>
      <c r="R391" t="inlineStr"/>
      <c r="S391" t="inlineStr">
        <is>
          <t>未收款</t>
        </is>
      </c>
      <c r="T391" t="inlineStr">
        <is>
          <t>TVBS，第八期
來源：訂閱型發票及收款紀錄 第 415 列</t>
        </is>
      </c>
      <c r="U391" t="inlineStr">
        <is>
          <t>月結30天/每月5號開立</t>
        </is>
      </c>
      <c r="V391" t="inlineStr">
        <is>
          <t>2026-05-18</t>
        </is>
      </c>
    </row>
    <row r="392">
      <c r="A392" t="inlineStr">
        <is>
          <t>inv_e4df370d589b</t>
        </is>
      </c>
      <c r="B392" t="inlineStr">
        <is>
          <t>Peggy</t>
        </is>
      </c>
      <c r="C392" t="inlineStr"/>
      <c r="D392" t="inlineStr"/>
      <c r="E392" t="inlineStr">
        <is>
          <t>2026-09-01 00:00:00</t>
        </is>
      </c>
      <c r="F392" t="inlineStr"/>
      <c r="G392" t="inlineStr"/>
      <c r="H392" t="inlineStr">
        <is>
          <t>cus_82f1ec9b8a17</t>
        </is>
      </c>
      <c r="I392" t="inlineStr">
        <is>
          <t>聯利媒體股份有限公司</t>
        </is>
      </c>
      <c r="J392" t="inlineStr">
        <is>
          <t>84305300</t>
        </is>
      </c>
      <c r="K392" t="n">
        <v>0</v>
      </c>
      <c r="L392" t="n">
        <v>0</v>
      </c>
      <c r="M392" t="inlineStr">
        <is>
          <t>廣告受眾平台15萬月訂閱</t>
        </is>
      </c>
      <c r="N392" t="inlineStr">
        <is>
          <t>鄭雅方</t>
        </is>
      </c>
      <c r="O392" t="inlineStr">
        <is>
          <t>臺北市內湖區瑞光路451號11樓</t>
        </is>
      </c>
      <c r="P392" t="inlineStr">
        <is>
          <t>avoncheng@tvbs.com.tw</t>
        </is>
      </c>
      <c r="Q392" t="inlineStr">
        <is>
          <t>02-2162-8168 #88980</t>
        </is>
      </c>
      <c r="R392" t="inlineStr"/>
      <c r="S392" t="inlineStr">
        <is>
          <t>未收款</t>
        </is>
      </c>
      <c r="T392" t="inlineStr">
        <is>
          <t>TVBS，第九期
來源：訂閱型發票及收款紀錄 第 416 列</t>
        </is>
      </c>
      <c r="U392" t="inlineStr">
        <is>
          <t>月結30天/每月5號開立</t>
        </is>
      </c>
      <c r="V392" t="inlineStr">
        <is>
          <t>2026-05-18</t>
        </is>
      </c>
    </row>
    <row r="393">
      <c r="A393" t="inlineStr">
        <is>
          <t>inv_1ab2beaf9456</t>
        </is>
      </c>
      <c r="B393" t="inlineStr">
        <is>
          <t>Peggy</t>
        </is>
      </c>
      <c r="C393" t="inlineStr"/>
      <c r="D393" t="inlineStr"/>
      <c r="E393" t="inlineStr">
        <is>
          <t>2026-10-01 00:00:00</t>
        </is>
      </c>
      <c r="F393" t="inlineStr"/>
      <c r="G393" t="inlineStr"/>
      <c r="H393" t="inlineStr">
        <is>
          <t>cus_82f1ec9b8a17</t>
        </is>
      </c>
      <c r="I393" t="inlineStr">
        <is>
          <t>聯利媒體股份有限公司</t>
        </is>
      </c>
      <c r="J393" t="inlineStr">
        <is>
          <t>84305300</t>
        </is>
      </c>
      <c r="K393" t="n">
        <v>0</v>
      </c>
      <c r="L393" t="n">
        <v>0</v>
      </c>
      <c r="M393" t="inlineStr">
        <is>
          <t>廣告受眾平台15萬月訂閱</t>
        </is>
      </c>
      <c r="N393" t="inlineStr">
        <is>
          <t>鄭雅方</t>
        </is>
      </c>
      <c r="O393" t="inlineStr">
        <is>
          <t>臺北市內湖區瑞光路451號11樓</t>
        </is>
      </c>
      <c r="P393" t="inlineStr">
        <is>
          <t>avoncheng@tvbs.com.tw</t>
        </is>
      </c>
      <c r="Q393" t="inlineStr">
        <is>
          <t>02-2162-8168 #88980</t>
        </is>
      </c>
      <c r="R393" t="inlineStr"/>
      <c r="S393" t="inlineStr">
        <is>
          <t>未收款</t>
        </is>
      </c>
      <c r="T393" t="inlineStr">
        <is>
          <t>TVBS，第十期
來源：訂閱型發票及收款紀錄 第 417 列</t>
        </is>
      </c>
      <c r="U393" t="inlineStr">
        <is>
          <t>月結30天/每月5號開立</t>
        </is>
      </c>
      <c r="V393" t="inlineStr">
        <is>
          <t>2026-05-18</t>
        </is>
      </c>
    </row>
    <row r="394">
      <c r="A394" t="inlineStr">
        <is>
          <t>inv_20a52e04ea1d</t>
        </is>
      </c>
      <c r="B394" t="inlineStr">
        <is>
          <t>Peggy</t>
        </is>
      </c>
      <c r="C394" t="inlineStr"/>
      <c r="D394" t="inlineStr"/>
      <c r="E394" t="inlineStr">
        <is>
          <t>2026-11-01 00:00:00</t>
        </is>
      </c>
      <c r="F394" t="inlineStr"/>
      <c r="G394" t="inlineStr"/>
      <c r="H394" t="inlineStr">
        <is>
          <t>cus_82f1ec9b8a17</t>
        </is>
      </c>
      <c r="I394" t="inlineStr">
        <is>
          <t>聯利媒體股份有限公司</t>
        </is>
      </c>
      <c r="J394" t="inlineStr">
        <is>
          <t>84305300</t>
        </is>
      </c>
      <c r="K394" t="n">
        <v>0</v>
      </c>
      <c r="L394" t="n">
        <v>0</v>
      </c>
      <c r="M394" t="inlineStr">
        <is>
          <t>廣告受眾平台15萬月訂閱</t>
        </is>
      </c>
      <c r="N394" t="inlineStr">
        <is>
          <t>鄭雅方</t>
        </is>
      </c>
      <c r="O394" t="inlineStr">
        <is>
          <t>臺北市內湖區瑞光路451號11樓</t>
        </is>
      </c>
      <c r="P394" t="inlineStr">
        <is>
          <t>avoncheng@tvbs.com.tw</t>
        </is>
      </c>
      <c r="Q394" t="inlineStr">
        <is>
          <t>02-2162-8168 #88980</t>
        </is>
      </c>
      <c r="R394" t="inlineStr"/>
      <c r="S394" t="inlineStr">
        <is>
          <t>未收款</t>
        </is>
      </c>
      <c r="T394" t="inlineStr">
        <is>
          <t>TVBS，第十一期
來源：訂閱型發票及收款紀錄 第 418 列</t>
        </is>
      </c>
      <c r="U394" t="inlineStr">
        <is>
          <t>月結30天/每月5號開立</t>
        </is>
      </c>
      <c r="V394" t="inlineStr">
        <is>
          <t>2026-05-18</t>
        </is>
      </c>
    </row>
    <row r="395">
      <c r="A395" t="inlineStr">
        <is>
          <t>inv_2a797a2d0dbe</t>
        </is>
      </c>
      <c r="B395" t="inlineStr">
        <is>
          <t>Peggy</t>
        </is>
      </c>
      <c r="C395" t="inlineStr"/>
      <c r="D395" t="inlineStr"/>
      <c r="E395" t="inlineStr">
        <is>
          <t>2026-12-01 00:00:00</t>
        </is>
      </c>
      <c r="F395" t="inlineStr"/>
      <c r="G395" t="inlineStr"/>
      <c r="H395" t="inlineStr">
        <is>
          <t>cus_82f1ec9b8a17</t>
        </is>
      </c>
      <c r="I395" t="inlineStr">
        <is>
          <t>聯利媒體股份有限公司</t>
        </is>
      </c>
      <c r="J395" t="inlineStr">
        <is>
          <t>84305300</t>
        </is>
      </c>
      <c r="K395" t="n">
        <v>0</v>
      </c>
      <c r="L395" t="n">
        <v>0</v>
      </c>
      <c r="M395" t="inlineStr">
        <is>
          <t>廣告受眾平台15萬月訂閱</t>
        </is>
      </c>
      <c r="N395" t="inlineStr">
        <is>
          <t>鄭雅方</t>
        </is>
      </c>
      <c r="O395" t="inlineStr">
        <is>
          <t>臺北市內湖區瑞光路451號11樓</t>
        </is>
      </c>
      <c r="P395" t="inlineStr">
        <is>
          <t>avoncheng@tvbs.com.tw</t>
        </is>
      </c>
      <c r="Q395" t="inlineStr">
        <is>
          <t>02-2162-8168 #88980</t>
        </is>
      </c>
      <c r="R395" t="inlineStr"/>
      <c r="S395" t="inlineStr">
        <is>
          <t>未收款</t>
        </is>
      </c>
      <c r="T395" t="inlineStr">
        <is>
          <t>TVBS，第十二期
來源：訂閱型發票及收款紀錄 第 419 列</t>
        </is>
      </c>
      <c r="U395" t="inlineStr">
        <is>
          <t>月結30天/每月5號開立</t>
        </is>
      </c>
      <c r="V395" t="inlineStr">
        <is>
          <t>2026-05-18</t>
        </is>
      </c>
    </row>
    <row r="396">
      <c r="A396" t="inlineStr">
        <is>
          <t>inv_11f850707cff</t>
        </is>
      </c>
      <c r="B396" t="inlineStr">
        <is>
          <t>Peggy</t>
        </is>
      </c>
      <c r="C396" t="inlineStr">
        <is>
          <t>2026-02-25</t>
        </is>
      </c>
      <c r="D396" t="inlineStr">
        <is>
          <t>2941479</t>
        </is>
      </c>
      <c r="E396" t="inlineStr">
        <is>
          <t>2026-02-01 00:00:00</t>
        </is>
      </c>
      <c r="F396" t="inlineStr">
        <is>
          <t>2026-02-04</t>
        </is>
      </c>
      <c r="G396" t="inlineStr"/>
      <c r="H396" t="inlineStr">
        <is>
          <t>cus_710acd4e6353</t>
        </is>
      </c>
      <c r="I396" t="inlineStr">
        <is>
          <t>覺數據有限公司</t>
        </is>
      </c>
      <c r="J396" t="inlineStr">
        <is>
          <t>83752765</t>
        </is>
      </c>
      <c r="K396" t="n">
        <v>0</v>
      </c>
      <c r="L396" t="n">
        <v>0</v>
      </c>
      <c r="M396" t="inlineStr">
        <is>
          <t>廣告受眾平台3萬月訂閱</t>
        </is>
      </c>
      <c r="N396" t="inlineStr">
        <is>
          <t>蘇穎泰</t>
        </is>
      </c>
      <c r="O396" t="inlineStr">
        <is>
          <t>臺中市西屯區市政北二路236號30樓之5</t>
        </is>
      </c>
      <c r="P396" t="inlineStr">
        <is>
          <t>terry@juedata.net</t>
        </is>
      </c>
      <c r="Q396" t="inlineStr">
        <is>
          <t>04-37036766 #968</t>
        </is>
      </c>
      <c r="R396" t="inlineStr"/>
      <c r="S396" t="inlineStr">
        <is>
          <t>已收款</t>
        </is>
      </c>
      <c r="T396" t="inlineStr">
        <is>
          <t>覺數據，第一期
來源：訂閱型發票及收款紀錄 第 421 列</t>
        </is>
      </c>
      <c r="U396" t="inlineStr">
        <is>
          <t>月結30天/每月5號開立</t>
        </is>
      </c>
      <c r="V396" t="inlineStr">
        <is>
          <t>2026-05-18</t>
        </is>
      </c>
    </row>
    <row r="397">
      <c r="A397" t="inlineStr">
        <is>
          <t>inv_f8c1581ec43b</t>
        </is>
      </c>
      <c r="B397" t="inlineStr">
        <is>
          <t>Peggy</t>
        </is>
      </c>
      <c r="C397" t="inlineStr">
        <is>
          <t>2026-04-15</t>
        </is>
      </c>
      <c r="D397" t="inlineStr">
        <is>
          <t>2970442</t>
        </is>
      </c>
      <c r="E397" t="inlineStr">
        <is>
          <t>2026-03-01 00:00:00</t>
        </is>
      </c>
      <c r="F397" t="inlineStr">
        <is>
          <t>2026-03-05</t>
        </is>
      </c>
      <c r="G397" t="inlineStr"/>
      <c r="H397" t="inlineStr">
        <is>
          <t>cus_710acd4e6353</t>
        </is>
      </c>
      <c r="I397" t="inlineStr">
        <is>
          <t>覺數據有限公司</t>
        </is>
      </c>
      <c r="J397" t="inlineStr">
        <is>
          <t>83752765</t>
        </is>
      </c>
      <c r="K397" t="n">
        <v>0</v>
      </c>
      <c r="L397" t="n">
        <v>0</v>
      </c>
      <c r="M397" t="inlineStr">
        <is>
          <t>廣告受眾平台3萬月訂閱</t>
        </is>
      </c>
      <c r="N397" t="inlineStr">
        <is>
          <t>蘇穎泰</t>
        </is>
      </c>
      <c r="O397" t="inlineStr">
        <is>
          <t>臺中市西屯區市政北二路236號30樓之5</t>
        </is>
      </c>
      <c r="P397" t="inlineStr">
        <is>
          <t>peggy_yang@cmoney.com.tw</t>
        </is>
      </c>
      <c r="Q397" t="inlineStr">
        <is>
          <t>04-37036766 #968</t>
        </is>
      </c>
      <c r="R397" t="inlineStr"/>
      <c r="S397" t="inlineStr">
        <is>
          <t>已收款</t>
        </is>
      </c>
      <c r="T397" t="inlineStr">
        <is>
          <t>覺數據，第二期
來源：訂閱型發票及收款紀錄 第 422 列</t>
        </is>
      </c>
      <c r="U397" t="inlineStr">
        <is>
          <t>月結30天/每月5號開立</t>
        </is>
      </c>
      <c r="V397" t="inlineStr">
        <is>
          <t>2026-05-18</t>
        </is>
      </c>
    </row>
    <row r="398">
      <c r="A398" t="inlineStr">
        <is>
          <t>inv_771da972ed2c</t>
        </is>
      </c>
      <c r="B398" t="inlineStr">
        <is>
          <t>Peggy</t>
        </is>
      </c>
      <c r="C398" t="inlineStr">
        <is>
          <t>2026-04-29</t>
        </is>
      </c>
      <c r="D398" t="inlineStr"/>
      <c r="E398" t="inlineStr">
        <is>
          <t>2026-04-01 00:00:00</t>
        </is>
      </c>
      <c r="F398" t="inlineStr">
        <is>
          <t>2026-04-07</t>
        </is>
      </c>
      <c r="G398" t="inlineStr"/>
      <c r="H398" t="inlineStr">
        <is>
          <t>cus_710acd4e6353</t>
        </is>
      </c>
      <c r="I398" t="inlineStr">
        <is>
          <t>覺數據有限公司</t>
        </is>
      </c>
      <c r="J398" t="inlineStr">
        <is>
          <t>83752765</t>
        </is>
      </c>
      <c r="K398" t="n">
        <v>0</v>
      </c>
      <c r="L398" t="n">
        <v>0</v>
      </c>
      <c r="M398" t="inlineStr">
        <is>
          <t>廣告受眾平台3萬月訂閱</t>
        </is>
      </c>
      <c r="N398" t="inlineStr">
        <is>
          <t>蘇穎泰</t>
        </is>
      </c>
      <c r="O398" t="inlineStr">
        <is>
          <t>臺中市西屯區市政北二路236號30樓之5</t>
        </is>
      </c>
      <c r="P398" t="inlineStr">
        <is>
          <t>peggy_yang@cmoney.com.tw</t>
        </is>
      </c>
      <c r="Q398" t="inlineStr">
        <is>
          <t>04-37036766 #968</t>
        </is>
      </c>
      <c r="R398" t="inlineStr"/>
      <c r="S398" t="inlineStr">
        <is>
          <t>已收款</t>
        </is>
      </c>
      <c r="T398" t="inlineStr">
        <is>
          <t>覺數據，第三期
來源：訂閱型發票及收款紀錄 第 423 列</t>
        </is>
      </c>
      <c r="U398" t="inlineStr">
        <is>
          <t>月結30天/每月5號開立</t>
        </is>
      </c>
      <c r="V398" t="inlineStr">
        <is>
          <t>2026-05-18</t>
        </is>
      </c>
    </row>
    <row r="399">
      <c r="A399" t="inlineStr">
        <is>
          <t>inv_80abb118f370</t>
        </is>
      </c>
      <c r="B399" t="inlineStr">
        <is>
          <t>Peggy</t>
        </is>
      </c>
      <c r="C399" t="inlineStr"/>
      <c r="D399" t="inlineStr">
        <is>
          <t>3058809</t>
        </is>
      </c>
      <c r="E399" t="inlineStr">
        <is>
          <t>2026-05-01 00:00:00</t>
        </is>
      </c>
      <c r="F399" t="inlineStr">
        <is>
          <t>2026-05-05</t>
        </is>
      </c>
      <c r="G399" t="inlineStr"/>
      <c r="H399" t="inlineStr">
        <is>
          <t>cus_710acd4e6353</t>
        </is>
      </c>
      <c r="I399" t="inlineStr">
        <is>
          <t>覺數據有限公司</t>
        </is>
      </c>
      <c r="J399" t="inlineStr">
        <is>
          <t>83752765</t>
        </is>
      </c>
      <c r="K399" t="n">
        <v>0</v>
      </c>
      <c r="L399" t="n">
        <v>0</v>
      </c>
      <c r="M399" t="inlineStr">
        <is>
          <t>廣告受眾平台3萬月訂閱</t>
        </is>
      </c>
      <c r="N399" t="inlineStr">
        <is>
          <t>蘇穎泰</t>
        </is>
      </c>
      <c r="O399" t="inlineStr">
        <is>
          <t>臺中市西屯區市政北二路236號30樓之5</t>
        </is>
      </c>
      <c r="P399" t="inlineStr">
        <is>
          <t>peggy_yang@cmoney.com.tw</t>
        </is>
      </c>
      <c r="Q399" t="inlineStr">
        <is>
          <t>04-37036766 #968</t>
        </is>
      </c>
      <c r="R399" t="inlineStr"/>
      <c r="S399" t="inlineStr">
        <is>
          <t>未收款</t>
        </is>
      </c>
      <c r="T399" t="inlineStr">
        <is>
          <t>覺數據，第四期
來源：訂閱型發票及收款紀錄 第 424 列</t>
        </is>
      </c>
      <c r="U399" t="inlineStr">
        <is>
          <t>月結30天/每月5號開立</t>
        </is>
      </c>
      <c r="V399" t="inlineStr">
        <is>
          <t>2026-05-18</t>
        </is>
      </c>
    </row>
    <row r="400">
      <c r="A400" t="inlineStr">
        <is>
          <t>inv_843d575599eb</t>
        </is>
      </c>
      <c r="B400" t="inlineStr">
        <is>
          <t>Peggy</t>
        </is>
      </c>
      <c r="C400" t="inlineStr"/>
      <c r="D400" t="inlineStr"/>
      <c r="E400" t="inlineStr">
        <is>
          <t>2026-06-01 00:00:00</t>
        </is>
      </c>
      <c r="F400" t="inlineStr"/>
      <c r="G400" t="inlineStr"/>
      <c r="H400" t="inlineStr">
        <is>
          <t>cus_710acd4e6353</t>
        </is>
      </c>
      <c r="I400" t="inlineStr">
        <is>
          <t>覺數據有限公司</t>
        </is>
      </c>
      <c r="J400" t="inlineStr">
        <is>
          <t>83752765</t>
        </is>
      </c>
      <c r="K400" t="n">
        <v>0</v>
      </c>
      <c r="L400" t="n">
        <v>0</v>
      </c>
      <c r="M400" t="inlineStr">
        <is>
          <t>廣告受眾平台3萬月訂閱</t>
        </is>
      </c>
      <c r="N400" t="inlineStr">
        <is>
          <t>蘇穎泰</t>
        </is>
      </c>
      <c r="O400" t="inlineStr">
        <is>
          <t>臺中市西屯區市政北二路236號30樓之5</t>
        </is>
      </c>
      <c r="P400" t="inlineStr">
        <is>
          <t>peggy_yang@cmoney.com.tw</t>
        </is>
      </c>
      <c r="Q400" t="inlineStr">
        <is>
          <t>04-37036766 #968</t>
        </is>
      </c>
      <c r="R400" t="inlineStr"/>
      <c r="S400" t="inlineStr">
        <is>
          <t>未收款</t>
        </is>
      </c>
      <c r="T400" t="inlineStr">
        <is>
          <t>覺數據，第五期
來源：訂閱型發票及收款紀錄 第 425 列</t>
        </is>
      </c>
      <c r="U400" t="inlineStr">
        <is>
          <t>月結30天/每月5號開立</t>
        </is>
      </c>
      <c r="V400" t="inlineStr">
        <is>
          <t>2026-05-18</t>
        </is>
      </c>
    </row>
    <row r="401">
      <c r="A401" t="inlineStr">
        <is>
          <t>inv_d0b86009881b</t>
        </is>
      </c>
      <c r="B401" t="inlineStr">
        <is>
          <t>Peggy</t>
        </is>
      </c>
      <c r="C401" t="inlineStr"/>
      <c r="D401" t="inlineStr"/>
      <c r="E401" t="inlineStr">
        <is>
          <t>2026-07-01 00:00:00</t>
        </is>
      </c>
      <c r="F401" t="inlineStr"/>
      <c r="G401" t="inlineStr"/>
      <c r="H401" t="inlineStr">
        <is>
          <t>cus_710acd4e6353</t>
        </is>
      </c>
      <c r="I401" t="inlineStr">
        <is>
          <t>覺數據有限公司</t>
        </is>
      </c>
      <c r="J401" t="inlineStr">
        <is>
          <t>83752765</t>
        </is>
      </c>
      <c r="K401" t="n">
        <v>0</v>
      </c>
      <c r="L401" t="n">
        <v>0</v>
      </c>
      <c r="M401" t="inlineStr">
        <is>
          <t>廣告受眾平台3萬月訂閱</t>
        </is>
      </c>
      <c r="N401" t="inlineStr">
        <is>
          <t>蘇穎泰</t>
        </is>
      </c>
      <c r="O401" t="inlineStr">
        <is>
          <t>臺中市西屯區市政北二路236號30樓之5</t>
        </is>
      </c>
      <c r="P401" t="inlineStr">
        <is>
          <t>peggy_yang@cmoney.com.tw</t>
        </is>
      </c>
      <c r="Q401" t="inlineStr">
        <is>
          <t>04-37036766 #968</t>
        </is>
      </c>
      <c r="R401" t="inlineStr"/>
      <c r="S401" t="inlineStr">
        <is>
          <t>未收款</t>
        </is>
      </c>
      <c r="T401" t="inlineStr">
        <is>
          <t>覺數據，第六期
來源：訂閱型發票及收款紀錄 第 426 列</t>
        </is>
      </c>
      <c r="U401" t="inlineStr">
        <is>
          <t>月結30天/每月5號開立</t>
        </is>
      </c>
      <c r="V401" t="inlineStr">
        <is>
          <t>2026-05-18</t>
        </is>
      </c>
    </row>
    <row r="402">
      <c r="A402" t="inlineStr">
        <is>
          <t>inv_a7e47b3aa7d8</t>
        </is>
      </c>
      <c r="B402" t="inlineStr">
        <is>
          <t>Peggy</t>
        </is>
      </c>
      <c r="C402" t="inlineStr"/>
      <c r="D402" t="inlineStr"/>
      <c r="E402" t="inlineStr">
        <is>
          <t>2026-08-01 00:00:00</t>
        </is>
      </c>
      <c r="F402" t="inlineStr"/>
      <c r="G402" t="inlineStr"/>
      <c r="H402" t="inlineStr">
        <is>
          <t>cus_710acd4e6353</t>
        </is>
      </c>
      <c r="I402" t="inlineStr">
        <is>
          <t>覺數據有限公司</t>
        </is>
      </c>
      <c r="J402" t="inlineStr">
        <is>
          <t>83752765</t>
        </is>
      </c>
      <c r="K402" t="n">
        <v>0</v>
      </c>
      <c r="L402" t="n">
        <v>0</v>
      </c>
      <c r="M402" t="inlineStr">
        <is>
          <t>廣告受眾平台3萬月訂閱</t>
        </is>
      </c>
      <c r="N402" t="inlineStr">
        <is>
          <t>蘇穎泰</t>
        </is>
      </c>
      <c r="O402" t="inlineStr">
        <is>
          <t>臺中市西屯區市政北二路236號30樓之5</t>
        </is>
      </c>
      <c r="P402" t="inlineStr">
        <is>
          <t>peggy_yang@cmoney.com.tw</t>
        </is>
      </c>
      <c r="Q402" t="inlineStr">
        <is>
          <t>04-37036766 #968</t>
        </is>
      </c>
      <c r="R402" t="inlineStr"/>
      <c r="S402" t="inlineStr">
        <is>
          <t>未收款</t>
        </is>
      </c>
      <c r="T402" t="inlineStr">
        <is>
          <t>覺數據，第七期
來源：訂閱型發票及收款紀錄 第 427 列</t>
        </is>
      </c>
      <c r="U402" t="inlineStr">
        <is>
          <t>月結30天/每月5號開立</t>
        </is>
      </c>
      <c r="V402" t="inlineStr">
        <is>
          <t>2026-05-18</t>
        </is>
      </c>
    </row>
    <row r="403">
      <c r="A403" t="inlineStr">
        <is>
          <t>inv_ac3f6b2ad8fb</t>
        </is>
      </c>
      <c r="B403" t="inlineStr">
        <is>
          <t>Peggy</t>
        </is>
      </c>
      <c r="C403" t="inlineStr"/>
      <c r="D403" t="inlineStr"/>
      <c r="E403" t="inlineStr">
        <is>
          <t>2026-09-01 00:00:00</t>
        </is>
      </c>
      <c r="F403" t="inlineStr"/>
      <c r="G403" t="inlineStr"/>
      <c r="H403" t="inlineStr">
        <is>
          <t>cus_710acd4e6353</t>
        </is>
      </c>
      <c r="I403" t="inlineStr">
        <is>
          <t>覺數據有限公司</t>
        </is>
      </c>
      <c r="J403" t="inlineStr">
        <is>
          <t>83752765</t>
        </is>
      </c>
      <c r="K403" t="n">
        <v>0</v>
      </c>
      <c r="L403" t="n">
        <v>0</v>
      </c>
      <c r="M403" t="inlineStr">
        <is>
          <t>廣告受眾平台3萬月訂閱</t>
        </is>
      </c>
      <c r="N403" t="inlineStr">
        <is>
          <t>蘇穎泰</t>
        </is>
      </c>
      <c r="O403" t="inlineStr">
        <is>
          <t>臺中市西屯區市政北二路236號30樓之5</t>
        </is>
      </c>
      <c r="P403" t="inlineStr">
        <is>
          <t>peggy_yang@cmoney.com.tw</t>
        </is>
      </c>
      <c r="Q403" t="inlineStr">
        <is>
          <t>04-37036766 #968</t>
        </is>
      </c>
      <c r="R403" t="inlineStr"/>
      <c r="S403" t="inlineStr">
        <is>
          <t>未收款</t>
        </is>
      </c>
      <c r="T403" t="inlineStr">
        <is>
          <t>覺數據，第八期
來源：訂閱型發票及收款紀錄 第 428 列</t>
        </is>
      </c>
      <c r="U403" t="inlineStr">
        <is>
          <t>月結30天/每月5號開立</t>
        </is>
      </c>
      <c r="V403" t="inlineStr">
        <is>
          <t>2026-05-18</t>
        </is>
      </c>
    </row>
    <row r="404">
      <c r="A404" t="inlineStr">
        <is>
          <t>inv_4042b143cccd</t>
        </is>
      </c>
      <c r="B404" t="inlineStr">
        <is>
          <t>Peggy</t>
        </is>
      </c>
      <c r="C404" t="inlineStr"/>
      <c r="D404" t="inlineStr"/>
      <c r="E404" t="inlineStr">
        <is>
          <t>2026-10-01 00:00:00</t>
        </is>
      </c>
      <c r="F404" t="inlineStr"/>
      <c r="G404" t="inlineStr"/>
      <c r="H404" t="inlineStr">
        <is>
          <t>cus_710acd4e6353</t>
        </is>
      </c>
      <c r="I404" t="inlineStr">
        <is>
          <t>覺數據有限公司</t>
        </is>
      </c>
      <c r="J404" t="inlineStr">
        <is>
          <t>83752765</t>
        </is>
      </c>
      <c r="K404" t="n">
        <v>0</v>
      </c>
      <c r="L404" t="n">
        <v>0</v>
      </c>
      <c r="M404" t="inlineStr">
        <is>
          <t>廣告受眾平台3萬月訂閱</t>
        </is>
      </c>
      <c r="N404" t="inlineStr">
        <is>
          <t>蘇穎泰</t>
        </is>
      </c>
      <c r="O404" t="inlineStr">
        <is>
          <t>臺中市西屯區市政北二路236號30樓之5</t>
        </is>
      </c>
      <c r="P404" t="inlineStr">
        <is>
          <t>peggy_yang@cmoney.com.tw</t>
        </is>
      </c>
      <c r="Q404" t="inlineStr">
        <is>
          <t>04-37036766 #968</t>
        </is>
      </c>
      <c r="R404" t="inlineStr"/>
      <c r="S404" t="inlineStr">
        <is>
          <t>未收款</t>
        </is>
      </c>
      <c r="T404" t="inlineStr">
        <is>
          <t>覺數據，第九期
來源：訂閱型發票及收款紀錄 第 429 列</t>
        </is>
      </c>
      <c r="U404" t="inlineStr">
        <is>
          <t>月結30天/每月5號開立</t>
        </is>
      </c>
      <c r="V404" t="inlineStr">
        <is>
          <t>2026-05-18</t>
        </is>
      </c>
    </row>
    <row r="405">
      <c r="A405" t="inlineStr">
        <is>
          <t>inv_8fa47a3e72f3</t>
        </is>
      </c>
      <c r="B405" t="inlineStr">
        <is>
          <t>Peggy</t>
        </is>
      </c>
      <c r="C405" t="inlineStr"/>
      <c r="D405" t="inlineStr"/>
      <c r="E405" t="inlineStr">
        <is>
          <t>2026-11-01 00:00:00</t>
        </is>
      </c>
      <c r="F405" t="inlineStr"/>
      <c r="G405" t="inlineStr"/>
      <c r="H405" t="inlineStr">
        <is>
          <t>cus_710acd4e6353</t>
        </is>
      </c>
      <c r="I405" t="inlineStr">
        <is>
          <t>覺數據有限公司</t>
        </is>
      </c>
      <c r="J405" t="inlineStr">
        <is>
          <t>83752765</t>
        </is>
      </c>
      <c r="K405" t="n">
        <v>0</v>
      </c>
      <c r="L405" t="n">
        <v>0</v>
      </c>
      <c r="M405" t="inlineStr">
        <is>
          <t>廣告受眾平台3萬月訂閱</t>
        </is>
      </c>
      <c r="N405" t="inlineStr">
        <is>
          <t>蘇穎泰</t>
        </is>
      </c>
      <c r="O405" t="inlineStr">
        <is>
          <t>臺中市西屯區市政北二路236號30樓之5</t>
        </is>
      </c>
      <c r="P405" t="inlineStr">
        <is>
          <t>peggy_yang@cmoney.com.tw</t>
        </is>
      </c>
      <c r="Q405" t="inlineStr">
        <is>
          <t>04-37036766 #968</t>
        </is>
      </c>
      <c r="R405" t="inlineStr"/>
      <c r="S405" t="inlineStr">
        <is>
          <t>未收款</t>
        </is>
      </c>
      <c r="T405" t="inlineStr">
        <is>
          <t>覺數據，第十期
來源：訂閱型發票及收款紀錄 第 430 列</t>
        </is>
      </c>
      <c r="U405" t="inlineStr">
        <is>
          <t>月結30天/每月5號開立</t>
        </is>
      </c>
      <c r="V405" t="inlineStr">
        <is>
          <t>2026-05-18</t>
        </is>
      </c>
    </row>
    <row r="406">
      <c r="A406" t="inlineStr">
        <is>
          <t>inv_89e07accd879</t>
        </is>
      </c>
      <c r="B406" t="inlineStr">
        <is>
          <t>Peggy</t>
        </is>
      </c>
      <c r="C406" t="inlineStr"/>
      <c r="D406" t="inlineStr"/>
      <c r="E406" t="inlineStr">
        <is>
          <t>2026-12-01 00:00:00</t>
        </is>
      </c>
      <c r="F406" t="inlineStr"/>
      <c r="G406" t="inlineStr"/>
      <c r="H406" t="inlineStr">
        <is>
          <t>cus_710acd4e6353</t>
        </is>
      </c>
      <c r="I406" t="inlineStr">
        <is>
          <t>覺數據有限公司</t>
        </is>
      </c>
      <c r="J406" t="inlineStr">
        <is>
          <t>83752765</t>
        </is>
      </c>
      <c r="K406" t="n">
        <v>0</v>
      </c>
      <c r="L406" t="n">
        <v>0</v>
      </c>
      <c r="M406" t="inlineStr">
        <is>
          <t>廣告受眾平台3萬月訂閱</t>
        </is>
      </c>
      <c r="N406" t="inlineStr">
        <is>
          <t>蘇穎泰</t>
        </is>
      </c>
      <c r="O406" t="inlineStr">
        <is>
          <t>臺中市西屯區市政北二路236號30樓之5</t>
        </is>
      </c>
      <c r="P406" t="inlineStr">
        <is>
          <t>peggy_yang@cmoney.com.tw</t>
        </is>
      </c>
      <c r="Q406" t="inlineStr">
        <is>
          <t>04-37036766 #968</t>
        </is>
      </c>
      <c r="R406" t="inlineStr"/>
      <c r="S406" t="inlineStr">
        <is>
          <t>未收款</t>
        </is>
      </c>
      <c r="T406" t="inlineStr">
        <is>
          <t>覺數據，第十一期
來源：訂閱型發票及收款紀錄 第 431 列</t>
        </is>
      </c>
      <c r="U406" t="inlineStr">
        <is>
          <t>月結30天/每月5號開立</t>
        </is>
      </c>
      <c r="V406" t="inlineStr">
        <is>
          <t>2026-05-18</t>
        </is>
      </c>
    </row>
    <row r="407">
      <c r="A407" t="inlineStr">
        <is>
          <t>inv_89d135bec39d</t>
        </is>
      </c>
      <c r="B407" t="inlineStr">
        <is>
          <t>Peggy</t>
        </is>
      </c>
      <c r="C407" t="inlineStr"/>
      <c r="D407" t="inlineStr"/>
      <c r="E407" t="inlineStr">
        <is>
          <t>2027-01-01 00:00:00</t>
        </is>
      </c>
      <c r="F407" t="inlineStr"/>
      <c r="G407" t="inlineStr"/>
      <c r="H407" t="inlineStr">
        <is>
          <t>cus_710acd4e6353</t>
        </is>
      </c>
      <c r="I407" t="inlineStr">
        <is>
          <t>覺數據有限公司</t>
        </is>
      </c>
      <c r="J407" t="inlineStr">
        <is>
          <t>83752765</t>
        </is>
      </c>
      <c r="K407" t="n">
        <v>0</v>
      </c>
      <c r="L407" t="n">
        <v>0</v>
      </c>
      <c r="M407" t="inlineStr">
        <is>
          <t>廣告受眾平台3萬月訂閱</t>
        </is>
      </c>
      <c r="N407" t="inlineStr">
        <is>
          <t>蘇穎泰</t>
        </is>
      </c>
      <c r="O407" t="inlineStr">
        <is>
          <t>臺中市西屯區市政北二路236號30樓之5</t>
        </is>
      </c>
      <c r="P407" t="inlineStr">
        <is>
          <t>peggy_yang@cmoney.com.tw</t>
        </is>
      </c>
      <c r="Q407" t="inlineStr">
        <is>
          <t>04-37036766 #968</t>
        </is>
      </c>
      <c r="R407" t="inlineStr"/>
      <c r="S407" t="inlineStr">
        <is>
          <t>未收款</t>
        </is>
      </c>
      <c r="T407" t="inlineStr">
        <is>
          <t>覺數據，第十二期
來源：訂閱型發票及收款紀錄 第 432 列</t>
        </is>
      </c>
      <c r="U407" t="inlineStr">
        <is>
          <t>月結30天/每月5號開立</t>
        </is>
      </c>
      <c r="V407" t="inlineStr">
        <is>
          <t>2026-05-18</t>
        </is>
      </c>
    </row>
    <row r="408">
      <c r="A408" t="inlineStr">
        <is>
          <t>inv_e5421a494b74</t>
        </is>
      </c>
      <c r="B408" t="inlineStr">
        <is>
          <t>Peggy</t>
        </is>
      </c>
      <c r="C408" t="inlineStr"/>
      <c r="D408" t="inlineStr">
        <is>
          <t>2975081</t>
        </is>
      </c>
      <c r="E408" t="inlineStr">
        <is>
          <t>2026-03-01 00:00:00</t>
        </is>
      </c>
      <c r="F408" t="inlineStr">
        <is>
          <t>2026-03-10</t>
        </is>
      </c>
      <c r="G408" t="inlineStr"/>
      <c r="H408" t="inlineStr">
        <is>
          <t>cus_d162c009e7ba</t>
        </is>
      </c>
      <c r="I408" t="inlineStr">
        <is>
          <t>海派提提股份有限公司</t>
        </is>
      </c>
      <c r="J408" t="inlineStr">
        <is>
          <t>00084497</t>
        </is>
      </c>
      <c r="K408" t="n">
        <v>0</v>
      </c>
      <c r="L408" t="n">
        <v>0</v>
      </c>
      <c r="M408" t="inlineStr">
        <is>
          <t>廣告受眾平台3萬月訂閱</t>
        </is>
      </c>
      <c r="N408" t="inlineStr">
        <is>
          <t>廖梓蒨</t>
        </is>
      </c>
      <c r="O408" t="inlineStr">
        <is>
          <t>臺北市大安區忠孝東路4段320號2樓</t>
        </is>
      </c>
      <c r="P408" t="inlineStr">
        <is>
          <t>joellen.liao@hypertt.net</t>
        </is>
      </c>
      <c r="Q408" t="inlineStr">
        <is>
          <t>(02) 66050497</t>
        </is>
      </c>
      <c r="R408" t="inlineStr"/>
      <c r="S408" t="inlineStr">
        <is>
          <t>未收款</t>
        </is>
      </c>
      <c r="T408" t="inlineStr">
        <is>
          <t>海派提提，第一期
來源：訂閱型發票及收款紀錄 第 434 列</t>
        </is>
      </c>
      <c r="U408" t="inlineStr">
        <is>
          <t>月結30天/每月5號開立</t>
        </is>
      </c>
      <c r="V408" t="inlineStr">
        <is>
          <t>2026-05-18</t>
        </is>
      </c>
    </row>
    <row r="409">
      <c r="A409" t="inlineStr">
        <is>
          <t>inv_3a0d0ee12fd8</t>
        </is>
      </c>
      <c r="B409" t="inlineStr">
        <is>
          <t>Peggy</t>
        </is>
      </c>
      <c r="C409" t="inlineStr"/>
      <c r="D409" t="inlineStr">
        <is>
          <t>3020032</t>
        </is>
      </c>
      <c r="E409" t="inlineStr">
        <is>
          <t>2026-04-01 00:00:00</t>
        </is>
      </c>
      <c r="F409" t="inlineStr">
        <is>
          <t>2026-04-10</t>
        </is>
      </c>
      <c r="G409" t="inlineStr"/>
      <c r="H409" t="inlineStr">
        <is>
          <t>cus_d162c009e7ba</t>
        </is>
      </c>
      <c r="I409" t="inlineStr">
        <is>
          <t>海派提提股份有限公司</t>
        </is>
      </c>
      <c r="J409" t="inlineStr">
        <is>
          <t>00084497</t>
        </is>
      </c>
      <c r="K409" t="n">
        <v>0</v>
      </c>
      <c r="L409" t="n">
        <v>0</v>
      </c>
      <c r="M409" t="inlineStr">
        <is>
          <t>廣告受眾平台3萬月訂閱</t>
        </is>
      </c>
      <c r="N409" t="inlineStr">
        <is>
          <t>廖梓蒨</t>
        </is>
      </c>
      <c r="O409" t="inlineStr">
        <is>
          <t>臺北市大安區忠孝東路4段320號2樓</t>
        </is>
      </c>
      <c r="P409" t="inlineStr">
        <is>
          <t>joellen.liao@hypertt.net</t>
        </is>
      </c>
      <c r="Q409" t="inlineStr">
        <is>
          <t>(02) 66050497</t>
        </is>
      </c>
      <c r="R409" t="inlineStr"/>
      <c r="S409" t="inlineStr">
        <is>
          <t>未收款</t>
        </is>
      </c>
      <c r="T409" t="inlineStr">
        <is>
          <t>海派提提，第二期
來源：訂閱型發票及收款紀錄 第 435 列</t>
        </is>
      </c>
      <c r="U409" t="inlineStr">
        <is>
          <t>月結30天/每月5號開立</t>
        </is>
      </c>
      <c r="V409" t="inlineStr">
        <is>
          <t>2026-05-18</t>
        </is>
      </c>
    </row>
    <row r="410">
      <c r="A410" t="inlineStr">
        <is>
          <t>inv_094f626e10be</t>
        </is>
      </c>
      <c r="B410" t="inlineStr">
        <is>
          <t>Peggy</t>
        </is>
      </c>
      <c r="C410" t="inlineStr"/>
      <c r="D410" t="inlineStr">
        <is>
          <t>3058810</t>
        </is>
      </c>
      <c r="E410" t="inlineStr">
        <is>
          <t>2026-05-01 00:00:00</t>
        </is>
      </c>
      <c r="F410" t="inlineStr">
        <is>
          <t>2026-05-05</t>
        </is>
      </c>
      <c r="G410" t="inlineStr"/>
      <c r="H410" t="inlineStr">
        <is>
          <t>cus_d162c009e7ba</t>
        </is>
      </c>
      <c r="I410" t="inlineStr">
        <is>
          <t>海派提提股份有限公司</t>
        </is>
      </c>
      <c r="J410" t="inlineStr">
        <is>
          <t>00084497</t>
        </is>
      </c>
      <c r="K410" t="n">
        <v>0</v>
      </c>
      <c r="L410" t="n">
        <v>0</v>
      </c>
      <c r="M410" t="inlineStr">
        <is>
          <t>廣告受眾平台3萬月訂閱</t>
        </is>
      </c>
      <c r="N410" t="inlineStr">
        <is>
          <t>廖梓蒨</t>
        </is>
      </c>
      <c r="O410" t="inlineStr">
        <is>
          <t>臺北市大安區忠孝東路4段320號2樓</t>
        </is>
      </c>
      <c r="P410" t="inlineStr">
        <is>
          <t>joellen.liao@hypertt.net</t>
        </is>
      </c>
      <c r="Q410" t="inlineStr">
        <is>
          <t>(02) 66050497</t>
        </is>
      </c>
      <c r="R410" t="inlineStr"/>
      <c r="S410" t="inlineStr">
        <is>
          <t>未收款</t>
        </is>
      </c>
      <c r="T410" t="inlineStr">
        <is>
          <t>海派提提，第三期
來源：訂閱型發票及收款紀錄 第 436 列</t>
        </is>
      </c>
      <c r="U410" t="inlineStr">
        <is>
          <t>月結30天/每月5號開立</t>
        </is>
      </c>
      <c r="V410" t="inlineStr">
        <is>
          <t>2026-05-18</t>
        </is>
      </c>
    </row>
    <row r="411">
      <c r="A411" t="inlineStr">
        <is>
          <t>inv_7e4acf45ea61</t>
        </is>
      </c>
      <c r="B411" t="inlineStr">
        <is>
          <t>Peggy</t>
        </is>
      </c>
      <c r="C411" t="inlineStr"/>
      <c r="D411" t="inlineStr"/>
      <c r="E411" t="inlineStr">
        <is>
          <t>2026-06-01 00:00:00</t>
        </is>
      </c>
      <c r="F411" t="inlineStr"/>
      <c r="G411" t="inlineStr"/>
      <c r="H411" t="inlineStr">
        <is>
          <t>cus_d162c009e7ba</t>
        </is>
      </c>
      <c r="I411" t="inlineStr">
        <is>
          <t>海派提提股份有限公司</t>
        </is>
      </c>
      <c r="J411" t="inlineStr">
        <is>
          <t>00084497</t>
        </is>
      </c>
      <c r="K411" t="n">
        <v>0</v>
      </c>
      <c r="L411" t="n">
        <v>0</v>
      </c>
      <c r="M411" t="inlineStr">
        <is>
          <t>廣告受眾平台3萬月訂閱</t>
        </is>
      </c>
      <c r="N411" t="inlineStr">
        <is>
          <t>廖梓蒨</t>
        </is>
      </c>
      <c r="O411" t="inlineStr">
        <is>
          <t>臺北市大安區忠孝東路4段320號2樓</t>
        </is>
      </c>
      <c r="P411" t="inlineStr">
        <is>
          <t>joellen.liao@hypertt.net</t>
        </is>
      </c>
      <c r="Q411" t="inlineStr">
        <is>
          <t>(02) 66050497</t>
        </is>
      </c>
      <c r="R411" t="inlineStr"/>
      <c r="S411" t="inlineStr">
        <is>
          <t>未收款</t>
        </is>
      </c>
      <c r="T411" t="inlineStr">
        <is>
          <t>海派提提，第四期
來源：訂閱型發票及收款紀錄 第 437 列</t>
        </is>
      </c>
      <c r="U411" t="inlineStr">
        <is>
          <t>月結30天/每月5號開立</t>
        </is>
      </c>
      <c r="V411" t="inlineStr">
        <is>
          <t>2026-05-18</t>
        </is>
      </c>
    </row>
    <row r="412">
      <c r="A412" t="inlineStr">
        <is>
          <t>inv_57ff2bc7ad4b</t>
        </is>
      </c>
      <c r="B412" t="inlineStr">
        <is>
          <t>Peggy</t>
        </is>
      </c>
      <c r="C412" t="inlineStr"/>
      <c r="D412" t="inlineStr"/>
      <c r="E412" t="inlineStr">
        <is>
          <t>2026-07-01 00:00:00</t>
        </is>
      </c>
      <c r="F412" t="inlineStr"/>
      <c r="G412" t="inlineStr"/>
      <c r="H412" t="inlineStr">
        <is>
          <t>cus_d162c009e7ba</t>
        </is>
      </c>
      <c r="I412" t="inlineStr">
        <is>
          <t>海派提提股份有限公司</t>
        </is>
      </c>
      <c r="J412" t="inlineStr">
        <is>
          <t>00084497</t>
        </is>
      </c>
      <c r="K412" t="n">
        <v>0</v>
      </c>
      <c r="L412" t="n">
        <v>0</v>
      </c>
      <c r="M412" t="inlineStr">
        <is>
          <t>廣告受眾平台3萬月訂閱</t>
        </is>
      </c>
      <c r="N412" t="inlineStr">
        <is>
          <t>廖梓蒨</t>
        </is>
      </c>
      <c r="O412" t="inlineStr">
        <is>
          <t>臺北市大安區忠孝東路4段320號2樓</t>
        </is>
      </c>
      <c r="P412" t="inlineStr">
        <is>
          <t>joellen.liao@hypertt.net</t>
        </is>
      </c>
      <c r="Q412" t="inlineStr">
        <is>
          <t>(02) 66050497</t>
        </is>
      </c>
      <c r="R412" t="inlineStr"/>
      <c r="S412" t="inlineStr">
        <is>
          <t>未收款</t>
        </is>
      </c>
      <c r="T412" t="inlineStr">
        <is>
          <t>海派提提，第五期
來源：訂閱型發票及收款紀錄 第 438 列</t>
        </is>
      </c>
      <c r="U412" t="inlineStr">
        <is>
          <t>月結30天/每月5號開立</t>
        </is>
      </c>
      <c r="V412" t="inlineStr">
        <is>
          <t>2026-05-18</t>
        </is>
      </c>
    </row>
    <row r="413">
      <c r="A413" t="inlineStr">
        <is>
          <t>inv_4b959fa026b2</t>
        </is>
      </c>
      <c r="B413" t="inlineStr">
        <is>
          <t>Peggy</t>
        </is>
      </c>
      <c r="C413" t="inlineStr"/>
      <c r="D413" t="inlineStr"/>
      <c r="E413" t="inlineStr">
        <is>
          <t>2026-08-01 00:00:00</t>
        </is>
      </c>
      <c r="F413" t="inlineStr"/>
      <c r="G413" t="inlineStr"/>
      <c r="H413" t="inlineStr">
        <is>
          <t>cus_d162c009e7ba</t>
        </is>
      </c>
      <c r="I413" t="inlineStr">
        <is>
          <t>海派提提股份有限公司</t>
        </is>
      </c>
      <c r="J413" t="inlineStr">
        <is>
          <t>00084497</t>
        </is>
      </c>
      <c r="K413" t="n">
        <v>0</v>
      </c>
      <c r="L413" t="n">
        <v>0</v>
      </c>
      <c r="M413" t="inlineStr">
        <is>
          <t>廣告受眾平台3萬月訂閱</t>
        </is>
      </c>
      <c r="N413" t="inlineStr">
        <is>
          <t>廖梓蒨</t>
        </is>
      </c>
      <c r="O413" t="inlineStr">
        <is>
          <t>臺北市大安區忠孝東路4段320號2樓</t>
        </is>
      </c>
      <c r="P413" t="inlineStr">
        <is>
          <t>joellen.liao@hypertt.net</t>
        </is>
      </c>
      <c r="Q413" t="inlineStr">
        <is>
          <t>(02) 66050497</t>
        </is>
      </c>
      <c r="R413" t="inlineStr"/>
      <c r="S413" t="inlineStr">
        <is>
          <t>未收款</t>
        </is>
      </c>
      <c r="T413" t="inlineStr">
        <is>
          <t>海派提提，第六期
來源：訂閱型發票及收款紀錄 第 439 列</t>
        </is>
      </c>
      <c r="U413" t="inlineStr">
        <is>
          <t>月結30天/每月5號開立</t>
        </is>
      </c>
      <c r="V413" t="inlineStr">
        <is>
          <t>2026-05-18</t>
        </is>
      </c>
    </row>
    <row r="414">
      <c r="A414" t="inlineStr">
        <is>
          <t>inv_0a5deeca81b8</t>
        </is>
      </c>
      <c r="B414" t="inlineStr">
        <is>
          <t>Peggy</t>
        </is>
      </c>
      <c r="C414" t="inlineStr"/>
      <c r="D414" t="inlineStr"/>
      <c r="E414" t="inlineStr">
        <is>
          <t>2026-09-01 00:00:00</t>
        </is>
      </c>
      <c r="F414" t="inlineStr"/>
      <c r="G414" t="inlineStr"/>
      <c r="H414" t="inlineStr">
        <is>
          <t>cus_d162c009e7ba</t>
        </is>
      </c>
      <c r="I414" t="inlineStr">
        <is>
          <t>海派提提股份有限公司</t>
        </is>
      </c>
      <c r="J414" t="inlineStr">
        <is>
          <t>00084497</t>
        </is>
      </c>
      <c r="K414" t="n">
        <v>0</v>
      </c>
      <c r="L414" t="n">
        <v>0</v>
      </c>
      <c r="M414" t="inlineStr">
        <is>
          <t>廣告受眾平台3萬月訂閱</t>
        </is>
      </c>
      <c r="N414" t="inlineStr">
        <is>
          <t>廖梓蒨</t>
        </is>
      </c>
      <c r="O414" t="inlineStr">
        <is>
          <t>臺北市大安區忠孝東路4段320號2樓</t>
        </is>
      </c>
      <c r="P414" t="inlineStr">
        <is>
          <t>joellen.liao@hypertt.net</t>
        </is>
      </c>
      <c r="Q414" t="inlineStr">
        <is>
          <t>(02) 66050497</t>
        </is>
      </c>
      <c r="R414" t="inlineStr"/>
      <c r="S414" t="inlineStr">
        <is>
          <t>未收款</t>
        </is>
      </c>
      <c r="T414" t="inlineStr">
        <is>
          <t>海派提提，第七期
來源：訂閱型發票及收款紀錄 第 440 列</t>
        </is>
      </c>
      <c r="U414" t="inlineStr">
        <is>
          <t>月結30天/每月5號開立</t>
        </is>
      </c>
      <c r="V414" t="inlineStr">
        <is>
          <t>2026-05-18</t>
        </is>
      </c>
    </row>
    <row r="415">
      <c r="A415" t="inlineStr">
        <is>
          <t>inv_5f36990ebb05</t>
        </is>
      </c>
      <c r="B415" t="inlineStr">
        <is>
          <t>Peggy</t>
        </is>
      </c>
      <c r="C415" t="inlineStr"/>
      <c r="D415" t="inlineStr"/>
      <c r="E415" t="inlineStr">
        <is>
          <t>2026-10-01 00:00:00</t>
        </is>
      </c>
      <c r="F415" t="inlineStr"/>
      <c r="G415" t="inlineStr"/>
      <c r="H415" t="inlineStr">
        <is>
          <t>cus_d162c009e7ba</t>
        </is>
      </c>
      <c r="I415" t="inlineStr">
        <is>
          <t>海派提提股份有限公司</t>
        </is>
      </c>
      <c r="J415" t="inlineStr">
        <is>
          <t>00084497</t>
        </is>
      </c>
      <c r="K415" t="n">
        <v>0</v>
      </c>
      <c r="L415" t="n">
        <v>0</v>
      </c>
      <c r="M415" t="inlineStr">
        <is>
          <t>廣告受眾平台3萬月訂閱</t>
        </is>
      </c>
      <c r="N415" t="inlineStr">
        <is>
          <t>廖梓蒨</t>
        </is>
      </c>
      <c r="O415" t="inlineStr">
        <is>
          <t>臺北市大安區忠孝東路4段320號2樓</t>
        </is>
      </c>
      <c r="P415" t="inlineStr">
        <is>
          <t>joellen.liao@hypertt.net</t>
        </is>
      </c>
      <c r="Q415" t="inlineStr">
        <is>
          <t>(02) 66050497</t>
        </is>
      </c>
      <c r="R415" t="inlineStr"/>
      <c r="S415" t="inlineStr">
        <is>
          <t>未收款</t>
        </is>
      </c>
      <c r="T415" t="inlineStr">
        <is>
          <t>海派提提，第八期
來源：訂閱型發票及收款紀錄 第 441 列</t>
        </is>
      </c>
      <c r="U415" t="inlineStr">
        <is>
          <t>月結30天/每月5號開立</t>
        </is>
      </c>
      <c r="V415" t="inlineStr">
        <is>
          <t>2026-05-18</t>
        </is>
      </c>
    </row>
    <row r="416">
      <c r="A416" t="inlineStr">
        <is>
          <t>inv_79f4a4946eaa</t>
        </is>
      </c>
      <c r="B416" t="inlineStr">
        <is>
          <t>Peggy</t>
        </is>
      </c>
      <c r="C416" t="inlineStr"/>
      <c r="D416" t="inlineStr"/>
      <c r="E416" t="inlineStr">
        <is>
          <t>2026-11-01 00:00:00</t>
        </is>
      </c>
      <c r="F416" t="inlineStr"/>
      <c r="G416" t="inlineStr"/>
      <c r="H416" t="inlineStr">
        <is>
          <t>cus_d162c009e7ba</t>
        </is>
      </c>
      <c r="I416" t="inlineStr">
        <is>
          <t>海派提提股份有限公司</t>
        </is>
      </c>
      <c r="J416" t="inlineStr">
        <is>
          <t>00084497</t>
        </is>
      </c>
      <c r="K416" t="n">
        <v>0</v>
      </c>
      <c r="L416" t="n">
        <v>0</v>
      </c>
      <c r="M416" t="inlineStr">
        <is>
          <t>廣告受眾平台3萬月訂閱</t>
        </is>
      </c>
      <c r="N416" t="inlineStr">
        <is>
          <t>廖梓蒨</t>
        </is>
      </c>
      <c r="O416" t="inlineStr">
        <is>
          <t>臺北市大安區忠孝東路4段320號2樓</t>
        </is>
      </c>
      <c r="P416" t="inlineStr">
        <is>
          <t>joellen.liao@hypertt.net</t>
        </is>
      </c>
      <c r="Q416" t="inlineStr">
        <is>
          <t>(02) 66050497</t>
        </is>
      </c>
      <c r="R416" t="inlineStr"/>
      <c r="S416" t="inlineStr">
        <is>
          <t>未收款</t>
        </is>
      </c>
      <c r="T416" t="inlineStr">
        <is>
          <t>海派提提，第九期
來源：訂閱型發票及收款紀錄 第 442 列</t>
        </is>
      </c>
      <c r="U416" t="inlineStr">
        <is>
          <t>月結30天/每月5號開立</t>
        </is>
      </c>
      <c r="V416" t="inlineStr">
        <is>
          <t>2026-05-18</t>
        </is>
      </c>
    </row>
    <row r="417">
      <c r="A417" t="inlineStr">
        <is>
          <t>inv_b9df7a79a8b1</t>
        </is>
      </c>
      <c r="B417" t="inlineStr">
        <is>
          <t>Peggy</t>
        </is>
      </c>
      <c r="C417" t="inlineStr"/>
      <c r="D417" t="inlineStr"/>
      <c r="E417" t="inlineStr">
        <is>
          <t>2026-12-01 00:00:00</t>
        </is>
      </c>
      <c r="F417" t="inlineStr"/>
      <c r="G417" t="inlineStr"/>
      <c r="H417" t="inlineStr">
        <is>
          <t>cus_d162c009e7ba</t>
        </is>
      </c>
      <c r="I417" t="inlineStr">
        <is>
          <t>海派提提股份有限公司</t>
        </is>
      </c>
      <c r="J417" t="inlineStr">
        <is>
          <t>00084497</t>
        </is>
      </c>
      <c r="K417" t="n">
        <v>0</v>
      </c>
      <c r="L417" t="n">
        <v>0</v>
      </c>
      <c r="M417" t="inlineStr">
        <is>
          <t>廣告受眾平台3萬月訂閱</t>
        </is>
      </c>
      <c r="N417" t="inlineStr">
        <is>
          <t>廖梓蒨</t>
        </is>
      </c>
      <c r="O417" t="inlineStr">
        <is>
          <t>臺北市大安區忠孝東路4段320號2樓</t>
        </is>
      </c>
      <c r="P417" t="inlineStr">
        <is>
          <t>joellen.liao@hypertt.net</t>
        </is>
      </c>
      <c r="Q417" t="inlineStr">
        <is>
          <t>(02) 66050497</t>
        </is>
      </c>
      <c r="R417" t="inlineStr"/>
      <c r="S417" t="inlineStr">
        <is>
          <t>未收款</t>
        </is>
      </c>
      <c r="T417" t="inlineStr">
        <is>
          <t>海派提提，第十期
來源：訂閱型發票及收款紀錄 第 443 列</t>
        </is>
      </c>
      <c r="U417" t="inlineStr">
        <is>
          <t>月結30天/每月5號開立</t>
        </is>
      </c>
      <c r="V417" t="inlineStr">
        <is>
          <t>2026-05-18</t>
        </is>
      </c>
    </row>
    <row r="418">
      <c r="A418" t="inlineStr">
        <is>
          <t>inv_e73c77cf60fd</t>
        </is>
      </c>
      <c r="B418" t="inlineStr">
        <is>
          <t>Peggy</t>
        </is>
      </c>
      <c r="C418" t="inlineStr"/>
      <c r="D418" t="inlineStr"/>
      <c r="E418" t="inlineStr">
        <is>
          <t>2027-01-01 00:00:00</t>
        </is>
      </c>
      <c r="F418" t="inlineStr"/>
      <c r="G418" t="inlineStr"/>
      <c r="H418" t="inlineStr">
        <is>
          <t>cus_d162c009e7ba</t>
        </is>
      </c>
      <c r="I418" t="inlineStr">
        <is>
          <t>海派提提股份有限公司</t>
        </is>
      </c>
      <c r="J418" t="inlineStr">
        <is>
          <t>00084497</t>
        </is>
      </c>
      <c r="K418" t="n">
        <v>0</v>
      </c>
      <c r="L418" t="n">
        <v>0</v>
      </c>
      <c r="M418" t="inlineStr">
        <is>
          <t>廣告受眾平台3萬月訂閱</t>
        </is>
      </c>
      <c r="N418" t="inlineStr">
        <is>
          <t>廖梓蒨</t>
        </is>
      </c>
      <c r="O418" t="inlineStr">
        <is>
          <t>臺北市大安區忠孝東路4段320號2樓</t>
        </is>
      </c>
      <c r="P418" t="inlineStr">
        <is>
          <t>joellen.liao@hypertt.net</t>
        </is>
      </c>
      <c r="Q418" t="inlineStr">
        <is>
          <t>(02) 66050497</t>
        </is>
      </c>
      <c r="R418" t="inlineStr"/>
      <c r="S418" t="inlineStr">
        <is>
          <t>未收款</t>
        </is>
      </c>
      <c r="T418" t="inlineStr">
        <is>
          <t>海派提提，第十一期
來源：訂閱型發票及收款紀錄 第 444 列</t>
        </is>
      </c>
      <c r="U418" t="inlineStr">
        <is>
          <t>月結30天/每月5號開立</t>
        </is>
      </c>
      <c r="V418" t="inlineStr">
        <is>
          <t>2026-05-18</t>
        </is>
      </c>
    </row>
    <row r="419">
      <c r="A419" t="inlineStr">
        <is>
          <t>inv_3ef0fd81c40b</t>
        </is>
      </c>
      <c r="B419" t="inlineStr">
        <is>
          <t>Peggy</t>
        </is>
      </c>
      <c r="C419" t="inlineStr"/>
      <c r="D419" t="inlineStr"/>
      <c r="E419" t="inlineStr">
        <is>
          <t>2027-02-01 00:00:00</t>
        </is>
      </c>
      <c r="F419" t="inlineStr"/>
      <c r="G419" t="inlineStr"/>
      <c r="H419" t="inlineStr">
        <is>
          <t>cus_d162c009e7ba</t>
        </is>
      </c>
      <c r="I419" t="inlineStr">
        <is>
          <t>海派提提股份有限公司</t>
        </is>
      </c>
      <c r="J419" t="inlineStr">
        <is>
          <t>00084497</t>
        </is>
      </c>
      <c r="K419" t="n">
        <v>0</v>
      </c>
      <c r="L419" t="n">
        <v>0</v>
      </c>
      <c r="M419" t="inlineStr">
        <is>
          <t>廣告受眾平台3萬月訂閱</t>
        </is>
      </c>
      <c r="N419" t="inlineStr">
        <is>
          <t>廖梓蒨</t>
        </is>
      </c>
      <c r="O419" t="inlineStr">
        <is>
          <t>臺北市大安區忠孝東路4段320號2樓</t>
        </is>
      </c>
      <c r="P419" t="inlineStr">
        <is>
          <t>joellen.liao@hypertt.net</t>
        </is>
      </c>
      <c r="Q419" t="inlineStr">
        <is>
          <t>(02) 66050497</t>
        </is>
      </c>
      <c r="R419" t="inlineStr"/>
      <c r="S419" t="inlineStr">
        <is>
          <t>未收款</t>
        </is>
      </c>
      <c r="T419" t="inlineStr">
        <is>
          <t>海派提提，第十二期
來源：訂閱型發票及收款紀錄 第 445 列</t>
        </is>
      </c>
      <c r="U419" t="inlineStr">
        <is>
          <t>月結30天/每月5號開立</t>
        </is>
      </c>
      <c r="V419" t="inlineStr">
        <is>
          <t>2026-05-18</t>
        </is>
      </c>
    </row>
    <row r="420">
      <c r="A420" t="inlineStr">
        <is>
          <t>inv_40cb1736540e</t>
        </is>
      </c>
      <c r="B420" t="inlineStr">
        <is>
          <t>Peggy</t>
        </is>
      </c>
      <c r="C420" t="inlineStr">
        <is>
          <t>2026-03-05</t>
        </is>
      </c>
      <c r="D420" t="inlineStr">
        <is>
          <t>2941480</t>
        </is>
      </c>
      <c r="E420" t="inlineStr">
        <is>
          <t>2026-02-01 00:00:00</t>
        </is>
      </c>
      <c r="F420" t="inlineStr">
        <is>
          <t>2026-02-04</t>
        </is>
      </c>
      <c r="G420" t="inlineStr"/>
      <c r="H420" t="inlineStr">
        <is>
          <t>cus_c5dc9d1310ce</t>
        </is>
      </c>
      <c r="I420" t="inlineStr">
        <is>
          <t>沛星互動科技股份有限公司</t>
        </is>
      </c>
      <c r="J420" t="inlineStr">
        <is>
          <t>53102168</t>
        </is>
      </c>
      <c r="K420" t="n">
        <v>80000</v>
      </c>
      <c r="L420" t="n">
        <v>84000</v>
      </c>
      <c r="M420" t="inlineStr">
        <is>
          <t>廣告受眾平台8萬月訂閱</t>
        </is>
      </c>
      <c r="N420" t="inlineStr">
        <is>
          <t>Chih Chi Wang</t>
        </is>
      </c>
      <c r="O420" t="inlineStr">
        <is>
          <t>110 台北市信義區松仁路123號6樓</t>
        </is>
      </c>
      <c r="P420" t="inlineStr">
        <is>
          <t>billing@appier.com</t>
        </is>
      </c>
      <c r="Q420" t="inlineStr">
        <is>
          <t>02-87802880</t>
        </is>
      </c>
      <c r="R420" t="inlineStr"/>
      <c r="S420" t="inlineStr">
        <is>
          <t>已收款</t>
        </is>
      </c>
      <c r="T420" t="inlineStr">
        <is>
          <t>第一期
來源：訂閱型發票及收款紀錄 第 447 列</t>
        </is>
      </c>
      <c r="U420" t="inlineStr">
        <is>
          <t>月結30天/每月5號開立</t>
        </is>
      </c>
      <c r="V420" t="inlineStr">
        <is>
          <t>2026-05-18</t>
        </is>
      </c>
    </row>
    <row r="421">
      <c r="A421" t="inlineStr">
        <is>
          <t>inv_f4e865049fe3</t>
        </is>
      </c>
      <c r="B421" t="inlineStr">
        <is>
          <t>Peggy</t>
        </is>
      </c>
      <c r="C421" t="inlineStr">
        <is>
          <t>2026-04-15</t>
        </is>
      </c>
      <c r="D421" t="inlineStr">
        <is>
          <t>2975082</t>
        </is>
      </c>
      <c r="E421" t="inlineStr">
        <is>
          <t>2026-03-01 00:00:00</t>
        </is>
      </c>
      <c r="F421" t="inlineStr">
        <is>
          <t>2026-03-10</t>
        </is>
      </c>
      <c r="G421" t="inlineStr"/>
      <c r="H421" t="inlineStr">
        <is>
          <t>cus_c5dc9d1310ce</t>
        </is>
      </c>
      <c r="I421" t="inlineStr">
        <is>
          <t>沛星互動科技股份有限公司</t>
        </is>
      </c>
      <c r="J421" t="inlineStr">
        <is>
          <t>53102168</t>
        </is>
      </c>
      <c r="K421" t="n">
        <v>80000</v>
      </c>
      <c r="L421" t="n">
        <v>84000</v>
      </c>
      <c r="M421" t="inlineStr">
        <is>
          <t>廣告受眾平台8萬月訂閱</t>
        </is>
      </c>
      <c r="N421" t="inlineStr">
        <is>
          <t>Chih Chi Wang</t>
        </is>
      </c>
      <c r="O421" t="inlineStr">
        <is>
          <t>111 台北市信義區松仁路123號6樓</t>
        </is>
      </c>
      <c r="P421" t="inlineStr">
        <is>
          <t>billing@appier.com</t>
        </is>
      </c>
      <c r="Q421" t="inlineStr">
        <is>
          <t>02-87802880</t>
        </is>
      </c>
      <c r="R421" t="inlineStr"/>
      <c r="S421" t="inlineStr">
        <is>
          <t>已收款</t>
        </is>
      </c>
      <c r="T421" t="inlineStr">
        <is>
          <t>第二期
來源：訂閱型發票及收款紀錄 第 448 列</t>
        </is>
      </c>
      <c r="U421" t="inlineStr">
        <is>
          <t>月結30天/每月5號開立</t>
        </is>
      </c>
      <c r="V421" t="inlineStr">
        <is>
          <t>2026-05-18</t>
        </is>
      </c>
    </row>
    <row r="422">
      <c r="A422" t="inlineStr">
        <is>
          <t>inv_cb10446f010b</t>
        </is>
      </c>
      <c r="B422" t="inlineStr">
        <is>
          <t>Peggy</t>
        </is>
      </c>
      <c r="C422" t="inlineStr"/>
      <c r="D422" t="inlineStr">
        <is>
          <t>3020033</t>
        </is>
      </c>
      <c r="E422" t="inlineStr">
        <is>
          <t>2026-04-01 00:00:00</t>
        </is>
      </c>
      <c r="F422" t="inlineStr">
        <is>
          <t>2026-04-10</t>
        </is>
      </c>
      <c r="G422" t="inlineStr"/>
      <c r="H422" t="inlineStr">
        <is>
          <t>cus_c5dc9d1310ce</t>
        </is>
      </c>
      <c r="I422" t="inlineStr">
        <is>
          <t>沛星互動科技股份有限公司</t>
        </is>
      </c>
      <c r="J422" t="inlineStr">
        <is>
          <t>53102168</t>
        </is>
      </c>
      <c r="K422" t="n">
        <v>80000</v>
      </c>
      <c r="L422" t="n">
        <v>84000</v>
      </c>
      <c r="M422" t="inlineStr">
        <is>
          <t>廣告受眾平台8萬月訂閱</t>
        </is>
      </c>
      <c r="N422" t="inlineStr">
        <is>
          <t>Chih Chi Wang</t>
        </is>
      </c>
      <c r="O422" t="inlineStr">
        <is>
          <t>112 台北市信義區松仁路123號6樓</t>
        </is>
      </c>
      <c r="P422" t="inlineStr">
        <is>
          <t>billing@appier.com</t>
        </is>
      </c>
      <c r="Q422" t="inlineStr">
        <is>
          <t>02-87802880</t>
        </is>
      </c>
      <c r="R422" t="inlineStr"/>
      <c r="S422" t="inlineStr">
        <is>
          <t>未收款</t>
        </is>
      </c>
      <c r="T422" t="inlineStr">
        <is>
          <t>第三期
來源：訂閱型發票及收款紀錄 第 449 列</t>
        </is>
      </c>
      <c r="U422" t="inlineStr">
        <is>
          <t>月結30天/每月5號開立</t>
        </is>
      </c>
      <c r="V422" t="inlineStr">
        <is>
          <t>2026-05-18</t>
        </is>
      </c>
    </row>
    <row r="423">
      <c r="A423" t="inlineStr">
        <is>
          <t>inv_0255b3edac58</t>
        </is>
      </c>
      <c r="B423" t="inlineStr">
        <is>
          <t>Peggy</t>
        </is>
      </c>
      <c r="C423" t="inlineStr"/>
      <c r="D423" t="inlineStr">
        <is>
          <t>3058811</t>
        </is>
      </c>
      <c r="E423" t="inlineStr">
        <is>
          <t>2026-05-01 00:00:00</t>
        </is>
      </c>
      <c r="F423" t="inlineStr">
        <is>
          <t>2026-05-05</t>
        </is>
      </c>
      <c r="G423" t="inlineStr"/>
      <c r="H423" t="inlineStr">
        <is>
          <t>cus_c5dc9d1310ce</t>
        </is>
      </c>
      <c r="I423" t="inlineStr">
        <is>
          <t>沛星互動科技股份有限公司</t>
        </is>
      </c>
      <c r="J423" t="inlineStr">
        <is>
          <t>53102168</t>
        </is>
      </c>
      <c r="K423" t="n">
        <v>80000</v>
      </c>
      <c r="L423" t="n">
        <v>84000</v>
      </c>
      <c r="M423" t="inlineStr">
        <is>
          <t>廣告受眾平台8萬月訂閱</t>
        </is>
      </c>
      <c r="N423" t="inlineStr">
        <is>
          <t>Chih Chi Wang</t>
        </is>
      </c>
      <c r="O423" t="inlineStr">
        <is>
          <t>113 台北市信義區松仁路123號6樓</t>
        </is>
      </c>
      <c r="P423" t="inlineStr">
        <is>
          <t>billing@appier.com</t>
        </is>
      </c>
      <c r="Q423" t="inlineStr">
        <is>
          <t>02-87802880</t>
        </is>
      </c>
      <c r="R423" t="inlineStr"/>
      <c r="S423" t="inlineStr">
        <is>
          <t>未收款</t>
        </is>
      </c>
      <c r="T423" t="inlineStr">
        <is>
          <t>第四期
來源：訂閱型發票及收款紀錄 第 450 列</t>
        </is>
      </c>
      <c r="U423" t="inlineStr">
        <is>
          <t>月結30天/每月5號開立</t>
        </is>
      </c>
      <c r="V423" t="inlineStr">
        <is>
          <t>2026-05-18</t>
        </is>
      </c>
    </row>
    <row r="424">
      <c r="A424" t="inlineStr">
        <is>
          <t>inv_6af7b1b381fc</t>
        </is>
      </c>
      <c r="B424" t="inlineStr">
        <is>
          <t>Peggy</t>
        </is>
      </c>
      <c r="C424" t="inlineStr"/>
      <c r="D424" t="inlineStr"/>
      <c r="E424" t="inlineStr">
        <is>
          <t>2026-06-01 00:00:00</t>
        </is>
      </c>
      <c r="F424" t="inlineStr"/>
      <c r="G424" t="inlineStr"/>
      <c r="H424" t="inlineStr">
        <is>
          <t>cus_c5dc9d1310ce</t>
        </is>
      </c>
      <c r="I424" t="inlineStr">
        <is>
          <t>沛星互動科技股份有限公司</t>
        </is>
      </c>
      <c r="J424" t="inlineStr">
        <is>
          <t>53102168</t>
        </is>
      </c>
      <c r="K424" t="n">
        <v>80000</v>
      </c>
      <c r="L424" t="n">
        <v>84000</v>
      </c>
      <c r="M424" t="inlineStr">
        <is>
          <t>廣告受眾平台8萬月訂閱</t>
        </is>
      </c>
      <c r="N424" t="inlineStr">
        <is>
          <t>Chih Chi Wang</t>
        </is>
      </c>
      <c r="O424" t="inlineStr">
        <is>
          <t>114 台北市信義區松仁路123號6樓</t>
        </is>
      </c>
      <c r="P424" t="inlineStr">
        <is>
          <t>billing@appier.com</t>
        </is>
      </c>
      <c r="Q424" t="inlineStr">
        <is>
          <t>02-87802880</t>
        </is>
      </c>
      <c r="R424" t="inlineStr"/>
      <c r="S424" t="inlineStr">
        <is>
          <t>未收款</t>
        </is>
      </c>
      <c r="T424" t="inlineStr">
        <is>
          <t>第五期
來源：訂閱型發票及收款紀錄 第 451 列</t>
        </is>
      </c>
      <c r="U424" t="inlineStr">
        <is>
          <t>月結30天/每月5號開立</t>
        </is>
      </c>
      <c r="V424" t="inlineStr">
        <is>
          <t>2026-05-18</t>
        </is>
      </c>
    </row>
    <row r="425">
      <c r="A425" t="inlineStr">
        <is>
          <t>inv_bd6adedac496</t>
        </is>
      </c>
      <c r="B425" t="inlineStr">
        <is>
          <t>Peggy</t>
        </is>
      </c>
      <c r="C425" t="inlineStr"/>
      <c r="D425" t="inlineStr"/>
      <c r="E425" t="inlineStr">
        <is>
          <t>2026-07-01 00:00:00</t>
        </is>
      </c>
      <c r="F425" t="inlineStr"/>
      <c r="G425" t="inlineStr"/>
      <c r="H425" t="inlineStr">
        <is>
          <t>cus_c5dc9d1310ce</t>
        </is>
      </c>
      <c r="I425" t="inlineStr">
        <is>
          <t>沛星互動科技股份有限公司</t>
        </is>
      </c>
      <c r="J425" t="inlineStr">
        <is>
          <t>53102168</t>
        </is>
      </c>
      <c r="K425" t="n">
        <v>80000</v>
      </c>
      <c r="L425" t="n">
        <v>84000</v>
      </c>
      <c r="M425" t="inlineStr">
        <is>
          <t>廣告受眾平台8萬月訂閱</t>
        </is>
      </c>
      <c r="N425" t="inlineStr">
        <is>
          <t>Chih Chi Wang</t>
        </is>
      </c>
      <c r="O425" t="inlineStr">
        <is>
          <t>115 台北市信義區松仁路123號6樓</t>
        </is>
      </c>
      <c r="P425" t="inlineStr">
        <is>
          <t>billing@appier.com</t>
        </is>
      </c>
      <c r="Q425" t="inlineStr">
        <is>
          <t>02-87802880</t>
        </is>
      </c>
      <c r="R425" t="inlineStr"/>
      <c r="S425" t="inlineStr">
        <is>
          <t>未收款</t>
        </is>
      </c>
      <c r="T425" t="inlineStr">
        <is>
          <t>第六期
來源：訂閱型發票及收款紀錄 第 452 列</t>
        </is>
      </c>
      <c r="U425" t="inlineStr">
        <is>
          <t>月結30天/每月5號開立</t>
        </is>
      </c>
      <c r="V425" t="inlineStr">
        <is>
          <t>2026-05-18</t>
        </is>
      </c>
    </row>
    <row r="426">
      <c r="A426" t="inlineStr">
        <is>
          <t>inv_49870246e1fe</t>
        </is>
      </c>
      <c r="B426" t="inlineStr">
        <is>
          <t>Peggy</t>
        </is>
      </c>
      <c r="C426" t="inlineStr"/>
      <c r="D426" t="inlineStr"/>
      <c r="E426" t="inlineStr">
        <is>
          <t>2026-08-01 00:00:00</t>
        </is>
      </c>
      <c r="F426" t="inlineStr"/>
      <c r="G426" t="inlineStr"/>
      <c r="H426" t="inlineStr">
        <is>
          <t>cus_c5dc9d1310ce</t>
        </is>
      </c>
      <c r="I426" t="inlineStr">
        <is>
          <t>沛星互動科技股份有限公司</t>
        </is>
      </c>
      <c r="J426" t="inlineStr">
        <is>
          <t>53102168</t>
        </is>
      </c>
      <c r="K426" t="n">
        <v>80000</v>
      </c>
      <c r="L426" t="n">
        <v>84000</v>
      </c>
      <c r="M426" t="inlineStr">
        <is>
          <t>廣告受眾平台8萬月訂閱</t>
        </is>
      </c>
      <c r="N426" t="inlineStr">
        <is>
          <t>Chih Chi Wang</t>
        </is>
      </c>
      <c r="O426" t="inlineStr">
        <is>
          <t>116 台北市信義區松仁路123號6樓</t>
        </is>
      </c>
      <c r="P426" t="inlineStr">
        <is>
          <t>billing@appier.com</t>
        </is>
      </c>
      <c r="Q426" t="inlineStr">
        <is>
          <t>02-87802880</t>
        </is>
      </c>
      <c r="R426" t="inlineStr"/>
      <c r="S426" t="inlineStr">
        <is>
          <t>未收款</t>
        </is>
      </c>
      <c r="T426" t="inlineStr">
        <is>
          <t>第七期
來源：訂閱型發票及收款紀錄 第 453 列</t>
        </is>
      </c>
      <c r="U426" t="inlineStr">
        <is>
          <t>月結30天/每月5號開立</t>
        </is>
      </c>
      <c r="V426" t="inlineStr">
        <is>
          <t>2026-05-18</t>
        </is>
      </c>
    </row>
    <row r="427">
      <c r="A427" t="inlineStr">
        <is>
          <t>inv_7e46092a0f63</t>
        </is>
      </c>
      <c r="B427" t="inlineStr">
        <is>
          <t>Peggy</t>
        </is>
      </c>
      <c r="C427" t="inlineStr"/>
      <c r="D427" t="inlineStr"/>
      <c r="E427" t="inlineStr">
        <is>
          <t>2026-09-01 00:00:00</t>
        </is>
      </c>
      <c r="F427" t="inlineStr"/>
      <c r="G427" t="inlineStr"/>
      <c r="H427" t="inlineStr">
        <is>
          <t>cus_c5dc9d1310ce</t>
        </is>
      </c>
      <c r="I427" t="inlineStr">
        <is>
          <t>沛星互動科技股份有限公司</t>
        </is>
      </c>
      <c r="J427" t="inlineStr">
        <is>
          <t>53102168</t>
        </is>
      </c>
      <c r="K427" t="n">
        <v>80000</v>
      </c>
      <c r="L427" t="n">
        <v>84000</v>
      </c>
      <c r="M427" t="inlineStr">
        <is>
          <t>廣告受眾平台8萬月訂閱</t>
        </is>
      </c>
      <c r="N427" t="inlineStr">
        <is>
          <t>Chih Chi Wang</t>
        </is>
      </c>
      <c r="O427" t="inlineStr">
        <is>
          <t>117 台北市信義區松仁路123號6樓</t>
        </is>
      </c>
      <c r="P427" t="inlineStr">
        <is>
          <t>billing@appier.com</t>
        </is>
      </c>
      <c r="Q427" t="inlineStr">
        <is>
          <t>02-87802880</t>
        </is>
      </c>
      <c r="R427" t="inlineStr"/>
      <c r="S427" t="inlineStr">
        <is>
          <t>未收款</t>
        </is>
      </c>
      <c r="T427" t="inlineStr">
        <is>
          <t>第八期
來源：訂閱型發票及收款紀錄 第 454 列</t>
        </is>
      </c>
      <c r="U427" t="inlineStr">
        <is>
          <t>月結30天/每月5號開立</t>
        </is>
      </c>
      <c r="V427" t="inlineStr">
        <is>
          <t>2026-05-18</t>
        </is>
      </c>
    </row>
    <row r="428">
      <c r="A428" t="inlineStr">
        <is>
          <t>inv_10568e1e3a36</t>
        </is>
      </c>
      <c r="B428" t="inlineStr">
        <is>
          <t>Peggy</t>
        </is>
      </c>
      <c r="C428" t="inlineStr"/>
      <c r="D428" t="inlineStr"/>
      <c r="E428" t="inlineStr">
        <is>
          <t>2026-10-01 00:00:00</t>
        </is>
      </c>
      <c r="F428" t="inlineStr"/>
      <c r="G428" t="inlineStr"/>
      <c r="H428" t="inlineStr">
        <is>
          <t>cus_c5dc9d1310ce</t>
        </is>
      </c>
      <c r="I428" t="inlineStr">
        <is>
          <t>沛星互動科技股份有限公司</t>
        </is>
      </c>
      <c r="J428" t="inlineStr">
        <is>
          <t>53102168</t>
        </is>
      </c>
      <c r="K428" t="n">
        <v>80000</v>
      </c>
      <c r="L428" t="n">
        <v>84000</v>
      </c>
      <c r="M428" t="inlineStr">
        <is>
          <t>廣告受眾平台8萬月訂閱</t>
        </is>
      </c>
      <c r="N428" t="inlineStr">
        <is>
          <t>Chih Chi Wang</t>
        </is>
      </c>
      <c r="O428" t="inlineStr">
        <is>
          <t>118 台北市信義區松仁路123號6樓</t>
        </is>
      </c>
      <c r="P428" t="inlineStr">
        <is>
          <t>billing@appier.com</t>
        </is>
      </c>
      <c r="Q428" t="inlineStr">
        <is>
          <t>02-87802880</t>
        </is>
      </c>
      <c r="R428" t="inlineStr"/>
      <c r="S428" t="inlineStr">
        <is>
          <t>未收款</t>
        </is>
      </c>
      <c r="T428" t="inlineStr">
        <is>
          <t>第九期
來源：訂閱型發票及收款紀錄 第 455 列</t>
        </is>
      </c>
      <c r="U428" t="inlineStr">
        <is>
          <t>月結30天/每月5號開立</t>
        </is>
      </c>
      <c r="V428" t="inlineStr">
        <is>
          <t>2026-05-18</t>
        </is>
      </c>
    </row>
    <row r="429">
      <c r="A429" t="inlineStr">
        <is>
          <t>inv_1e7fa4eac36a</t>
        </is>
      </c>
      <c r="B429" t="inlineStr">
        <is>
          <t>Peggy</t>
        </is>
      </c>
      <c r="C429" t="inlineStr"/>
      <c r="D429" t="inlineStr"/>
      <c r="E429" t="inlineStr">
        <is>
          <t>2026-11-01 00:00:00</t>
        </is>
      </c>
      <c r="F429" t="inlineStr"/>
      <c r="G429" t="inlineStr"/>
      <c r="H429" t="inlineStr">
        <is>
          <t>cus_c5dc9d1310ce</t>
        </is>
      </c>
      <c r="I429" t="inlineStr">
        <is>
          <t>沛星互動科技股份有限公司</t>
        </is>
      </c>
      <c r="J429" t="inlineStr">
        <is>
          <t>53102168</t>
        </is>
      </c>
      <c r="K429" t="n">
        <v>80000</v>
      </c>
      <c r="L429" t="n">
        <v>84000</v>
      </c>
      <c r="M429" t="inlineStr">
        <is>
          <t>廣告受眾平台8萬月訂閱</t>
        </is>
      </c>
      <c r="N429" t="inlineStr">
        <is>
          <t>Chih Chi Wang</t>
        </is>
      </c>
      <c r="O429" t="inlineStr">
        <is>
          <t>119 台北市信義區松仁路123號6樓</t>
        </is>
      </c>
      <c r="P429" t="inlineStr">
        <is>
          <t>billing@appier.com</t>
        </is>
      </c>
      <c r="Q429" t="inlineStr">
        <is>
          <t>02-87802880</t>
        </is>
      </c>
      <c r="R429" t="inlineStr"/>
      <c r="S429" t="inlineStr">
        <is>
          <t>未收款</t>
        </is>
      </c>
      <c r="T429" t="inlineStr">
        <is>
          <t>第十期
來源：訂閱型發票及收款紀錄 第 456 列</t>
        </is>
      </c>
      <c r="U429" t="inlineStr">
        <is>
          <t>月結30天/每月5號開立</t>
        </is>
      </c>
      <c r="V429" t="inlineStr">
        <is>
          <t>2026-05-18</t>
        </is>
      </c>
    </row>
    <row r="430">
      <c r="A430" t="inlineStr">
        <is>
          <t>inv_13d3289d78e6</t>
        </is>
      </c>
      <c r="B430" t="inlineStr">
        <is>
          <t>Peggy</t>
        </is>
      </c>
      <c r="C430" t="inlineStr"/>
      <c r="D430" t="inlineStr"/>
      <c r="E430" t="inlineStr">
        <is>
          <t>2026-12-01 00:00:00</t>
        </is>
      </c>
      <c r="F430" t="inlineStr"/>
      <c r="G430" t="inlineStr"/>
      <c r="H430" t="inlineStr">
        <is>
          <t>cus_c5dc9d1310ce</t>
        </is>
      </c>
      <c r="I430" t="inlineStr">
        <is>
          <t>沛星互動科技股份有限公司</t>
        </is>
      </c>
      <c r="J430" t="inlineStr">
        <is>
          <t>53102168</t>
        </is>
      </c>
      <c r="K430" t="n">
        <v>80000</v>
      </c>
      <c r="L430" t="n">
        <v>84000</v>
      </c>
      <c r="M430" t="inlineStr">
        <is>
          <t>廣告受眾平台8萬月訂閱</t>
        </is>
      </c>
      <c r="N430" t="inlineStr">
        <is>
          <t>Chih Chi Wang</t>
        </is>
      </c>
      <c r="O430" t="inlineStr">
        <is>
          <t>120 台北市信義區松仁路123號6樓</t>
        </is>
      </c>
      <c r="P430" t="inlineStr">
        <is>
          <t>billing@appier.com</t>
        </is>
      </c>
      <c r="Q430" t="inlineStr">
        <is>
          <t>02-87802880</t>
        </is>
      </c>
      <c r="R430" t="inlineStr"/>
      <c r="S430" t="inlineStr">
        <is>
          <t>未收款</t>
        </is>
      </c>
      <c r="T430" t="inlineStr">
        <is>
          <t>第十一期
來源：訂閱型發票及收款紀錄 第 457 列</t>
        </is>
      </c>
      <c r="U430" t="inlineStr">
        <is>
          <t>月結30天/每月5號開立</t>
        </is>
      </c>
      <c r="V430" t="inlineStr">
        <is>
          <t>2026-05-18</t>
        </is>
      </c>
    </row>
    <row r="431">
      <c r="A431" t="inlineStr">
        <is>
          <t>inv_9111dfa5ee21</t>
        </is>
      </c>
      <c r="B431" t="inlineStr">
        <is>
          <t>Peggy</t>
        </is>
      </c>
      <c r="C431" t="inlineStr"/>
      <c r="D431" t="inlineStr"/>
      <c r="E431" t="inlineStr">
        <is>
          <t>2027-01-01 00:00:00</t>
        </is>
      </c>
      <c r="F431" t="inlineStr"/>
      <c r="G431" t="inlineStr"/>
      <c r="H431" t="inlineStr">
        <is>
          <t>cus_c5dc9d1310ce</t>
        </is>
      </c>
      <c r="I431" t="inlineStr">
        <is>
          <t>沛星互動科技股份有限公司</t>
        </is>
      </c>
      <c r="J431" t="inlineStr">
        <is>
          <t>53102168</t>
        </is>
      </c>
      <c r="K431" t="n">
        <v>80000</v>
      </c>
      <c r="L431" t="n">
        <v>84000</v>
      </c>
      <c r="M431" t="inlineStr">
        <is>
          <t>廣告受眾平台8萬月訂閱</t>
        </is>
      </c>
      <c r="N431" t="inlineStr">
        <is>
          <t>Chih Chi Wang</t>
        </is>
      </c>
      <c r="O431" t="inlineStr">
        <is>
          <t>121 台北市信義區松仁路123號6樓</t>
        </is>
      </c>
      <c r="P431" t="inlineStr">
        <is>
          <t>billing@appier.com</t>
        </is>
      </c>
      <c r="Q431" t="inlineStr">
        <is>
          <t>02-87802880</t>
        </is>
      </c>
      <c r="R431" t="inlineStr"/>
      <c r="S431" t="inlineStr">
        <is>
          <t>未收款</t>
        </is>
      </c>
      <c r="T431" t="inlineStr">
        <is>
          <t>第十二期
來源：訂閱型發票及收款紀錄 第 458 列</t>
        </is>
      </c>
      <c r="U431" t="inlineStr">
        <is>
          <t>月結30天/每月5號開立</t>
        </is>
      </c>
      <c r="V431" t="inlineStr">
        <is>
          <t>2026-05-18</t>
        </is>
      </c>
    </row>
    <row r="432">
      <c r="A432" t="inlineStr">
        <is>
          <t>inv_55227575ce0f</t>
        </is>
      </c>
      <c r="B432" t="inlineStr">
        <is>
          <t>Peggy</t>
        </is>
      </c>
      <c r="C432" t="inlineStr"/>
      <c r="D432" t="inlineStr"/>
      <c r="E432" t="inlineStr">
        <is>
          <t>2026-04-01 00:00:00</t>
        </is>
      </c>
      <c r="F432" t="inlineStr">
        <is>
          <t>2026-04-07</t>
        </is>
      </c>
      <c r="G432" t="inlineStr"/>
      <c r="H432" t="inlineStr">
        <is>
          <t>cus_8520e79afc4d</t>
        </is>
      </c>
      <c r="I432" t="inlineStr">
        <is>
          <t>全通路科技有限公司</t>
        </is>
      </c>
      <c r="J432" t="inlineStr">
        <is>
          <t>82910724</t>
        </is>
      </c>
      <c r="K432" t="n">
        <v>20000</v>
      </c>
      <c r="L432" t="n">
        <v>21000</v>
      </c>
      <c r="M432" t="inlineStr">
        <is>
          <t>API串接服務</t>
        </is>
      </c>
      <c r="N432" t="inlineStr">
        <is>
          <t>Kevin Lin 林裕晟</t>
        </is>
      </c>
      <c r="O432" t="inlineStr">
        <is>
          <t>104 台北市中山區中山北路二段96號14樓1412室</t>
        </is>
      </c>
      <c r="P432" t="inlineStr">
        <is>
          <t>kevin.lin@omnichat.ai</t>
        </is>
      </c>
      <c r="Q432" t="inlineStr">
        <is>
          <t>02-77518060</t>
        </is>
      </c>
      <c r="R432" t="inlineStr"/>
      <c r="S432" t="inlineStr">
        <is>
          <t>未收款</t>
        </is>
      </c>
      <c r="T432" t="inlineStr">
        <is>
          <t>第一期
來源：訂閱型發票及收款紀錄 第 460 列</t>
        </is>
      </c>
      <c r="U432" t="inlineStr">
        <is>
          <t>每月5號開立，發票月份次月12日起算60日內完成繳款</t>
        </is>
      </c>
      <c r="V432" t="inlineStr">
        <is>
          <t>2026-05-18</t>
        </is>
      </c>
    </row>
    <row r="433">
      <c r="A433" t="inlineStr">
        <is>
          <t>inv_0d1c5689f135</t>
        </is>
      </c>
      <c r="B433" t="inlineStr">
        <is>
          <t>Peggy</t>
        </is>
      </c>
      <c r="C433" t="inlineStr"/>
      <c r="D433" t="inlineStr">
        <is>
          <t>3058812</t>
        </is>
      </c>
      <c r="E433" t="inlineStr">
        <is>
          <t>2026-05-01 00:00:00</t>
        </is>
      </c>
      <c r="F433" t="inlineStr">
        <is>
          <t>2026-05-05</t>
        </is>
      </c>
      <c r="G433" t="inlineStr"/>
      <c r="H433" t="inlineStr">
        <is>
          <t>cus_8520e79afc4d</t>
        </is>
      </c>
      <c r="I433" t="inlineStr">
        <is>
          <t>全通路科技有限公司</t>
        </is>
      </c>
      <c r="J433" t="inlineStr">
        <is>
          <t>82910724</t>
        </is>
      </c>
      <c r="K433" t="n">
        <v>20000</v>
      </c>
      <c r="L433" t="n">
        <v>21000</v>
      </c>
      <c r="M433" t="inlineStr">
        <is>
          <t>API串接服務</t>
        </is>
      </c>
      <c r="N433" t="inlineStr">
        <is>
          <t>Kevin Lin 林裕晟</t>
        </is>
      </c>
      <c r="O433" t="inlineStr">
        <is>
          <t>105 台北市中山區中山北路二段96號14樓1412室</t>
        </is>
      </c>
      <c r="P433" t="inlineStr">
        <is>
          <t>finance@omnichat.ai</t>
        </is>
      </c>
      <c r="Q433" t="inlineStr">
        <is>
          <t>02-77518060</t>
        </is>
      </c>
      <c r="R433" t="inlineStr"/>
      <c r="S433" t="inlineStr">
        <is>
          <t>未收款</t>
        </is>
      </c>
      <c r="T433" t="inlineStr">
        <is>
          <t>第二期
來源：訂閱型發票及收款紀錄 第 461 列</t>
        </is>
      </c>
      <c r="U433" t="inlineStr">
        <is>
          <t>每月5號開立，發票月份次月12日起算60日內完成繳款</t>
        </is>
      </c>
      <c r="V433" t="inlineStr">
        <is>
          <t>2026-05-18</t>
        </is>
      </c>
    </row>
    <row r="434">
      <c r="A434" t="inlineStr">
        <is>
          <t>inv_1665d82a00bb</t>
        </is>
      </c>
      <c r="B434" t="inlineStr">
        <is>
          <t>Peggy</t>
        </is>
      </c>
      <c r="C434" t="inlineStr"/>
      <c r="D434" t="inlineStr"/>
      <c r="E434" t="inlineStr">
        <is>
          <t>2026-06-01 00:00:00</t>
        </is>
      </c>
      <c r="F434" t="inlineStr"/>
      <c r="G434" t="inlineStr"/>
      <c r="H434" t="inlineStr">
        <is>
          <t>cus_8520e79afc4d</t>
        </is>
      </c>
      <c r="I434" t="inlineStr">
        <is>
          <t>全通路科技有限公司</t>
        </is>
      </c>
      <c r="J434" t="inlineStr">
        <is>
          <t>82910724</t>
        </is>
      </c>
      <c r="K434" t="n">
        <v>20000</v>
      </c>
      <c r="L434" t="n">
        <v>21000</v>
      </c>
      <c r="M434" t="inlineStr">
        <is>
          <t>API串接服務</t>
        </is>
      </c>
      <c r="N434" t="inlineStr">
        <is>
          <t>Kevin Lin 林裕晟</t>
        </is>
      </c>
      <c r="O434" t="inlineStr">
        <is>
          <t>106 台北市中山區中山北路二段96號14樓1412室</t>
        </is>
      </c>
      <c r="P434" t="inlineStr">
        <is>
          <t>finance@omnichat.ai</t>
        </is>
      </c>
      <c r="Q434" t="inlineStr">
        <is>
          <t>02-77518060</t>
        </is>
      </c>
      <c r="R434" t="inlineStr"/>
      <c r="S434" t="inlineStr">
        <is>
          <t>未收款</t>
        </is>
      </c>
      <c r="T434" t="inlineStr">
        <is>
          <t>第三期
來源：訂閱型發票及收款紀錄 第 462 列</t>
        </is>
      </c>
      <c r="U434" t="inlineStr">
        <is>
          <t>每月5號開立，發票月份次月12日起算60日內完成繳款</t>
        </is>
      </c>
      <c r="V434" t="inlineStr">
        <is>
          <t>2026-05-18</t>
        </is>
      </c>
    </row>
    <row r="435">
      <c r="A435" t="inlineStr">
        <is>
          <t>inv_302dc71fe5ac</t>
        </is>
      </c>
      <c r="B435" t="inlineStr">
        <is>
          <t>Peggy</t>
        </is>
      </c>
      <c r="C435" t="inlineStr"/>
      <c r="D435" t="inlineStr"/>
      <c r="E435" t="inlineStr">
        <is>
          <t>2026-07-01 00:00:00</t>
        </is>
      </c>
      <c r="F435" t="inlineStr"/>
      <c r="G435" t="inlineStr"/>
      <c r="H435" t="inlineStr">
        <is>
          <t>cus_8520e79afc4d</t>
        </is>
      </c>
      <c r="I435" t="inlineStr">
        <is>
          <t>全通路科技有限公司</t>
        </is>
      </c>
      <c r="J435" t="inlineStr">
        <is>
          <t>82910724</t>
        </is>
      </c>
      <c r="K435" t="n">
        <v>20000</v>
      </c>
      <c r="L435" t="n">
        <v>21000</v>
      </c>
      <c r="M435" t="inlineStr">
        <is>
          <t>API串接服務</t>
        </is>
      </c>
      <c r="N435" t="inlineStr">
        <is>
          <t>Kevin Lin 林裕晟</t>
        </is>
      </c>
      <c r="O435" t="inlineStr">
        <is>
          <t>107 台北市中山區中山北路二段96號14樓1412室</t>
        </is>
      </c>
      <c r="P435" t="inlineStr">
        <is>
          <t>finance@omnichat.ai</t>
        </is>
      </c>
      <c r="Q435" t="inlineStr">
        <is>
          <t>02-77518060</t>
        </is>
      </c>
      <c r="R435" t="inlineStr"/>
      <c r="S435" t="inlineStr">
        <is>
          <t>未收款</t>
        </is>
      </c>
      <c r="T435" t="inlineStr">
        <is>
          <t>第四期
來源：訂閱型發票及收款紀錄 第 463 列</t>
        </is>
      </c>
      <c r="U435" t="inlineStr">
        <is>
          <t>每月5號開立，發票月份次月12日起算60日內完成繳款</t>
        </is>
      </c>
      <c r="V435" t="inlineStr">
        <is>
          <t>2026-05-18</t>
        </is>
      </c>
    </row>
    <row r="436">
      <c r="A436" t="inlineStr">
        <is>
          <t>inv_428d4be211c9</t>
        </is>
      </c>
      <c r="B436" t="inlineStr">
        <is>
          <t>Peggy</t>
        </is>
      </c>
      <c r="C436" t="inlineStr"/>
      <c r="D436" t="inlineStr"/>
      <c r="E436" t="inlineStr">
        <is>
          <t>2026-08-01 00:00:00</t>
        </is>
      </c>
      <c r="F436" t="inlineStr"/>
      <c r="G436" t="inlineStr"/>
      <c r="H436" t="inlineStr">
        <is>
          <t>cus_8520e79afc4d</t>
        </is>
      </c>
      <c r="I436" t="inlineStr">
        <is>
          <t>全通路科技有限公司</t>
        </is>
      </c>
      <c r="J436" t="inlineStr">
        <is>
          <t>82910724</t>
        </is>
      </c>
      <c r="K436" t="n">
        <v>20000</v>
      </c>
      <c r="L436" t="n">
        <v>21000</v>
      </c>
      <c r="M436" t="inlineStr">
        <is>
          <t>API串接服務</t>
        </is>
      </c>
      <c r="N436" t="inlineStr">
        <is>
          <t>Kevin Lin 林裕晟</t>
        </is>
      </c>
      <c r="O436" t="inlineStr">
        <is>
          <t>108 台北市中山區中山北路二段96號14樓1412室</t>
        </is>
      </c>
      <c r="P436" t="inlineStr">
        <is>
          <t>finance@omnichat.ai</t>
        </is>
      </c>
      <c r="Q436" t="inlineStr">
        <is>
          <t>02-77518060</t>
        </is>
      </c>
      <c r="R436" t="inlineStr"/>
      <c r="S436" t="inlineStr">
        <is>
          <t>未收款</t>
        </is>
      </c>
      <c r="T436" t="inlineStr">
        <is>
          <t>第五期
來源：訂閱型發票及收款紀錄 第 464 列</t>
        </is>
      </c>
      <c r="U436" t="inlineStr">
        <is>
          <t>每月5號開立，發票月份次月12日起算60日內完成繳款</t>
        </is>
      </c>
      <c r="V436" t="inlineStr">
        <is>
          <t>2026-05-18</t>
        </is>
      </c>
    </row>
    <row r="437">
      <c r="A437" t="inlineStr">
        <is>
          <t>inv_15987e0c26e7</t>
        </is>
      </c>
      <c r="B437" t="inlineStr">
        <is>
          <t>Peggy</t>
        </is>
      </c>
      <c r="C437" t="inlineStr"/>
      <c r="D437" t="inlineStr"/>
      <c r="E437" t="inlineStr">
        <is>
          <t>2026-09-01 00:00:00</t>
        </is>
      </c>
      <c r="F437" t="inlineStr"/>
      <c r="G437" t="inlineStr"/>
      <c r="H437" t="inlineStr">
        <is>
          <t>cus_8520e79afc4d</t>
        </is>
      </c>
      <c r="I437" t="inlineStr">
        <is>
          <t>全通路科技有限公司</t>
        </is>
      </c>
      <c r="J437" t="inlineStr">
        <is>
          <t>82910724</t>
        </is>
      </c>
      <c r="K437" t="n">
        <v>20000</v>
      </c>
      <c r="L437" t="n">
        <v>21000</v>
      </c>
      <c r="M437" t="inlineStr">
        <is>
          <t>API串接服務</t>
        </is>
      </c>
      <c r="N437" t="inlineStr">
        <is>
          <t>Kevin Lin 林裕晟</t>
        </is>
      </c>
      <c r="O437" t="inlineStr">
        <is>
          <t>109 台北市中山區中山北路二段96號14樓1412室</t>
        </is>
      </c>
      <c r="P437" t="inlineStr">
        <is>
          <t>finance@omnichat.ai</t>
        </is>
      </c>
      <c r="Q437" t="inlineStr">
        <is>
          <t>02-77518060</t>
        </is>
      </c>
      <c r="R437" t="inlineStr"/>
      <c r="S437" t="inlineStr">
        <is>
          <t>未收款</t>
        </is>
      </c>
      <c r="T437" t="inlineStr">
        <is>
          <t>第六期
來源：訂閱型發票及收款紀錄 第 465 列</t>
        </is>
      </c>
      <c r="U437" t="inlineStr">
        <is>
          <t>每月5號開立，發票月份次月12日起算60日內完成繳款</t>
        </is>
      </c>
      <c r="V437" t="inlineStr">
        <is>
          <t>2026-05-18</t>
        </is>
      </c>
    </row>
    <row r="438">
      <c r="A438" t="inlineStr">
        <is>
          <t>inv_b923fb7c9d94</t>
        </is>
      </c>
      <c r="B438" t="inlineStr">
        <is>
          <t>Peggy</t>
        </is>
      </c>
      <c r="C438" t="inlineStr"/>
      <c r="D438" t="inlineStr"/>
      <c r="E438" t="inlineStr">
        <is>
          <t>2026-10-01 00:00:00</t>
        </is>
      </c>
      <c r="F438" t="inlineStr"/>
      <c r="G438" t="inlineStr"/>
      <c r="H438" t="inlineStr">
        <is>
          <t>cus_8520e79afc4d</t>
        </is>
      </c>
      <c r="I438" t="inlineStr">
        <is>
          <t>全通路科技有限公司</t>
        </is>
      </c>
      <c r="J438" t="inlineStr">
        <is>
          <t>82910724</t>
        </is>
      </c>
      <c r="K438" t="n">
        <v>20000</v>
      </c>
      <c r="L438" t="n">
        <v>21000</v>
      </c>
      <c r="M438" t="inlineStr">
        <is>
          <t>API串接服務</t>
        </is>
      </c>
      <c r="N438" t="inlineStr">
        <is>
          <t>Kevin Lin 林裕晟</t>
        </is>
      </c>
      <c r="O438" t="inlineStr">
        <is>
          <t>110 台北市中山區中山北路二段96號14樓1412室</t>
        </is>
      </c>
      <c r="P438" t="inlineStr">
        <is>
          <t>finance@omnichat.ai</t>
        </is>
      </c>
      <c r="Q438" t="inlineStr">
        <is>
          <t>02-77518060</t>
        </is>
      </c>
      <c r="R438" t="inlineStr"/>
      <c r="S438" t="inlineStr">
        <is>
          <t>未收款</t>
        </is>
      </c>
      <c r="T438" t="inlineStr">
        <is>
          <t>第七期
來源：訂閱型發票及收款紀錄 第 466 列</t>
        </is>
      </c>
      <c r="U438" t="inlineStr">
        <is>
          <t>每月5號開立，發票月份次月12日起算60日內完成繳款</t>
        </is>
      </c>
      <c r="V438" t="inlineStr">
        <is>
          <t>2026-05-18</t>
        </is>
      </c>
    </row>
    <row r="439">
      <c r="A439" t="inlineStr">
        <is>
          <t>inv_458359fedf73</t>
        </is>
      </c>
      <c r="B439" t="inlineStr">
        <is>
          <t>Peggy</t>
        </is>
      </c>
      <c r="C439" t="inlineStr"/>
      <c r="D439" t="inlineStr"/>
      <c r="E439" t="inlineStr">
        <is>
          <t>2026-11-01 00:00:00</t>
        </is>
      </c>
      <c r="F439" t="inlineStr"/>
      <c r="G439" t="inlineStr"/>
      <c r="H439" t="inlineStr">
        <is>
          <t>cus_8520e79afc4d</t>
        </is>
      </c>
      <c r="I439" t="inlineStr">
        <is>
          <t>全通路科技有限公司</t>
        </is>
      </c>
      <c r="J439" t="inlineStr">
        <is>
          <t>82910724</t>
        </is>
      </c>
      <c r="K439" t="n">
        <v>20000</v>
      </c>
      <c r="L439" t="n">
        <v>21000</v>
      </c>
      <c r="M439" t="inlineStr">
        <is>
          <t>API串接服務</t>
        </is>
      </c>
      <c r="N439" t="inlineStr">
        <is>
          <t>Kevin Lin 林裕晟</t>
        </is>
      </c>
      <c r="O439" t="inlineStr">
        <is>
          <t>111 台北市中山區中山北路二段96號14樓1412室</t>
        </is>
      </c>
      <c r="P439" t="inlineStr">
        <is>
          <t>finance@omnichat.ai</t>
        </is>
      </c>
      <c r="Q439" t="inlineStr">
        <is>
          <t>02-77518060</t>
        </is>
      </c>
      <c r="R439" t="inlineStr"/>
      <c r="S439" t="inlineStr">
        <is>
          <t>未收款</t>
        </is>
      </c>
      <c r="T439" t="inlineStr">
        <is>
          <t>第八期
來源：訂閱型發票及收款紀錄 第 467 列</t>
        </is>
      </c>
      <c r="U439" t="inlineStr">
        <is>
          <t>每月5號開立，發票月份次月12日起算60日內完成繳款</t>
        </is>
      </c>
      <c r="V439" t="inlineStr">
        <is>
          <t>2026-05-18</t>
        </is>
      </c>
    </row>
    <row r="440">
      <c r="A440" t="inlineStr">
        <is>
          <t>inv_4f9d6ba7f6b4</t>
        </is>
      </c>
      <c r="B440" t="inlineStr">
        <is>
          <t>Peggy</t>
        </is>
      </c>
      <c r="C440" t="inlineStr"/>
      <c r="D440" t="inlineStr"/>
      <c r="E440" t="inlineStr">
        <is>
          <t>2026-12-01 00:00:00</t>
        </is>
      </c>
      <c r="F440" t="inlineStr"/>
      <c r="G440" t="inlineStr"/>
      <c r="H440" t="inlineStr">
        <is>
          <t>cus_8520e79afc4d</t>
        </is>
      </c>
      <c r="I440" t="inlineStr">
        <is>
          <t>全通路科技有限公司</t>
        </is>
      </c>
      <c r="J440" t="inlineStr">
        <is>
          <t>82910724</t>
        </is>
      </c>
      <c r="K440" t="n">
        <v>20000</v>
      </c>
      <c r="L440" t="n">
        <v>21000</v>
      </c>
      <c r="M440" t="inlineStr">
        <is>
          <t>API串接服務</t>
        </is>
      </c>
      <c r="N440" t="inlineStr">
        <is>
          <t>Kevin Lin 林裕晟</t>
        </is>
      </c>
      <c r="O440" t="inlineStr">
        <is>
          <t>112 台北市中山區中山北路二段96號14樓1412室</t>
        </is>
      </c>
      <c r="P440" t="inlineStr">
        <is>
          <t>finance@omnichat.ai</t>
        </is>
      </c>
      <c r="Q440" t="inlineStr">
        <is>
          <t>02-77518060</t>
        </is>
      </c>
      <c r="R440" t="inlineStr"/>
      <c r="S440" t="inlineStr">
        <is>
          <t>未收款</t>
        </is>
      </c>
      <c r="T440" t="inlineStr">
        <is>
          <t>第九期
來源：訂閱型發票及收款紀錄 第 468 列</t>
        </is>
      </c>
      <c r="U440" t="inlineStr">
        <is>
          <t>每月5號開立，發票月份次月12日起算60日內完成繳款</t>
        </is>
      </c>
      <c r="V440" t="inlineStr">
        <is>
          <t>2026-05-18</t>
        </is>
      </c>
    </row>
    <row r="441">
      <c r="A441" t="inlineStr">
        <is>
          <t>inv_0c60d0c8e1c3</t>
        </is>
      </c>
      <c r="B441" t="inlineStr">
        <is>
          <t>Peggy</t>
        </is>
      </c>
      <c r="C441" t="inlineStr"/>
      <c r="D441" t="inlineStr"/>
      <c r="E441" t="inlineStr">
        <is>
          <t>2027-01-01 00:00:00</t>
        </is>
      </c>
      <c r="F441" t="inlineStr"/>
      <c r="G441" t="inlineStr"/>
      <c r="H441" t="inlineStr">
        <is>
          <t>cus_8520e79afc4d</t>
        </is>
      </c>
      <c r="I441" t="inlineStr">
        <is>
          <t>全通路科技有限公司</t>
        </is>
      </c>
      <c r="J441" t="inlineStr">
        <is>
          <t>82910724</t>
        </is>
      </c>
      <c r="K441" t="n">
        <v>20000</v>
      </c>
      <c r="L441" t="n">
        <v>21000</v>
      </c>
      <c r="M441" t="inlineStr">
        <is>
          <t>API串接服務</t>
        </is>
      </c>
      <c r="N441" t="inlineStr">
        <is>
          <t>Kevin Lin 林裕晟</t>
        </is>
      </c>
      <c r="O441" t="inlineStr">
        <is>
          <t>113 台北市中山區中山北路二段96號14樓1412室</t>
        </is>
      </c>
      <c r="P441" t="inlineStr">
        <is>
          <t>finance@omnichat.ai</t>
        </is>
      </c>
      <c r="Q441" t="inlineStr">
        <is>
          <t>02-77518060</t>
        </is>
      </c>
      <c r="R441" t="inlineStr"/>
      <c r="S441" t="inlineStr">
        <is>
          <t>未收款</t>
        </is>
      </c>
      <c r="T441" t="inlineStr">
        <is>
          <t>第十期
來源：訂閱型發票及收款紀錄 第 469 列</t>
        </is>
      </c>
      <c r="U441" t="inlineStr">
        <is>
          <t>每月5號開立，發票月份次月12日起算60日內完成繳款</t>
        </is>
      </c>
      <c r="V441" t="inlineStr">
        <is>
          <t>2026-05-18</t>
        </is>
      </c>
    </row>
    <row r="442">
      <c r="A442" t="inlineStr">
        <is>
          <t>inv_d3b996fe879a</t>
        </is>
      </c>
      <c r="B442" t="inlineStr">
        <is>
          <t>Peggy</t>
        </is>
      </c>
      <c r="C442" t="inlineStr"/>
      <c r="D442" t="inlineStr"/>
      <c r="E442" t="inlineStr">
        <is>
          <t>2027-02-01 00:00:00</t>
        </is>
      </c>
      <c r="F442" t="inlineStr"/>
      <c r="G442" t="inlineStr"/>
      <c r="H442" t="inlineStr">
        <is>
          <t>cus_8520e79afc4d</t>
        </is>
      </c>
      <c r="I442" t="inlineStr">
        <is>
          <t>全通路科技有限公司</t>
        </is>
      </c>
      <c r="J442" t="inlineStr">
        <is>
          <t>82910724</t>
        </is>
      </c>
      <c r="K442" t="n">
        <v>20000</v>
      </c>
      <c r="L442" t="n">
        <v>21000</v>
      </c>
      <c r="M442" t="inlineStr">
        <is>
          <t>API串接服務</t>
        </is>
      </c>
      <c r="N442" t="inlineStr">
        <is>
          <t>Kevin Lin 林裕晟</t>
        </is>
      </c>
      <c r="O442" t="inlineStr">
        <is>
          <t>114 台北市中山區中山北路二段96號14樓1412室</t>
        </is>
      </c>
      <c r="P442" t="inlineStr">
        <is>
          <t>finance@omnichat.ai</t>
        </is>
      </c>
      <c r="Q442" t="inlineStr">
        <is>
          <t>02-77518060</t>
        </is>
      </c>
      <c r="R442" t="inlineStr"/>
      <c r="S442" t="inlineStr">
        <is>
          <t>未收款</t>
        </is>
      </c>
      <c r="T442" t="inlineStr">
        <is>
          <t>第十一期
來源：訂閱型發票及收款紀錄 第 470 列</t>
        </is>
      </c>
      <c r="U442" t="inlineStr">
        <is>
          <t>每月5號開立，發票月份次月12日起算60日內完成繳款</t>
        </is>
      </c>
      <c r="V442" t="inlineStr">
        <is>
          <t>2026-05-18</t>
        </is>
      </c>
    </row>
    <row r="443">
      <c r="A443" t="inlineStr">
        <is>
          <t>inv_6401fb8e91b3</t>
        </is>
      </c>
      <c r="B443" t="inlineStr">
        <is>
          <t>Peggy</t>
        </is>
      </c>
      <c r="C443" t="inlineStr"/>
      <c r="D443" t="inlineStr"/>
      <c r="E443" t="inlineStr">
        <is>
          <t>2027-03-01 00:00:00</t>
        </is>
      </c>
      <c r="F443" t="inlineStr"/>
      <c r="G443" t="inlineStr"/>
      <c r="H443" t="inlineStr">
        <is>
          <t>cus_8520e79afc4d</t>
        </is>
      </c>
      <c r="I443" t="inlineStr">
        <is>
          <t>全通路科技有限公司</t>
        </is>
      </c>
      <c r="J443" t="inlineStr">
        <is>
          <t>82910724</t>
        </is>
      </c>
      <c r="K443" t="n">
        <v>20000</v>
      </c>
      <c r="L443" t="n">
        <v>21000</v>
      </c>
      <c r="M443" t="inlineStr">
        <is>
          <t>API串接服務</t>
        </is>
      </c>
      <c r="N443" t="inlineStr">
        <is>
          <t>Kevin Lin 林裕晟</t>
        </is>
      </c>
      <c r="O443" t="inlineStr">
        <is>
          <t>115 台北市中山區中山北路二段96號14樓1412室</t>
        </is>
      </c>
      <c r="P443" t="inlineStr">
        <is>
          <t>finance@omnichat.ai</t>
        </is>
      </c>
      <c r="Q443" t="inlineStr">
        <is>
          <t>02-77518060</t>
        </is>
      </c>
      <c r="R443" t="inlineStr"/>
      <c r="S443" t="inlineStr">
        <is>
          <t>未收款</t>
        </is>
      </c>
      <c r="T443" t="inlineStr">
        <is>
          <t>第十二期
來源：訂閱型發票及收款紀錄 第 471 列</t>
        </is>
      </c>
      <c r="U443" t="inlineStr">
        <is>
          <t>每月5號開立，發票月份次月12日起算60日內完成繳款</t>
        </is>
      </c>
      <c r="V443" t="inlineStr">
        <is>
          <t>2026-05-18</t>
        </is>
      </c>
    </row>
    <row r="444">
      <c r="A444" t="inlineStr">
        <is>
          <t>inv_935fb86a2ca6</t>
        </is>
      </c>
      <c r="B444" t="inlineStr">
        <is>
          <t>Peggy</t>
        </is>
      </c>
      <c r="C444" t="inlineStr"/>
      <c r="D444" t="inlineStr">
        <is>
          <t>3058813</t>
        </is>
      </c>
      <c r="E444" t="inlineStr">
        <is>
          <t>2026-05-01 00:00:00</t>
        </is>
      </c>
      <c r="F444" t="inlineStr">
        <is>
          <t>2026-05-05</t>
        </is>
      </c>
      <c r="G444" t="inlineStr"/>
      <c r="H444" t="inlineStr">
        <is>
          <t>cus_3016f444cfe3</t>
        </is>
      </c>
      <c r="I444" t="inlineStr">
        <is>
          <t>狄卡科技股份有限公司</t>
        </is>
      </c>
      <c r="J444" t="inlineStr">
        <is>
          <t>42656367</t>
        </is>
      </c>
      <c r="K444" t="n">
        <v>30000</v>
      </c>
      <c r="L444" t="n">
        <v>31500</v>
      </c>
      <c r="M444" t="inlineStr">
        <is>
          <t>廣告受眾平台3萬月訂閱</t>
        </is>
      </c>
      <c r="N444" t="inlineStr">
        <is>
          <t>黃彥齊 Charlie Huang</t>
        </is>
      </c>
      <c r="O444" t="inlineStr">
        <is>
          <t>臺北市大安區光復南路102號14樓</t>
        </is>
      </c>
      <c r="P444" t="inlineStr">
        <is>
          <t>charlie@dcard.cc</t>
        </is>
      </c>
      <c r="Q444" t="inlineStr">
        <is>
          <t>0989-207-755</t>
        </is>
      </c>
      <c r="R444" t="inlineStr"/>
      <c r="S444" t="inlineStr">
        <is>
          <t>未收款</t>
        </is>
      </c>
      <c r="T444" t="inlineStr">
        <is>
          <t>第一期
來源：訂閱型發票及收款紀錄 第 473 列</t>
        </is>
      </c>
      <c r="U444" t="inlineStr">
        <is>
          <t>月結30天/每月5號開立</t>
        </is>
      </c>
      <c r="V444" t="inlineStr">
        <is>
          <t>2026-05-18</t>
        </is>
      </c>
    </row>
    <row r="445">
      <c r="A445" t="inlineStr">
        <is>
          <t>inv_dcebe3e5c9e4</t>
        </is>
      </c>
      <c r="B445" t="inlineStr">
        <is>
          <t>Peggy</t>
        </is>
      </c>
      <c r="C445" t="inlineStr"/>
      <c r="D445" t="inlineStr"/>
      <c r="E445" t="inlineStr">
        <is>
          <t>2026-06-01 00:00:00</t>
        </is>
      </c>
      <c r="F445" t="inlineStr"/>
      <c r="G445" t="inlineStr"/>
      <c r="H445" t="inlineStr">
        <is>
          <t>cus_3016f444cfe3</t>
        </is>
      </c>
      <c r="I445" t="inlineStr">
        <is>
          <t>狄卡科技股份有限公司</t>
        </is>
      </c>
      <c r="J445" t="inlineStr">
        <is>
          <t>42656367</t>
        </is>
      </c>
      <c r="K445" t="n">
        <v>30000</v>
      </c>
      <c r="L445" t="n">
        <v>31500</v>
      </c>
      <c r="M445" t="inlineStr">
        <is>
          <t>廣告受眾平台3萬月訂閱</t>
        </is>
      </c>
      <c r="N445" t="inlineStr">
        <is>
          <t>黃彥齊 Charlie Huang</t>
        </is>
      </c>
      <c r="O445" t="inlineStr">
        <is>
          <t>臺北市大安區光復南路102號14樓</t>
        </is>
      </c>
      <c r="P445" t="inlineStr">
        <is>
          <t>charlie@dcard.cc</t>
        </is>
      </c>
      <c r="Q445" t="inlineStr">
        <is>
          <t>0989-207-755</t>
        </is>
      </c>
      <c r="R445" t="inlineStr"/>
      <c r="S445" t="inlineStr">
        <is>
          <t>未收款</t>
        </is>
      </c>
      <c r="T445" t="inlineStr">
        <is>
          <t>第二期
來源：訂閱型發票及收款紀錄 第 474 列</t>
        </is>
      </c>
      <c r="U445" t="inlineStr">
        <is>
          <t>月結30天/每月5號開立</t>
        </is>
      </c>
      <c r="V445" t="inlineStr">
        <is>
          <t>2026-05-18</t>
        </is>
      </c>
    </row>
    <row r="446">
      <c r="A446" t="inlineStr">
        <is>
          <t>inv_d3da56b11f6c</t>
        </is>
      </c>
      <c r="B446" t="inlineStr">
        <is>
          <t>Peggy</t>
        </is>
      </c>
      <c r="C446" t="inlineStr"/>
      <c r="D446" t="inlineStr"/>
      <c r="E446" t="inlineStr">
        <is>
          <t>2026-07-01 00:00:00</t>
        </is>
      </c>
      <c r="F446" t="inlineStr"/>
      <c r="G446" t="inlineStr"/>
      <c r="H446" t="inlineStr">
        <is>
          <t>cus_3016f444cfe3</t>
        </is>
      </c>
      <c r="I446" t="inlineStr">
        <is>
          <t>狄卡科技股份有限公司</t>
        </is>
      </c>
      <c r="J446" t="inlineStr">
        <is>
          <t>42656367</t>
        </is>
      </c>
      <c r="K446" t="n">
        <v>30000</v>
      </c>
      <c r="L446" t="n">
        <v>31500</v>
      </c>
      <c r="M446" t="inlineStr">
        <is>
          <t>廣告受眾平台3萬月訂閱</t>
        </is>
      </c>
      <c r="N446" t="inlineStr">
        <is>
          <t>黃彥齊 Charlie Huang</t>
        </is>
      </c>
      <c r="O446" t="inlineStr">
        <is>
          <t>臺北市大安區光復南路102號14樓</t>
        </is>
      </c>
      <c r="P446" t="inlineStr">
        <is>
          <t>charlie@dcard.cc</t>
        </is>
      </c>
      <c r="Q446" t="inlineStr">
        <is>
          <t>0989-207-755</t>
        </is>
      </c>
      <c r="R446" t="inlineStr"/>
      <c r="S446" t="inlineStr">
        <is>
          <t>未收款</t>
        </is>
      </c>
      <c r="T446" t="inlineStr">
        <is>
          <t>第三期
來源：訂閱型發票及收款紀錄 第 475 列</t>
        </is>
      </c>
      <c r="U446" t="inlineStr">
        <is>
          <t>月結30天/每月5號開立</t>
        </is>
      </c>
      <c r="V446" t="inlineStr">
        <is>
          <t>2026-05-18</t>
        </is>
      </c>
    </row>
    <row r="447">
      <c r="A447" t="inlineStr">
        <is>
          <t>inv_9b251a60c863</t>
        </is>
      </c>
      <c r="B447" t="inlineStr">
        <is>
          <t>Peggy</t>
        </is>
      </c>
      <c r="C447" t="inlineStr"/>
      <c r="D447" t="inlineStr"/>
      <c r="E447" t="inlineStr">
        <is>
          <t>2026-08-01 00:00:00</t>
        </is>
      </c>
      <c r="F447" t="inlineStr"/>
      <c r="G447" t="inlineStr"/>
      <c r="H447" t="inlineStr">
        <is>
          <t>cus_3016f444cfe3</t>
        </is>
      </c>
      <c r="I447" t="inlineStr">
        <is>
          <t>狄卡科技股份有限公司</t>
        </is>
      </c>
      <c r="J447" t="inlineStr">
        <is>
          <t>42656367</t>
        </is>
      </c>
      <c r="K447" t="n">
        <v>30000</v>
      </c>
      <c r="L447" t="n">
        <v>31500</v>
      </c>
      <c r="M447" t="inlineStr">
        <is>
          <t>廣告受眾平台3萬月訂閱</t>
        </is>
      </c>
      <c r="N447" t="inlineStr">
        <is>
          <t>黃彥齊 Charlie Huang</t>
        </is>
      </c>
      <c r="O447" t="inlineStr">
        <is>
          <t>臺北市大安區光復南路102號14樓</t>
        </is>
      </c>
      <c r="P447" t="inlineStr">
        <is>
          <t>charlie@dcard.cc</t>
        </is>
      </c>
      <c r="Q447" t="inlineStr">
        <is>
          <t>0989-207-755</t>
        </is>
      </c>
      <c r="R447" t="inlineStr"/>
      <c r="S447" t="inlineStr">
        <is>
          <t>未收款</t>
        </is>
      </c>
      <c r="T447" t="inlineStr">
        <is>
          <t>第四期
來源：訂閱型發票及收款紀錄 第 476 列</t>
        </is>
      </c>
      <c r="U447" t="inlineStr">
        <is>
          <t>月結30天/每月5號開立</t>
        </is>
      </c>
      <c r="V447" t="inlineStr">
        <is>
          <t>2026-05-18</t>
        </is>
      </c>
    </row>
    <row r="448">
      <c r="A448" t="inlineStr">
        <is>
          <t>inv_970d4997cc7a</t>
        </is>
      </c>
      <c r="B448" t="inlineStr">
        <is>
          <t>Peggy</t>
        </is>
      </c>
      <c r="C448" t="inlineStr"/>
      <c r="D448" t="inlineStr"/>
      <c r="E448" t="inlineStr">
        <is>
          <t>2026-09-01 00:00:00</t>
        </is>
      </c>
      <c r="F448" t="inlineStr"/>
      <c r="G448" t="inlineStr"/>
      <c r="H448" t="inlineStr">
        <is>
          <t>cus_3016f444cfe3</t>
        </is>
      </c>
      <c r="I448" t="inlineStr">
        <is>
          <t>狄卡科技股份有限公司</t>
        </is>
      </c>
      <c r="J448" t="inlineStr">
        <is>
          <t>42656367</t>
        </is>
      </c>
      <c r="K448" t="n">
        <v>30000</v>
      </c>
      <c r="L448" t="n">
        <v>31500</v>
      </c>
      <c r="M448" t="inlineStr">
        <is>
          <t>廣告受眾平台3萬月訂閱</t>
        </is>
      </c>
      <c r="N448" t="inlineStr">
        <is>
          <t>黃彥齊 Charlie Huang</t>
        </is>
      </c>
      <c r="O448" t="inlineStr">
        <is>
          <t>臺北市大安區光復南路102號14樓</t>
        </is>
      </c>
      <c r="P448" t="inlineStr">
        <is>
          <t>charlie@dcard.cc</t>
        </is>
      </c>
      <c r="Q448" t="inlineStr">
        <is>
          <t>0989-207-755</t>
        </is>
      </c>
      <c r="R448" t="inlineStr"/>
      <c r="S448" t="inlineStr">
        <is>
          <t>未收款</t>
        </is>
      </c>
      <c r="T448" t="inlineStr">
        <is>
          <t>第五期
來源：訂閱型發票及收款紀錄 第 477 列</t>
        </is>
      </c>
      <c r="U448" t="inlineStr">
        <is>
          <t>月結30天/每月5號開立</t>
        </is>
      </c>
      <c r="V448" t="inlineStr">
        <is>
          <t>2026-05-18</t>
        </is>
      </c>
    </row>
    <row r="449">
      <c r="A449" t="inlineStr">
        <is>
          <t>inv_646f645b1398</t>
        </is>
      </c>
      <c r="B449" t="inlineStr">
        <is>
          <t>Peggy</t>
        </is>
      </c>
      <c r="C449" t="inlineStr"/>
      <c r="D449" t="inlineStr"/>
      <c r="E449" t="inlineStr">
        <is>
          <t>2026-10-01 00:00:00</t>
        </is>
      </c>
      <c r="F449" t="inlineStr"/>
      <c r="G449" t="inlineStr"/>
      <c r="H449" t="inlineStr">
        <is>
          <t>cus_3016f444cfe3</t>
        </is>
      </c>
      <c r="I449" t="inlineStr">
        <is>
          <t>狄卡科技股份有限公司</t>
        </is>
      </c>
      <c r="J449" t="inlineStr">
        <is>
          <t>42656367</t>
        </is>
      </c>
      <c r="K449" t="n">
        <v>30000</v>
      </c>
      <c r="L449" t="n">
        <v>31500</v>
      </c>
      <c r="M449" t="inlineStr">
        <is>
          <t>廣告受眾平台3萬月訂閱</t>
        </is>
      </c>
      <c r="N449" t="inlineStr">
        <is>
          <t>黃彥齊 Charlie Huang</t>
        </is>
      </c>
      <c r="O449" t="inlineStr">
        <is>
          <t>臺北市大安區光復南路102號14樓</t>
        </is>
      </c>
      <c r="P449" t="inlineStr">
        <is>
          <t>charlie@dcard.cc</t>
        </is>
      </c>
      <c r="Q449" t="inlineStr">
        <is>
          <t>0989-207-755</t>
        </is>
      </c>
      <c r="R449" t="inlineStr"/>
      <c r="S449" t="inlineStr">
        <is>
          <t>未收款</t>
        </is>
      </c>
      <c r="T449" t="inlineStr">
        <is>
          <t>第六期
來源：訂閱型發票及收款紀錄 第 478 列</t>
        </is>
      </c>
      <c r="U449" t="inlineStr">
        <is>
          <t>月結30天/每月5號開立</t>
        </is>
      </c>
      <c r="V449" t="inlineStr">
        <is>
          <t>2026-05-18</t>
        </is>
      </c>
    </row>
    <row r="450">
      <c r="A450" t="inlineStr">
        <is>
          <t>inv_392bcd2f5216</t>
        </is>
      </c>
      <c r="B450" t="inlineStr">
        <is>
          <t>Peggy</t>
        </is>
      </c>
      <c r="C450" t="inlineStr"/>
      <c r="D450" t="inlineStr"/>
      <c r="E450" t="inlineStr">
        <is>
          <t>2026-11-01 00:00:00</t>
        </is>
      </c>
      <c r="F450" t="inlineStr"/>
      <c r="G450" t="inlineStr"/>
      <c r="H450" t="inlineStr">
        <is>
          <t>cus_3016f444cfe3</t>
        </is>
      </c>
      <c r="I450" t="inlineStr">
        <is>
          <t>狄卡科技股份有限公司</t>
        </is>
      </c>
      <c r="J450" t="inlineStr">
        <is>
          <t>42656367</t>
        </is>
      </c>
      <c r="K450" t="n">
        <v>30000</v>
      </c>
      <c r="L450" t="n">
        <v>31500</v>
      </c>
      <c r="M450" t="inlineStr">
        <is>
          <t>廣告受眾平台3萬月訂閱</t>
        </is>
      </c>
      <c r="N450" t="inlineStr">
        <is>
          <t>黃彥齊 Charlie Huang</t>
        </is>
      </c>
      <c r="O450" t="inlineStr">
        <is>
          <t>臺北市大安區光復南路102號14樓</t>
        </is>
      </c>
      <c r="P450" t="inlineStr">
        <is>
          <t>charlie@dcard.cc</t>
        </is>
      </c>
      <c r="Q450" t="inlineStr">
        <is>
          <t>0989-207-755</t>
        </is>
      </c>
      <c r="R450" t="inlineStr"/>
      <c r="S450" t="inlineStr">
        <is>
          <t>未收款</t>
        </is>
      </c>
      <c r="T450" t="inlineStr">
        <is>
          <t>第七期
來源：訂閱型發票及收款紀錄 第 479 列</t>
        </is>
      </c>
      <c r="U450" t="inlineStr">
        <is>
          <t>月結30天/每月5號開立</t>
        </is>
      </c>
      <c r="V450" t="inlineStr">
        <is>
          <t>2026-05-18</t>
        </is>
      </c>
    </row>
    <row r="451">
      <c r="A451" t="inlineStr">
        <is>
          <t>inv_993b8441770f</t>
        </is>
      </c>
      <c r="B451" t="inlineStr">
        <is>
          <t>Peggy</t>
        </is>
      </c>
      <c r="C451" t="inlineStr"/>
      <c r="D451" t="inlineStr"/>
      <c r="E451" t="inlineStr">
        <is>
          <t>2026-12-01 00:00:00</t>
        </is>
      </c>
      <c r="F451" t="inlineStr"/>
      <c r="G451" t="inlineStr"/>
      <c r="H451" t="inlineStr">
        <is>
          <t>cus_3016f444cfe3</t>
        </is>
      </c>
      <c r="I451" t="inlineStr">
        <is>
          <t>狄卡科技股份有限公司</t>
        </is>
      </c>
      <c r="J451" t="inlineStr">
        <is>
          <t>42656367</t>
        </is>
      </c>
      <c r="K451" t="n">
        <v>30000</v>
      </c>
      <c r="L451" t="n">
        <v>31500</v>
      </c>
      <c r="M451" t="inlineStr">
        <is>
          <t>廣告受眾平台3萬月訂閱</t>
        </is>
      </c>
      <c r="N451" t="inlineStr">
        <is>
          <t>黃彥齊 Charlie Huang</t>
        </is>
      </c>
      <c r="O451" t="inlineStr">
        <is>
          <t>臺北市大安區光復南路102號14樓</t>
        </is>
      </c>
      <c r="P451" t="inlineStr">
        <is>
          <t>charlie@dcard.cc</t>
        </is>
      </c>
      <c r="Q451" t="inlineStr">
        <is>
          <t>0989-207-755</t>
        </is>
      </c>
      <c r="R451" t="inlineStr"/>
      <c r="S451" t="inlineStr">
        <is>
          <t>未收款</t>
        </is>
      </c>
      <c r="T451" t="inlineStr">
        <is>
          <t>第八期
來源：訂閱型發票及收款紀錄 第 480 列</t>
        </is>
      </c>
      <c r="U451" t="inlineStr">
        <is>
          <t>月結30天/每月5號開立</t>
        </is>
      </c>
      <c r="V451" t="inlineStr">
        <is>
          <t>2026-05-18</t>
        </is>
      </c>
    </row>
    <row r="452">
      <c r="A452" t="inlineStr">
        <is>
          <t>inv_939adb8b327a</t>
        </is>
      </c>
      <c r="B452" t="inlineStr">
        <is>
          <t>Peggy</t>
        </is>
      </c>
      <c r="C452" t="inlineStr"/>
      <c r="D452" t="inlineStr"/>
      <c r="E452" t="inlineStr">
        <is>
          <t>2027-01-01 00:00:00</t>
        </is>
      </c>
      <c r="F452" t="inlineStr"/>
      <c r="G452" t="inlineStr"/>
      <c r="H452" t="inlineStr">
        <is>
          <t>cus_3016f444cfe3</t>
        </is>
      </c>
      <c r="I452" t="inlineStr">
        <is>
          <t>狄卡科技股份有限公司</t>
        </is>
      </c>
      <c r="J452" t="inlineStr">
        <is>
          <t>42656367</t>
        </is>
      </c>
      <c r="K452" t="n">
        <v>30000</v>
      </c>
      <c r="L452" t="n">
        <v>31500</v>
      </c>
      <c r="M452" t="inlineStr">
        <is>
          <t>廣告受眾平台3萬月訂閱</t>
        </is>
      </c>
      <c r="N452" t="inlineStr">
        <is>
          <t>黃彥齊 Charlie Huang</t>
        </is>
      </c>
      <c r="O452" t="inlineStr">
        <is>
          <t>臺北市大安區光復南路102號14樓</t>
        </is>
      </c>
      <c r="P452" t="inlineStr">
        <is>
          <t>charlie@dcard.cc</t>
        </is>
      </c>
      <c r="Q452" t="inlineStr">
        <is>
          <t>0989-207-755</t>
        </is>
      </c>
      <c r="R452" t="inlineStr"/>
      <c r="S452" t="inlineStr">
        <is>
          <t>未收款</t>
        </is>
      </c>
      <c r="T452" t="inlineStr">
        <is>
          <t>第九期
來源：訂閱型發票及收款紀錄 第 481 列</t>
        </is>
      </c>
      <c r="U452" t="inlineStr">
        <is>
          <t>月結30天/每月5號開立</t>
        </is>
      </c>
      <c r="V452" t="inlineStr">
        <is>
          <t>2026-05-18</t>
        </is>
      </c>
    </row>
    <row r="453">
      <c r="A453" t="inlineStr">
        <is>
          <t>inv_b51ad97e85e1</t>
        </is>
      </c>
      <c r="B453" t="inlineStr">
        <is>
          <t>Peggy</t>
        </is>
      </c>
      <c r="C453" t="inlineStr"/>
      <c r="D453" t="inlineStr"/>
      <c r="E453" t="inlineStr">
        <is>
          <t>2027-02-01 00:00:00</t>
        </is>
      </c>
      <c r="F453" t="inlineStr"/>
      <c r="G453" t="inlineStr"/>
      <c r="H453" t="inlineStr">
        <is>
          <t>cus_3016f444cfe3</t>
        </is>
      </c>
      <c r="I453" t="inlineStr">
        <is>
          <t>狄卡科技股份有限公司</t>
        </is>
      </c>
      <c r="J453" t="inlineStr">
        <is>
          <t>42656367</t>
        </is>
      </c>
      <c r="K453" t="n">
        <v>30000</v>
      </c>
      <c r="L453" t="n">
        <v>31500</v>
      </c>
      <c r="M453" t="inlineStr">
        <is>
          <t>廣告受眾平台3萬月訂閱</t>
        </is>
      </c>
      <c r="N453" t="inlineStr">
        <is>
          <t>黃彥齊 Charlie Huang</t>
        </is>
      </c>
      <c r="O453" t="inlineStr">
        <is>
          <t>臺北市大安區光復南路102號14樓</t>
        </is>
      </c>
      <c r="P453" t="inlineStr">
        <is>
          <t>charlie@dcard.cc</t>
        </is>
      </c>
      <c r="Q453" t="inlineStr">
        <is>
          <t>0989-207-755</t>
        </is>
      </c>
      <c r="R453" t="inlineStr"/>
      <c r="S453" t="inlineStr">
        <is>
          <t>未收款</t>
        </is>
      </c>
      <c r="T453" t="inlineStr">
        <is>
          <t>第十期
來源：訂閱型發票及收款紀錄 第 482 列</t>
        </is>
      </c>
      <c r="U453" t="inlineStr">
        <is>
          <t>月結30天/每月5號開立</t>
        </is>
      </c>
      <c r="V453" t="inlineStr">
        <is>
          <t>2026-05-18</t>
        </is>
      </c>
    </row>
    <row r="454">
      <c r="A454" t="inlineStr">
        <is>
          <t>inv_3aea0d1d8a6b</t>
        </is>
      </c>
      <c r="B454" t="inlineStr">
        <is>
          <t>Peggy</t>
        </is>
      </c>
      <c r="C454" t="inlineStr"/>
      <c r="D454" t="inlineStr"/>
      <c r="E454" t="inlineStr">
        <is>
          <t>2027-03-01 00:00:00</t>
        </is>
      </c>
      <c r="F454" t="inlineStr"/>
      <c r="G454" t="inlineStr"/>
      <c r="H454" t="inlineStr">
        <is>
          <t>cus_3016f444cfe3</t>
        </is>
      </c>
      <c r="I454" t="inlineStr">
        <is>
          <t>狄卡科技股份有限公司</t>
        </is>
      </c>
      <c r="J454" t="inlineStr">
        <is>
          <t>42656367</t>
        </is>
      </c>
      <c r="K454" t="n">
        <v>30000</v>
      </c>
      <c r="L454" t="n">
        <v>31500</v>
      </c>
      <c r="M454" t="inlineStr">
        <is>
          <t>廣告受眾平台3萬月訂閱</t>
        </is>
      </c>
      <c r="N454" t="inlineStr">
        <is>
          <t>黃彥齊 Charlie Huang</t>
        </is>
      </c>
      <c r="O454" t="inlineStr">
        <is>
          <t>臺北市大安區光復南路102號14樓</t>
        </is>
      </c>
      <c r="P454" t="inlineStr">
        <is>
          <t>charlie@dcard.cc</t>
        </is>
      </c>
      <c r="Q454" t="inlineStr">
        <is>
          <t>0989-207-755</t>
        </is>
      </c>
      <c r="R454" t="inlineStr"/>
      <c r="S454" t="inlineStr">
        <is>
          <t>未收款</t>
        </is>
      </c>
      <c r="T454" t="inlineStr">
        <is>
          <t>第十一期
來源：訂閱型發票及收款紀錄 第 483 列</t>
        </is>
      </c>
      <c r="U454" t="inlineStr">
        <is>
          <t>月結30天/每月5號開立</t>
        </is>
      </c>
      <c r="V454" t="inlineStr">
        <is>
          <t>2026-05-18</t>
        </is>
      </c>
    </row>
    <row r="455">
      <c r="A455" t="inlineStr">
        <is>
          <t>inv_1c9212cb6198</t>
        </is>
      </c>
      <c r="B455" t="inlineStr">
        <is>
          <t>Peggy</t>
        </is>
      </c>
      <c r="C455" t="inlineStr"/>
      <c r="D455" t="inlineStr"/>
      <c r="E455" t="inlineStr">
        <is>
          <t>2027-04-01 00:00:00</t>
        </is>
      </c>
      <c r="F455" t="inlineStr"/>
      <c r="G455" t="inlineStr"/>
      <c r="H455" t="inlineStr">
        <is>
          <t>cus_3016f444cfe3</t>
        </is>
      </c>
      <c r="I455" t="inlineStr">
        <is>
          <t>狄卡科技股份有限公司</t>
        </is>
      </c>
      <c r="J455" t="inlineStr">
        <is>
          <t>42656367</t>
        </is>
      </c>
      <c r="K455" t="n">
        <v>30000</v>
      </c>
      <c r="L455" t="n">
        <v>31500</v>
      </c>
      <c r="M455" t="inlineStr">
        <is>
          <t>廣告受眾平台3萬月訂閱</t>
        </is>
      </c>
      <c r="N455" t="inlineStr">
        <is>
          <t>黃彥齊 Charlie Huang</t>
        </is>
      </c>
      <c r="O455" t="inlineStr">
        <is>
          <t>臺北市大安區光復南路102號14樓</t>
        </is>
      </c>
      <c r="P455" t="inlineStr">
        <is>
          <t>charlie@dcard.cc</t>
        </is>
      </c>
      <c r="Q455" t="inlineStr">
        <is>
          <t>0989-207-755</t>
        </is>
      </c>
      <c r="R455" t="inlineStr"/>
      <c r="S455" t="inlineStr">
        <is>
          <t>未收款</t>
        </is>
      </c>
      <c r="T455" t="inlineStr">
        <is>
          <t>第十二期
來源：訂閱型發票及收款紀錄 第 484 列</t>
        </is>
      </c>
      <c r="U455" t="inlineStr">
        <is>
          <t>月結30天/每月5號開立</t>
        </is>
      </c>
      <c r="V455" t="inlineStr">
        <is>
          <t>2026-05-18</t>
        </is>
      </c>
    </row>
    <row r="456">
      <c r="A456" t="inlineStr">
        <is>
          <t>inv_aac146ee6ded</t>
        </is>
      </c>
      <c r="B456" t="inlineStr">
        <is>
          <t>Cobi</t>
        </is>
      </c>
      <c r="C456" t="inlineStr"/>
      <c r="D456" t="inlineStr">
        <is>
          <t>2533821</t>
        </is>
      </c>
      <c r="E456" t="inlineStr">
        <is>
          <t>2025-02-01 00:00:00</t>
        </is>
      </c>
      <c r="F456" t="inlineStr">
        <is>
          <t>2025-02-14</t>
        </is>
      </c>
      <c r="G456" t="inlineStr">
        <is>
          <t>JY43863217</t>
        </is>
      </c>
      <c r="H456" t="inlineStr">
        <is>
          <t>cus_37c834003b7b</t>
        </is>
      </c>
      <c r="I456" t="inlineStr">
        <is>
          <t>台灣先進智慧股份有限公司</t>
        </is>
      </c>
      <c r="J456" t="inlineStr">
        <is>
          <t>82887701</t>
        </is>
      </c>
      <c r="K456" t="n">
        <v>160000</v>
      </c>
      <c r="L456" t="n">
        <v>168000</v>
      </c>
      <c r="M456" t="inlineStr">
        <is>
          <t>數據收益</t>
        </is>
      </c>
      <c r="N456" t="inlineStr"/>
      <c r="O456" t="inlineStr">
        <is>
          <t>台北市中正區羅斯福路二段100號25樓</t>
        </is>
      </c>
      <c r="P456" t="inlineStr">
        <is>
          <t>joseph.lin@amiko.net</t>
        </is>
      </c>
      <c r="Q456" t="inlineStr">
        <is>
          <t>(02)66135666</t>
        </is>
      </c>
      <c r="R456" t="inlineStr"/>
      <c r="S456" t="inlineStr">
        <is>
          <t>未收款</t>
        </is>
      </c>
      <c r="T456" t="inlineStr">
        <is>
          <t>192萬年約,2025第1期(共12期)
來源：訂閱型發票及收款紀錄 第 486 列</t>
        </is>
      </c>
      <c r="U456" t="inlineStr">
        <is>
          <t>收到發票後45天</t>
        </is>
      </c>
      <c r="V456" t="inlineStr">
        <is>
          <t>2026-05-18</t>
        </is>
      </c>
    </row>
    <row r="457">
      <c r="A457" t="inlineStr">
        <is>
          <t>inv_3f3b5ae1b7ab</t>
        </is>
      </c>
      <c r="B457" t="inlineStr">
        <is>
          <t>許瀞鍶</t>
        </is>
      </c>
      <c r="C457" t="inlineStr"/>
      <c r="D457" t="inlineStr">
        <is>
          <t>2565610</t>
        </is>
      </c>
      <c r="E457" t="inlineStr">
        <is>
          <t>2025-03-01 00:00:00</t>
        </is>
      </c>
      <c r="F457" t="inlineStr">
        <is>
          <t>2025-03-17</t>
        </is>
      </c>
      <c r="G457" t="inlineStr">
        <is>
          <t>LY43836525</t>
        </is>
      </c>
      <c r="H457" t="inlineStr">
        <is>
          <t>cus_37c834003b7b</t>
        </is>
      </c>
      <c r="I457" t="inlineStr">
        <is>
          <t>台灣先進智慧股份有限公司</t>
        </is>
      </c>
      <c r="J457" t="inlineStr">
        <is>
          <t>82887701</t>
        </is>
      </c>
      <c r="K457" t="n">
        <v>160000</v>
      </c>
      <c r="L457" t="n">
        <v>168000</v>
      </c>
      <c r="M457" t="inlineStr">
        <is>
          <t>數據收益</t>
        </is>
      </c>
      <c r="N457" t="inlineStr"/>
      <c r="O457" t="inlineStr">
        <is>
          <t>台北市中正區羅斯福路二段100號25樓</t>
        </is>
      </c>
      <c r="P457" t="inlineStr">
        <is>
          <t>joseph.lin@amiko.net</t>
        </is>
      </c>
      <c r="Q457" t="inlineStr">
        <is>
          <t>(02)66135666</t>
        </is>
      </c>
      <c r="R457" t="inlineStr"/>
      <c r="S457" t="inlineStr">
        <is>
          <t>未收款</t>
        </is>
      </c>
      <c r="T457" t="inlineStr">
        <is>
          <t>192萬年約,2025第2期(共12期)
來源：訂閱型發票及收款紀錄 第 487 列</t>
        </is>
      </c>
      <c r="U457" t="inlineStr">
        <is>
          <t>收到發票後45天</t>
        </is>
      </c>
      <c r="V457" t="inlineStr">
        <is>
          <t>2026-05-18</t>
        </is>
      </c>
    </row>
    <row r="458">
      <c r="A458" t="inlineStr">
        <is>
          <t>inv_9370bacec004</t>
        </is>
      </c>
      <c r="B458" t="inlineStr">
        <is>
          <t>許瀞鍶</t>
        </is>
      </c>
      <c r="C458" t="inlineStr"/>
      <c r="D458" t="inlineStr">
        <is>
          <t>2596421</t>
        </is>
      </c>
      <c r="E458" t="inlineStr">
        <is>
          <t>2025-04-01 00:00:00</t>
        </is>
      </c>
      <c r="F458" t="inlineStr">
        <is>
          <t>2025-04-15</t>
        </is>
      </c>
      <c r="G458" t="inlineStr">
        <is>
          <t>LY43863878</t>
        </is>
      </c>
      <c r="H458" t="inlineStr">
        <is>
          <t>cus_37c834003b7b</t>
        </is>
      </c>
      <c r="I458" t="inlineStr">
        <is>
          <t>台灣先進智慧股份有限公司</t>
        </is>
      </c>
      <c r="J458" t="inlineStr">
        <is>
          <t>82887701</t>
        </is>
      </c>
      <c r="K458" t="n">
        <v>160000</v>
      </c>
      <c r="L458" t="n">
        <v>168000</v>
      </c>
      <c r="M458" t="inlineStr">
        <is>
          <t>數據收益</t>
        </is>
      </c>
      <c r="N458" t="inlineStr"/>
      <c r="O458" t="inlineStr">
        <is>
          <t>台北市中正區羅斯福路二段100號25樓</t>
        </is>
      </c>
      <c r="P458" t="inlineStr">
        <is>
          <t>joseph.lin@amiko.net</t>
        </is>
      </c>
      <c r="Q458" t="inlineStr">
        <is>
          <t>(02)66135666</t>
        </is>
      </c>
      <c r="R458" t="inlineStr"/>
      <c r="S458" t="inlineStr">
        <is>
          <t>未收款</t>
        </is>
      </c>
      <c r="T458" t="inlineStr">
        <is>
          <t>192萬年約,2025第3期(共12期)
來源：訂閱型發票及收款紀錄 第 488 列</t>
        </is>
      </c>
      <c r="U458" t="inlineStr">
        <is>
          <t>收到發票後45天</t>
        </is>
      </c>
      <c r="V458" t="inlineStr">
        <is>
          <t>2026-05-18</t>
        </is>
      </c>
    </row>
    <row r="459">
      <c r="A459" t="inlineStr">
        <is>
          <t>inv_84faa3596eae</t>
        </is>
      </c>
      <c r="B459" t="inlineStr">
        <is>
          <t>許瀞鍶</t>
        </is>
      </c>
      <c r="C459" t="inlineStr"/>
      <c r="D459" t="inlineStr">
        <is>
          <t>2627675</t>
        </is>
      </c>
      <c r="E459" t="inlineStr">
        <is>
          <t>2025-05-01 00:00:00</t>
        </is>
      </c>
      <c r="F459" t="inlineStr">
        <is>
          <t>2025-05-15</t>
        </is>
      </c>
      <c r="G459" t="inlineStr">
        <is>
          <t>NY43836281</t>
        </is>
      </c>
      <c r="H459" t="inlineStr">
        <is>
          <t>cus_37c834003b7b</t>
        </is>
      </c>
      <c r="I459" t="inlineStr">
        <is>
          <t>台灣先進智慧股份有限公司</t>
        </is>
      </c>
      <c r="J459" t="inlineStr">
        <is>
          <t>82887701</t>
        </is>
      </c>
      <c r="K459" t="n">
        <v>160000</v>
      </c>
      <c r="L459" t="n">
        <v>168000</v>
      </c>
      <c r="M459" t="inlineStr">
        <is>
          <t>數據收益</t>
        </is>
      </c>
      <c r="N459" t="inlineStr"/>
      <c r="O459" t="inlineStr">
        <is>
          <t>台北市中正區羅斯福路二段100號25樓</t>
        </is>
      </c>
      <c r="P459" t="inlineStr">
        <is>
          <t>joseph.lin@amiko.net</t>
        </is>
      </c>
      <c r="Q459" t="inlineStr">
        <is>
          <t>(02)66135666</t>
        </is>
      </c>
      <c r="R459" t="inlineStr"/>
      <c r="S459" t="inlineStr">
        <is>
          <t>未收款</t>
        </is>
      </c>
      <c r="T459" t="inlineStr">
        <is>
          <t>192萬年約,2025第4期(共12期)
來源：訂閱型發票及收款紀錄 第 489 列</t>
        </is>
      </c>
      <c r="U459" t="inlineStr">
        <is>
          <t>收到發票後45天</t>
        </is>
      </c>
      <c r="V459" t="inlineStr">
        <is>
          <t>2026-05-18</t>
        </is>
      </c>
    </row>
    <row r="460">
      <c r="A460" t="inlineStr">
        <is>
          <t>inv_a5c5fe981b7f</t>
        </is>
      </c>
      <c r="B460" t="inlineStr">
        <is>
          <t>許瀞鍶</t>
        </is>
      </c>
      <c r="C460" t="inlineStr"/>
      <c r="D460" t="inlineStr">
        <is>
          <t>2661577</t>
        </is>
      </c>
      <c r="E460" t="inlineStr">
        <is>
          <t>2025-06-01 00:00:00</t>
        </is>
      </c>
      <c r="F460" t="inlineStr">
        <is>
          <t>2025-06-13</t>
        </is>
      </c>
      <c r="G460" t="inlineStr">
        <is>
          <t>NY43866733</t>
        </is>
      </c>
      <c r="H460" t="inlineStr">
        <is>
          <t>cus_37c834003b7b</t>
        </is>
      </c>
      <c r="I460" t="inlineStr">
        <is>
          <t>台灣先進智慧股份有限公司</t>
        </is>
      </c>
      <c r="J460" t="inlineStr">
        <is>
          <t>82887701</t>
        </is>
      </c>
      <c r="K460" t="n">
        <v>160000</v>
      </c>
      <c r="L460" t="n">
        <v>168000</v>
      </c>
      <c r="M460" t="inlineStr">
        <is>
          <t>數據收益</t>
        </is>
      </c>
      <c r="N460" t="inlineStr"/>
      <c r="O460" t="inlineStr">
        <is>
          <t>台北市中正區羅斯福路二段100號25樓</t>
        </is>
      </c>
      <c r="P460" t="inlineStr">
        <is>
          <t>joseph.lin@amiko.net</t>
        </is>
      </c>
      <c r="Q460" t="inlineStr">
        <is>
          <t>(02)66135666</t>
        </is>
      </c>
      <c r="R460" t="inlineStr"/>
      <c r="S460" t="inlineStr">
        <is>
          <t>未收款</t>
        </is>
      </c>
      <c r="T460" t="inlineStr">
        <is>
          <t>192萬年約,2025第5期(共12期)
來源：訂閱型發票及收款紀錄 第 490 列</t>
        </is>
      </c>
      <c r="U460" t="inlineStr">
        <is>
          <t>收到發票後45天</t>
        </is>
      </c>
      <c r="V460" t="inlineStr">
        <is>
          <t>2026-05-18</t>
        </is>
      </c>
    </row>
    <row r="461">
      <c r="A461" t="inlineStr">
        <is>
          <t>inv_91bef650ce10</t>
        </is>
      </c>
      <c r="B461" t="inlineStr">
        <is>
          <t>許瀞鍶</t>
        </is>
      </c>
      <c r="C461" t="inlineStr"/>
      <c r="D461" t="inlineStr">
        <is>
          <t>2698645</t>
        </is>
      </c>
      <c r="E461" t="inlineStr">
        <is>
          <t>2025-07-01 00:00:00</t>
        </is>
      </c>
      <c r="F461" t="inlineStr">
        <is>
          <t>2025-07-15</t>
        </is>
      </c>
      <c r="G461" t="inlineStr">
        <is>
          <t>QY43836337</t>
        </is>
      </c>
      <c r="H461" t="inlineStr">
        <is>
          <t>cus_37c834003b7b</t>
        </is>
      </c>
      <c r="I461" t="inlineStr">
        <is>
          <t>台灣先進智慧股份有限公司</t>
        </is>
      </c>
      <c r="J461" t="inlineStr">
        <is>
          <t>82887701</t>
        </is>
      </c>
      <c r="K461" t="n">
        <v>160000</v>
      </c>
      <c r="L461" t="n">
        <v>168000</v>
      </c>
      <c r="M461" t="inlineStr">
        <is>
          <t>數據收益</t>
        </is>
      </c>
      <c r="N461" t="inlineStr"/>
      <c r="O461" t="inlineStr">
        <is>
          <t>台北市中正區羅斯福路二段100號25樓</t>
        </is>
      </c>
      <c r="P461" t="inlineStr">
        <is>
          <t>joseph.lin@amiko.net</t>
        </is>
      </c>
      <c r="Q461" t="inlineStr">
        <is>
          <t>(02)66135666</t>
        </is>
      </c>
      <c r="R461" t="inlineStr"/>
      <c r="S461" t="inlineStr">
        <is>
          <t>未收款</t>
        </is>
      </c>
      <c r="T461" t="inlineStr">
        <is>
          <t>192萬年約,2025第6期(共12期)
來源：訂閱型發票及收款紀錄 第 491 列</t>
        </is>
      </c>
      <c r="U461" t="inlineStr">
        <is>
          <t>收到發票後45天</t>
        </is>
      </c>
      <c r="V461" t="inlineStr">
        <is>
          <t>2026-05-18</t>
        </is>
      </c>
    </row>
    <row r="462">
      <c r="A462" t="inlineStr">
        <is>
          <t>inv_3c819f9cdc53</t>
        </is>
      </c>
      <c r="B462" t="inlineStr">
        <is>
          <t>許瀞鍶</t>
        </is>
      </c>
      <c r="C462" t="inlineStr"/>
      <c r="D462" t="inlineStr">
        <is>
          <t>2735158</t>
        </is>
      </c>
      <c r="E462" t="inlineStr">
        <is>
          <t>2025-08-01 00:00:00</t>
        </is>
      </c>
      <c r="F462" t="inlineStr">
        <is>
          <t>2025-08-15</t>
        </is>
      </c>
      <c r="G462" t="inlineStr">
        <is>
          <t>QY43866441</t>
        </is>
      </c>
      <c r="H462" t="inlineStr">
        <is>
          <t>cus_37c834003b7b</t>
        </is>
      </c>
      <c r="I462" t="inlineStr">
        <is>
          <t>台灣先進智慧股份有限公司</t>
        </is>
      </c>
      <c r="J462" t="inlineStr">
        <is>
          <t>82887701</t>
        </is>
      </c>
      <c r="K462" t="n">
        <v>160000</v>
      </c>
      <c r="L462" t="n">
        <v>168000</v>
      </c>
      <c r="M462" t="inlineStr">
        <is>
          <t>數據收益</t>
        </is>
      </c>
      <c r="N462" t="inlineStr"/>
      <c r="O462" t="inlineStr">
        <is>
          <t>台北市中正區羅斯福路二段100號25樓</t>
        </is>
      </c>
      <c r="P462" t="inlineStr">
        <is>
          <t>joseph.lin@amiko.net</t>
        </is>
      </c>
      <c r="Q462" t="inlineStr">
        <is>
          <t>(02)66135666</t>
        </is>
      </c>
      <c r="R462" t="inlineStr"/>
      <c r="S462" t="inlineStr">
        <is>
          <t>未收款</t>
        </is>
      </c>
      <c r="T462" t="inlineStr">
        <is>
          <t>192萬年約,2025第7期(共12期)
來源：訂閱型發票及收款紀錄 第 492 列</t>
        </is>
      </c>
      <c r="U462" t="inlineStr">
        <is>
          <t>收到發票後45天</t>
        </is>
      </c>
      <c r="V462" t="inlineStr">
        <is>
          <t>2026-05-18</t>
        </is>
      </c>
    </row>
    <row r="463">
      <c r="A463" t="inlineStr">
        <is>
          <t>inv_f9af0df4bb02</t>
        </is>
      </c>
      <c r="B463" t="inlineStr"/>
      <c r="C463" t="inlineStr"/>
      <c r="D463" t="inlineStr"/>
      <c r="E463" t="inlineStr"/>
      <c r="F463" t="inlineStr"/>
      <c r="G463" t="inlineStr">
        <is>
          <t>2026-01-01 00:00:00</t>
        </is>
      </c>
      <c r="H463" t="inlineStr"/>
      <c r="I463" t="inlineStr"/>
      <c r="J463" t="inlineStr"/>
      <c r="K463" t="n">
        <v>0</v>
      </c>
      <c r="L463" t="n">
        <v>0</v>
      </c>
      <c r="M463" t="inlineStr"/>
      <c r="N463" t="inlineStr"/>
      <c r="O463" t="inlineStr"/>
      <c r="P463" t="inlineStr"/>
      <c r="Q463" t="inlineStr"/>
      <c r="R463" t="inlineStr"/>
      <c r="S463" t="inlineStr">
        <is>
          <t>未收款</t>
        </is>
      </c>
      <c r="T463" t="inlineStr">
        <is>
          <t>來源：訂閱型發票及收款紀錄 第 493 列</t>
        </is>
      </c>
      <c r="U463" t="inlineStr"/>
      <c r="V463" t="inlineStr">
        <is>
          <t>2026-05-18</t>
        </is>
      </c>
    </row>
    <row r="464">
      <c r="A464" t="inlineStr">
        <is>
          <t>inv_126d8f3a7ef8</t>
        </is>
      </c>
      <c r="B464" t="inlineStr">
        <is>
          <t>許瀞鍶</t>
        </is>
      </c>
      <c r="C464" t="inlineStr">
        <is>
          <t>2025-03-03</t>
        </is>
      </c>
      <c r="D464" t="inlineStr">
        <is>
          <t>2464511</t>
        </is>
      </c>
      <c r="E464" t="inlineStr">
        <is>
          <t>2024-12-01 00:00:00</t>
        </is>
      </c>
      <c r="F464" t="inlineStr">
        <is>
          <t>2024-12-10</t>
        </is>
      </c>
      <c r="G464" t="inlineStr">
        <is>
          <t>HA03687686</t>
        </is>
      </c>
      <c r="H464" t="inlineStr">
        <is>
          <t>cus_15dd7113b465</t>
        </is>
      </c>
      <c r="I464" t="inlineStr">
        <is>
          <t>阿瘦實業股份有限公司</t>
        </is>
      </c>
      <c r="J464" t="inlineStr">
        <is>
          <t>80511709</t>
        </is>
      </c>
      <c r="K464" t="n">
        <v>50000</v>
      </c>
      <c r="L464" t="n">
        <v>52500</v>
      </c>
      <c r="M464" t="inlineStr">
        <is>
          <t>CRM報告</t>
        </is>
      </c>
      <c r="N464" t="inlineStr">
        <is>
          <t>柴宏德</t>
        </is>
      </c>
      <c r="O464" t="inlineStr">
        <is>
          <t>台北市中山區松江路168號6樓</t>
        </is>
      </c>
      <c r="P464" t="inlineStr">
        <is>
          <t>benjamin@mail.aso.com.tw</t>
        </is>
      </c>
      <c r="Q464" t="inlineStr">
        <is>
          <t>(02)6618-9999  #1623</t>
        </is>
      </c>
      <c r="R464" t="inlineStr"/>
      <c r="S464" t="inlineStr">
        <is>
          <t>已收款</t>
        </is>
      </c>
      <c r="T464" t="inlineStr">
        <is>
          <t>全曜與阿瘦簽訂的合約時間2024年5月15日起至 2025年4月14 日止，此期開立11月發票
前面是填於消費事業群的sheet
來源：訂閱型發票及收款紀錄 第 494 列</t>
        </is>
      </c>
      <c r="U464" t="inlineStr">
        <is>
          <t>發票開立次月1日起60天</t>
        </is>
      </c>
      <c r="V464" t="inlineStr">
        <is>
          <t>2026-05-18</t>
        </is>
      </c>
    </row>
    <row r="465">
      <c r="A465" t="inlineStr">
        <is>
          <t>inv_efdeb52dfcbb</t>
        </is>
      </c>
      <c r="B465" t="inlineStr">
        <is>
          <t>許瀞鍶</t>
        </is>
      </c>
      <c r="C465" t="inlineStr">
        <is>
          <t>2025-03-31</t>
        </is>
      </c>
      <c r="D465" t="inlineStr">
        <is>
          <t>2501909</t>
        </is>
      </c>
      <c r="E465" t="inlineStr">
        <is>
          <t>2025-01-01 00:00:00</t>
        </is>
      </c>
      <c r="F465" t="inlineStr">
        <is>
          <t>2025-01-13</t>
        </is>
      </c>
      <c r="G465" t="inlineStr">
        <is>
          <t>JY43833661</t>
        </is>
      </c>
      <c r="H465" t="inlineStr">
        <is>
          <t>cus_15dd7113b465</t>
        </is>
      </c>
      <c r="I465" t="inlineStr">
        <is>
          <t>阿瘦實業股份有限公司</t>
        </is>
      </c>
      <c r="J465" t="inlineStr">
        <is>
          <t>80511709</t>
        </is>
      </c>
      <c r="K465" t="n">
        <v>50000</v>
      </c>
      <c r="L465" t="n">
        <v>52500</v>
      </c>
      <c r="M465" t="inlineStr">
        <is>
          <t>CRM報告</t>
        </is>
      </c>
      <c r="N465" t="inlineStr">
        <is>
          <t>柴宏德</t>
        </is>
      </c>
      <c r="O465" t="inlineStr">
        <is>
          <t>台北市中山區松江路168號6樓</t>
        </is>
      </c>
      <c r="P465" t="inlineStr">
        <is>
          <t>benjamin@mail.aso.com.tw</t>
        </is>
      </c>
      <c r="Q465" t="inlineStr">
        <is>
          <t>(02)6618-9999  #1623</t>
        </is>
      </c>
      <c r="R465" t="inlineStr"/>
      <c r="S465" t="inlineStr">
        <is>
          <t>已收款</t>
        </is>
      </c>
      <c r="T465" t="inlineStr">
        <is>
          <t>全曜與阿瘦簽訂的合約時間2024年5月15日起至 2025年4月14 日止，此期開立12月發票
來源：訂閱型發票及收款紀錄 第 495 列</t>
        </is>
      </c>
      <c r="U465" t="inlineStr">
        <is>
          <t>發票開立次月1日起60天</t>
        </is>
      </c>
      <c r="V465" t="inlineStr">
        <is>
          <t>2026-05-18</t>
        </is>
      </c>
    </row>
    <row r="466">
      <c r="A466" t="inlineStr">
        <is>
          <t>inv_a10f38b61e1c</t>
        </is>
      </c>
      <c r="B466" t="inlineStr">
        <is>
          <t>許瀞鍶</t>
        </is>
      </c>
      <c r="C466" t="inlineStr">
        <is>
          <t>2025-04-30</t>
        </is>
      </c>
      <c r="D466" t="inlineStr">
        <is>
          <t>2533820</t>
        </is>
      </c>
      <c r="E466" t="inlineStr">
        <is>
          <t>2025-02-01 00:00:00</t>
        </is>
      </c>
      <c r="F466" t="inlineStr">
        <is>
          <t>2025-02-14</t>
        </is>
      </c>
      <c r="G466" t="inlineStr">
        <is>
          <t>JY43863216</t>
        </is>
      </c>
      <c r="H466" t="inlineStr">
        <is>
          <t>cus_15dd7113b465</t>
        </is>
      </c>
      <c r="I466" t="inlineStr">
        <is>
          <t>阿瘦實業股份有限公司</t>
        </is>
      </c>
      <c r="J466" t="inlineStr">
        <is>
          <t>80511709</t>
        </is>
      </c>
      <c r="K466" t="n">
        <v>50000</v>
      </c>
      <c r="L466" t="n">
        <v>52500</v>
      </c>
      <c r="M466" t="inlineStr">
        <is>
          <t>CRM報告</t>
        </is>
      </c>
      <c r="N466" t="inlineStr">
        <is>
          <t>柴宏德</t>
        </is>
      </c>
      <c r="O466" t="inlineStr">
        <is>
          <t>台北市中山區松江路168號6樓</t>
        </is>
      </c>
      <c r="P466" t="inlineStr">
        <is>
          <t>benjamin@mail.aso.com.tw</t>
        </is>
      </c>
      <c r="Q466" t="inlineStr">
        <is>
          <t>(02)6618-9999  #1623</t>
        </is>
      </c>
      <c r="R466" t="inlineStr"/>
      <c r="S466" t="inlineStr">
        <is>
          <t>已收款</t>
        </is>
      </c>
      <c r="T466" t="inlineStr">
        <is>
          <t>全曜與阿瘦簽訂的合約時間2024年5月15日起至 2025年4月14 日止，此期開立1月發票
來源：訂閱型發票及收款紀錄 第 496 列</t>
        </is>
      </c>
      <c r="U466" t="inlineStr">
        <is>
          <t>發票開立次月1日起60天</t>
        </is>
      </c>
      <c r="V466" t="inlineStr">
        <is>
          <t>2026-05-18</t>
        </is>
      </c>
    </row>
    <row r="467">
      <c r="A467" t="inlineStr">
        <is>
          <t>inv_254167df6d47</t>
        </is>
      </c>
      <c r="B467" t="inlineStr">
        <is>
          <t>許瀞鍶</t>
        </is>
      </c>
      <c r="C467" t="inlineStr">
        <is>
          <t>2025-06-02</t>
        </is>
      </c>
      <c r="D467" t="inlineStr">
        <is>
          <t>2565609</t>
        </is>
      </c>
      <c r="E467" t="inlineStr">
        <is>
          <t>2025-03-01 00:00:00</t>
        </is>
      </c>
      <c r="F467" t="inlineStr">
        <is>
          <t>2025-03-17</t>
        </is>
      </c>
      <c r="G467" t="inlineStr">
        <is>
          <t>LY43836524</t>
        </is>
      </c>
      <c r="H467" t="inlineStr">
        <is>
          <t>cus_15dd7113b465</t>
        </is>
      </c>
      <c r="I467" t="inlineStr">
        <is>
          <t>阿瘦實業股份有限公司</t>
        </is>
      </c>
      <c r="J467" t="inlineStr">
        <is>
          <t>80511709</t>
        </is>
      </c>
      <c r="K467" t="n">
        <v>50000</v>
      </c>
      <c r="L467" t="n">
        <v>52500</v>
      </c>
      <c r="M467" t="inlineStr">
        <is>
          <t>CRM報告</t>
        </is>
      </c>
      <c r="N467" t="inlineStr">
        <is>
          <t>柴宏德</t>
        </is>
      </c>
      <c r="O467" t="inlineStr">
        <is>
          <t>台北市中山區松江路168號6樓</t>
        </is>
      </c>
      <c r="P467" t="inlineStr">
        <is>
          <t>benjamin@mail.aso.com.tw</t>
        </is>
      </c>
      <c r="Q467" t="inlineStr">
        <is>
          <t>(02)6618-9999  #1623</t>
        </is>
      </c>
      <c r="R467" t="inlineStr"/>
      <c r="S467" t="inlineStr">
        <is>
          <t>已收款</t>
        </is>
      </c>
      <c r="T467" t="inlineStr">
        <is>
          <t>全曜與阿瘦簽訂的合約時間2024年5月15日起至 2025年4月14 日止，此期開立2月發票
來源：訂閱型發票及收款紀錄 第 497 列</t>
        </is>
      </c>
      <c r="U467" t="inlineStr">
        <is>
          <t>發票開立次月1日起60天</t>
        </is>
      </c>
      <c r="V467" t="inlineStr">
        <is>
          <t>2026-05-18</t>
        </is>
      </c>
    </row>
    <row r="468">
      <c r="A468" t="inlineStr">
        <is>
          <t>inv_fca45edd80e8</t>
        </is>
      </c>
      <c r="B468" t="inlineStr">
        <is>
          <t>許瀞鍶</t>
        </is>
      </c>
      <c r="C468" t="inlineStr">
        <is>
          <t>2025-06-30</t>
        </is>
      </c>
      <c r="D468" t="inlineStr">
        <is>
          <t>2596420</t>
        </is>
      </c>
      <c r="E468" t="inlineStr">
        <is>
          <t>2025-04-01 00:00:00</t>
        </is>
      </c>
      <c r="F468" t="inlineStr">
        <is>
          <t>2025-04-15</t>
        </is>
      </c>
      <c r="G468" t="inlineStr">
        <is>
          <t>LY43863877</t>
        </is>
      </c>
      <c r="H468" t="inlineStr">
        <is>
          <t>cus_15dd7113b465</t>
        </is>
      </c>
      <c r="I468" t="inlineStr">
        <is>
          <t>阿瘦實業股份有限公司</t>
        </is>
      </c>
      <c r="J468" t="inlineStr">
        <is>
          <t>80511709</t>
        </is>
      </c>
      <c r="K468" t="n">
        <v>50000</v>
      </c>
      <c r="L468" t="n">
        <v>52500</v>
      </c>
      <c r="M468" t="inlineStr">
        <is>
          <t>CRM報告</t>
        </is>
      </c>
      <c r="N468" t="inlineStr">
        <is>
          <t>柴宏德</t>
        </is>
      </c>
      <c r="O468" t="inlineStr">
        <is>
          <t>台北市中山區松江路168號6樓</t>
        </is>
      </c>
      <c r="P468" t="inlineStr">
        <is>
          <t>benjamin@mail.aso.com.tw</t>
        </is>
      </c>
      <c r="Q468" t="inlineStr">
        <is>
          <t>(02)6618-9999  #1623</t>
        </is>
      </c>
      <c r="R468" t="inlineStr"/>
      <c r="S468" t="inlineStr">
        <is>
          <t>已收款</t>
        </is>
      </c>
      <c r="T468" t="inlineStr">
        <is>
          <t>全曜與阿瘦簽訂的合約時間2024年5月15日起至 2025年4月14 日止，此期開立3月發票
來源：訂閱型發票及收款紀錄 第 498 列</t>
        </is>
      </c>
      <c r="U468" t="inlineStr">
        <is>
          <t>發票開立次月1日起60天</t>
        </is>
      </c>
      <c r="V468" t="inlineStr">
        <is>
          <t>2026-05-18</t>
        </is>
      </c>
    </row>
    <row r="469">
      <c r="A469" t="inlineStr">
        <is>
          <t>inv_1e9bb3c4fd24</t>
        </is>
      </c>
      <c r="B469" t="inlineStr">
        <is>
          <t>許瀞鍶</t>
        </is>
      </c>
      <c r="C469" t="inlineStr">
        <is>
          <t>2025-07-31</t>
        </is>
      </c>
      <c r="D469" t="inlineStr">
        <is>
          <t>2627674</t>
        </is>
      </c>
      <c r="E469" t="inlineStr">
        <is>
          <t>2025-05-01 00:00:00</t>
        </is>
      </c>
      <c r="F469" t="inlineStr">
        <is>
          <t>2025-05-15</t>
        </is>
      </c>
      <c r="G469" t="inlineStr">
        <is>
          <t>NY43836280</t>
        </is>
      </c>
      <c r="H469" t="inlineStr">
        <is>
          <t>cus_15dd7113b465</t>
        </is>
      </c>
      <c r="I469" t="inlineStr">
        <is>
          <t>阿瘦實業股份有限公司</t>
        </is>
      </c>
      <c r="J469" t="inlineStr">
        <is>
          <t>80511709</t>
        </is>
      </c>
      <c r="K469" t="n">
        <v>50000</v>
      </c>
      <c r="L469" t="n">
        <v>52500</v>
      </c>
      <c r="M469" t="inlineStr">
        <is>
          <t>CRM報告</t>
        </is>
      </c>
      <c r="N469" t="inlineStr">
        <is>
          <t>柴宏德</t>
        </is>
      </c>
      <c r="O469" t="inlineStr">
        <is>
          <t>台北市中山區松江路168號6樓</t>
        </is>
      </c>
      <c r="P469" t="inlineStr">
        <is>
          <t>benjamin@mail.aso.com.tw</t>
        </is>
      </c>
      <c r="Q469" t="inlineStr">
        <is>
          <t>(02)6618-9999  #1623</t>
        </is>
      </c>
      <c r="R469" t="inlineStr"/>
      <c r="S469" t="inlineStr">
        <is>
          <t>已收款</t>
        </is>
      </c>
      <c r="T469" t="inlineStr">
        <is>
          <t>全曜與阿瘦簽訂的合約時間2024年5月15日起至 2025年4月14 日止，此期開立4月發票
來源：訂閱型發票及收款紀錄 第 499 列</t>
        </is>
      </c>
      <c r="U469" t="inlineStr">
        <is>
          <t>發票開立次月1日起60天</t>
        </is>
      </c>
      <c r="V469" t="inlineStr">
        <is>
          <t>2026-05-18</t>
        </is>
      </c>
    </row>
    <row r="470">
      <c r="A470" t="inlineStr">
        <is>
          <t>inv_da4c372ba557</t>
        </is>
      </c>
      <c r="B470" t="inlineStr">
        <is>
          <t>Cobi</t>
        </is>
      </c>
      <c r="C470" t="inlineStr">
        <is>
          <t>2024-11-25</t>
        </is>
      </c>
      <c r="D470" t="inlineStr">
        <is>
          <t>2302164
重開2426760</t>
        </is>
      </c>
      <c r="E470" t="inlineStr">
        <is>
          <t>2024-07-01 00:00:00</t>
        </is>
      </c>
      <c r="F470" t="inlineStr">
        <is>
          <t>2024-07-17</t>
        </is>
      </c>
      <c r="G470" t="inlineStr">
        <is>
          <t>DC03665234
(11/8折讓)</t>
        </is>
      </c>
      <c r="H470" t="inlineStr">
        <is>
          <t>cus_0b41f3919191</t>
        </is>
      </c>
      <c r="I470" t="inlineStr">
        <is>
          <t>禾多移動多媒體股份有限公司</t>
        </is>
      </c>
      <c r="J470" t="inlineStr">
        <is>
          <t>54153827</t>
        </is>
      </c>
      <c r="K470" t="n">
        <v>150000</v>
      </c>
      <c r="L470" t="n">
        <v>157500</v>
      </c>
      <c r="M470" t="inlineStr">
        <is>
          <t>數據收益</t>
        </is>
      </c>
      <c r="N470" t="inlineStr">
        <is>
          <t>Janet Juan</t>
        </is>
      </c>
      <c r="O470" t="inlineStr">
        <is>
          <t>台北市中山區中山北路三段47號5樓</t>
        </is>
      </c>
      <c r="P470" t="inlineStr">
        <is>
          <t>janet.juan@avividai.com</t>
        </is>
      </c>
      <c r="Q470" t="inlineStr">
        <is>
          <t>02-25853361</t>
        </is>
      </c>
      <c r="R470" t="inlineStr"/>
      <c r="S470" t="inlineStr">
        <is>
          <t>已收款</t>
        </is>
      </c>
      <c r="T470" t="inlineStr">
        <is>
          <t>全曜與禾多合作電子發票數據採購專案費用2024第1期6月數據(共12期)，申請開立發票。
來源：訂閱型發票及收款紀錄 第 501 列</t>
        </is>
      </c>
      <c r="U470" t="inlineStr">
        <is>
          <t>收到發票後45天</t>
        </is>
      </c>
      <c r="V470" t="inlineStr">
        <is>
          <t>2026-05-18</t>
        </is>
      </c>
    </row>
    <row r="471">
      <c r="A471" t="inlineStr">
        <is>
          <t>inv_d9e58568bcc5</t>
        </is>
      </c>
      <c r="B471" t="inlineStr">
        <is>
          <t>Cobi</t>
        </is>
      </c>
      <c r="C471" t="inlineStr">
        <is>
          <t>2024-11-25</t>
        </is>
      </c>
      <c r="D471" t="inlineStr">
        <is>
          <t>2336488
重開2426761</t>
        </is>
      </c>
      <c r="E471" t="inlineStr">
        <is>
          <t>2024-08-01 00:00:00</t>
        </is>
      </c>
      <c r="F471" t="inlineStr">
        <is>
          <t>2024-08-15</t>
        </is>
      </c>
      <c r="G471" t="inlineStr">
        <is>
          <t>DC03695367
(11/8折讓)</t>
        </is>
      </c>
      <c r="H471" t="inlineStr">
        <is>
          <t>cus_0b41f3919191</t>
        </is>
      </c>
      <c r="I471" t="inlineStr">
        <is>
          <t>禾多移動多媒體股份有限公司</t>
        </is>
      </c>
      <c r="J471" t="inlineStr">
        <is>
          <t>54153827</t>
        </is>
      </c>
      <c r="K471" t="n">
        <v>150000</v>
      </c>
      <c r="L471" t="n">
        <v>157500</v>
      </c>
      <c r="M471" t="inlineStr">
        <is>
          <t>數據收益</t>
        </is>
      </c>
      <c r="N471" t="inlineStr">
        <is>
          <t>Janet Juan</t>
        </is>
      </c>
      <c r="O471" t="inlineStr">
        <is>
          <t>台北市中山區中山北路三段47號5樓</t>
        </is>
      </c>
      <c r="P471" t="inlineStr">
        <is>
          <t>janet.juan@avividai.com</t>
        </is>
      </c>
      <c r="Q471" t="inlineStr">
        <is>
          <t>02-25853361</t>
        </is>
      </c>
      <c r="R471" t="inlineStr"/>
      <c r="S471" t="inlineStr">
        <is>
          <t>已收款</t>
        </is>
      </c>
      <c r="T471" t="inlineStr">
        <is>
          <t>全曜與禾多合作電子發票數據採購專案費用2024第2期7月數據(共12期)，申請開立發票。
來源：訂閱型發票及收款紀錄 第 502 列</t>
        </is>
      </c>
      <c r="U471" t="inlineStr">
        <is>
          <t>收到發票後45天</t>
        </is>
      </c>
      <c r="V471" t="inlineStr">
        <is>
          <t>2026-05-18</t>
        </is>
      </c>
    </row>
    <row r="472">
      <c r="A472" t="inlineStr">
        <is>
          <t>inv_90346d1e92f3</t>
        </is>
      </c>
      <c r="B472" t="inlineStr">
        <is>
          <t>Cobi</t>
        </is>
      </c>
      <c r="C472" t="inlineStr">
        <is>
          <t>2024-11-25</t>
        </is>
      </c>
      <c r="D472" t="inlineStr">
        <is>
          <t>2369239
重開2426762</t>
        </is>
      </c>
      <c r="E472" t="inlineStr">
        <is>
          <t>2024-09-01 00:00:00</t>
        </is>
      </c>
      <c r="F472" t="inlineStr">
        <is>
          <t>2024-09-13</t>
        </is>
      </c>
      <c r="G472" t="inlineStr">
        <is>
          <t>FB03658181
(11/8折讓)</t>
        </is>
      </c>
      <c r="H472" t="inlineStr">
        <is>
          <t>cus_0b41f3919191</t>
        </is>
      </c>
      <c r="I472" t="inlineStr">
        <is>
          <t>禾多移動多媒體股份有限公司</t>
        </is>
      </c>
      <c r="J472" t="inlineStr">
        <is>
          <t>54153827</t>
        </is>
      </c>
      <c r="K472" t="n">
        <v>150000</v>
      </c>
      <c r="L472" t="n">
        <v>157500</v>
      </c>
      <c r="M472" t="inlineStr">
        <is>
          <t>數據收益</t>
        </is>
      </c>
      <c r="N472" t="inlineStr">
        <is>
          <t>Janet Juan</t>
        </is>
      </c>
      <c r="O472" t="inlineStr">
        <is>
          <t>台北市中山區中山北路三段47號5樓</t>
        </is>
      </c>
      <c r="P472" t="inlineStr">
        <is>
          <t>janet.juan@avividai.com</t>
        </is>
      </c>
      <c r="Q472" t="inlineStr">
        <is>
          <t>02-25853361</t>
        </is>
      </c>
      <c r="R472" t="inlineStr"/>
      <c r="S472" t="inlineStr">
        <is>
          <t>已收款</t>
        </is>
      </c>
      <c r="T472" t="inlineStr">
        <is>
          <t>全曜與禾多合作電子發票數據採購專案費用2024第3期8月數據(共12期)，申請開立發票。
來源：訂閱型發票及收款紀錄 第 503 列</t>
        </is>
      </c>
      <c r="U472" t="inlineStr">
        <is>
          <t>收到發票後45天</t>
        </is>
      </c>
      <c r="V472" t="inlineStr">
        <is>
          <t>2026-05-18</t>
        </is>
      </c>
    </row>
    <row r="473">
      <c r="A473" t="inlineStr">
        <is>
          <t>inv_bdcfe0decf60</t>
        </is>
      </c>
      <c r="B473" t="inlineStr">
        <is>
          <t>Cobi</t>
        </is>
      </c>
      <c r="C473" t="inlineStr">
        <is>
          <t>2024-11-25</t>
        </is>
      </c>
      <c r="D473" t="inlineStr">
        <is>
          <t>2402163</t>
        </is>
      </c>
      <c r="E473" t="inlineStr">
        <is>
          <t>2024-10-01 00:00:00</t>
        </is>
      </c>
      <c r="F473" t="inlineStr"/>
      <c r="G473" t="inlineStr">
        <is>
          <t>FB03688271</t>
        </is>
      </c>
      <c r="H473" t="inlineStr">
        <is>
          <t>cus_0b41f3919191</t>
        </is>
      </c>
      <c r="I473" t="inlineStr">
        <is>
          <t>禾多移動多媒體股份有限公司</t>
        </is>
      </c>
      <c r="J473" t="inlineStr">
        <is>
          <t>54153827</t>
        </is>
      </c>
      <c r="K473" t="n">
        <v>150000</v>
      </c>
      <c r="L473" t="n">
        <v>157500</v>
      </c>
      <c r="M473" t="inlineStr">
        <is>
          <t>數據收益</t>
        </is>
      </c>
      <c r="N473" t="inlineStr">
        <is>
          <t>Janet Juan</t>
        </is>
      </c>
      <c r="O473" t="inlineStr">
        <is>
          <t>台北市中山區中山北路三段47號5樓</t>
        </is>
      </c>
      <c r="P473" t="inlineStr">
        <is>
          <t>janet.juan@avividai.com</t>
        </is>
      </c>
      <c r="Q473" t="inlineStr">
        <is>
          <t>02-25853361</t>
        </is>
      </c>
      <c r="R473" t="inlineStr"/>
      <c r="S473" t="inlineStr">
        <is>
          <t>已收款</t>
        </is>
      </c>
      <c r="T473" t="inlineStr">
        <is>
          <t>全曜與禾多合作電子發票數據採購專案費用2024第4期9月數據(共12期)，申請開立發票。
來源：訂閱型發票及收款紀錄 第 504 列</t>
        </is>
      </c>
      <c r="U473" t="inlineStr">
        <is>
          <t>收到發票後45天</t>
        </is>
      </c>
      <c r="V473" t="inlineStr">
        <is>
          <t>2026-05-18</t>
        </is>
      </c>
    </row>
    <row r="474">
      <c r="A474" t="inlineStr">
        <is>
          <t>inv_d86562f5380c</t>
        </is>
      </c>
      <c r="B474" t="inlineStr">
        <is>
          <t>Cobi</t>
        </is>
      </c>
      <c r="C474" t="inlineStr">
        <is>
          <t>2024-12-25</t>
        </is>
      </c>
      <c r="D474" t="inlineStr">
        <is>
          <t>2438783</t>
        </is>
      </c>
      <c r="E474" t="inlineStr">
        <is>
          <t>2024-11-01 00:00:00</t>
        </is>
      </c>
      <c r="F474" t="inlineStr">
        <is>
          <t>2024-11-15</t>
        </is>
      </c>
      <c r="G474" t="inlineStr">
        <is>
          <t>HA03664250</t>
        </is>
      </c>
      <c r="H474" t="inlineStr">
        <is>
          <t>cus_0b41f3919191</t>
        </is>
      </c>
      <c r="I474" t="inlineStr">
        <is>
          <t>禾多移動多媒體股份有限公司</t>
        </is>
      </c>
      <c r="J474" t="inlineStr">
        <is>
          <t>54153827</t>
        </is>
      </c>
      <c r="K474" t="n">
        <v>150000</v>
      </c>
      <c r="L474" t="n">
        <v>157500</v>
      </c>
      <c r="M474" t="inlineStr">
        <is>
          <t>數據收益</t>
        </is>
      </c>
      <c r="N474" t="inlineStr">
        <is>
          <t>Jenny Lin</t>
        </is>
      </c>
      <c r="O474" t="inlineStr">
        <is>
          <t>台北市中山區中山北路三段47號5樓</t>
        </is>
      </c>
      <c r="P474" t="inlineStr">
        <is>
          <t>jenny.lin@avividai.com</t>
        </is>
      </c>
      <c r="Q474" t="inlineStr">
        <is>
          <t>02-25853361</t>
        </is>
      </c>
      <c r="R474" t="inlineStr"/>
      <c r="S474" t="inlineStr">
        <is>
          <t>已收款</t>
        </is>
      </c>
      <c r="T474" t="inlineStr">
        <is>
          <t>全曜與禾多合作電子發票數據採購專案費用2024第5期10月數據(共12期)，申請開立發票。
來源：訂閱型發票及收款紀錄 第 505 列</t>
        </is>
      </c>
      <c r="U474" t="inlineStr">
        <is>
          <t>收到發票後45天</t>
        </is>
      </c>
      <c r="V474" t="inlineStr">
        <is>
          <t>2026-05-18</t>
        </is>
      </c>
    </row>
    <row r="475">
      <c r="A475" t="inlineStr">
        <is>
          <t>inv_66e4b2022408</t>
        </is>
      </c>
      <c r="B475" t="inlineStr">
        <is>
          <t>許瀞鍶</t>
        </is>
      </c>
      <c r="C475" t="inlineStr">
        <is>
          <t>2025-01-24</t>
        </is>
      </c>
      <c r="D475" t="inlineStr">
        <is>
          <t>2464510</t>
        </is>
      </c>
      <c r="E475" t="inlineStr">
        <is>
          <t>2024-12-01 00:00:00</t>
        </is>
      </c>
      <c r="F475" t="inlineStr"/>
      <c r="G475" t="inlineStr">
        <is>
          <t>HA03687685</t>
        </is>
      </c>
      <c r="H475" t="inlineStr">
        <is>
          <t>cus_0b41f3919191</t>
        </is>
      </c>
      <c r="I475" t="inlineStr">
        <is>
          <t>禾多移動多媒體股份有限公司</t>
        </is>
      </c>
      <c r="J475" t="inlineStr">
        <is>
          <t>54153827</t>
        </is>
      </c>
      <c r="K475" t="n">
        <v>150000</v>
      </c>
      <c r="L475" t="n">
        <v>157500</v>
      </c>
      <c r="M475" t="inlineStr">
        <is>
          <t>數據收益</t>
        </is>
      </c>
      <c r="N475" t="inlineStr">
        <is>
          <t>Jenny Lin</t>
        </is>
      </c>
      <c r="O475" t="inlineStr">
        <is>
          <t>台北市中山區中山北路三段47號5樓</t>
        </is>
      </c>
      <c r="P475" t="inlineStr">
        <is>
          <t>jenny.lin@avividai.com</t>
        </is>
      </c>
      <c r="Q475" t="inlineStr">
        <is>
          <t>02-25853361</t>
        </is>
      </c>
      <c r="R475" t="inlineStr"/>
      <c r="S475" t="inlineStr">
        <is>
          <t>已收款</t>
        </is>
      </c>
      <c r="T475" t="inlineStr">
        <is>
          <t>全曜與禾多合作電子發票數據採購專案費用2024第6期11月數據(共12期)，申請開立發票。
來源：訂閱型發票及收款紀錄 第 506 列</t>
        </is>
      </c>
      <c r="U475" t="inlineStr">
        <is>
          <t>收到發票後45天</t>
        </is>
      </c>
      <c r="V475" t="inlineStr">
        <is>
          <t>2026-05-18</t>
        </is>
      </c>
    </row>
    <row r="476">
      <c r="A476" t="inlineStr">
        <is>
          <t>inv_332e0d47f128</t>
        </is>
      </c>
      <c r="B476" t="inlineStr">
        <is>
          <t>許瀞鍶</t>
        </is>
      </c>
      <c r="C476" t="inlineStr">
        <is>
          <t>2025-02-25</t>
        </is>
      </c>
      <c r="D476" t="inlineStr">
        <is>
          <t>2501908</t>
        </is>
      </c>
      <c r="E476" t="inlineStr">
        <is>
          <t>2025-01-01 00:00:00</t>
        </is>
      </c>
      <c r="F476" t="inlineStr">
        <is>
          <t>2025-01-13</t>
        </is>
      </c>
      <c r="G476" t="inlineStr">
        <is>
          <t>JY43833660</t>
        </is>
      </c>
      <c r="H476" t="inlineStr">
        <is>
          <t>cus_0b41f3919191</t>
        </is>
      </c>
      <c r="I476" t="inlineStr">
        <is>
          <t>禾多移動多媒體股份有限公司</t>
        </is>
      </c>
      <c r="J476" t="inlineStr">
        <is>
          <t>54153827</t>
        </is>
      </c>
      <c r="K476" t="n">
        <v>150000</v>
      </c>
      <c r="L476" t="n">
        <v>157500</v>
      </c>
      <c r="M476" t="inlineStr">
        <is>
          <t>數據收益</t>
        </is>
      </c>
      <c r="N476" t="inlineStr">
        <is>
          <t>Jenny Lin</t>
        </is>
      </c>
      <c r="O476" t="inlineStr">
        <is>
          <t>台北市中山區中山北路三段47號5樓</t>
        </is>
      </c>
      <c r="P476" t="inlineStr">
        <is>
          <t>avivid_adteam_ae@avividai.com</t>
        </is>
      </c>
      <c r="Q476" t="inlineStr">
        <is>
          <t>02-25853361</t>
        </is>
      </c>
      <c r="R476" t="inlineStr"/>
      <c r="S476" t="inlineStr">
        <is>
          <t>已收款</t>
        </is>
      </c>
      <c r="T476" t="inlineStr">
        <is>
          <t>全曜與禾多合作電子發票數據採購專案費用2024第7期12月數據(共12期)，申請開立發票。
來源：訂閱型發票及收款紀錄 第 507 列</t>
        </is>
      </c>
      <c r="U476" t="inlineStr">
        <is>
          <t>收到發票後45天</t>
        </is>
      </c>
      <c r="V476" t="inlineStr">
        <is>
          <t>2026-05-18</t>
        </is>
      </c>
    </row>
    <row r="477">
      <c r="A477" t="inlineStr">
        <is>
          <t>inv_fab7aa6dd075</t>
        </is>
      </c>
      <c r="B477" t="inlineStr">
        <is>
          <t>許瀞鍶</t>
        </is>
      </c>
      <c r="C477" t="inlineStr">
        <is>
          <t>2025-03-25</t>
        </is>
      </c>
      <c r="D477" t="inlineStr">
        <is>
          <t>2533818</t>
        </is>
      </c>
      <c r="E477" t="inlineStr">
        <is>
          <t>2025-02-01 00:00:00</t>
        </is>
      </c>
      <c r="F477" t="inlineStr">
        <is>
          <t>2025-02-14</t>
        </is>
      </c>
      <c r="G477" t="inlineStr">
        <is>
          <t>JY43863214</t>
        </is>
      </c>
      <c r="H477" t="inlineStr">
        <is>
          <t>cus_0b41f3919191</t>
        </is>
      </c>
      <c r="I477" t="inlineStr">
        <is>
          <t>禾多移動多媒體股份有限公司</t>
        </is>
      </c>
      <c r="J477" t="inlineStr">
        <is>
          <t>54153827</t>
        </is>
      </c>
      <c r="K477" t="n">
        <v>150000</v>
      </c>
      <c r="L477" t="n">
        <v>157500</v>
      </c>
      <c r="M477" t="inlineStr">
        <is>
          <t>數據收益</t>
        </is>
      </c>
      <c r="N477" t="inlineStr">
        <is>
          <t>Jenny Lin</t>
        </is>
      </c>
      <c r="O477" t="inlineStr">
        <is>
          <t>台北市中山區中山北路三段47號5樓</t>
        </is>
      </c>
      <c r="P477" t="inlineStr">
        <is>
          <t>avivid_adteam_ae@avividai.com</t>
        </is>
      </c>
      <c r="Q477" t="inlineStr">
        <is>
          <t>02-25853361</t>
        </is>
      </c>
      <c r="R477" t="inlineStr"/>
      <c r="S477" t="inlineStr">
        <is>
          <t>已收款</t>
        </is>
      </c>
      <c r="T477" t="inlineStr">
        <is>
          <t>全曜與禾多合作電子發票數據採購專案費用2024第8期1月數據(共12期)，申請開立發票。
來源：訂閱型發票及收款紀錄 第 508 列</t>
        </is>
      </c>
      <c r="U477" t="inlineStr">
        <is>
          <t>收到發票後45天</t>
        </is>
      </c>
      <c r="V477" t="inlineStr">
        <is>
          <t>2026-05-18</t>
        </is>
      </c>
    </row>
    <row r="478">
      <c r="A478" t="inlineStr">
        <is>
          <t>inv_777293c9cbcb</t>
        </is>
      </c>
      <c r="B478" t="inlineStr">
        <is>
          <t>許瀞鍶</t>
        </is>
      </c>
      <c r="C478" t="inlineStr">
        <is>
          <t>2025-04-25</t>
        </is>
      </c>
      <c r="D478" t="inlineStr">
        <is>
          <t>2565608</t>
        </is>
      </c>
      <c r="E478" t="inlineStr">
        <is>
          <t>2025-03-01 00:00:00</t>
        </is>
      </c>
      <c r="F478" t="inlineStr">
        <is>
          <t>2025-03-15</t>
        </is>
      </c>
      <c r="G478" t="inlineStr">
        <is>
          <t>LY43836523</t>
        </is>
      </c>
      <c r="H478" t="inlineStr">
        <is>
          <t>cus_0b41f3919191</t>
        </is>
      </c>
      <c r="I478" t="inlineStr">
        <is>
          <t>禾多移動多媒體股份有限公司</t>
        </is>
      </c>
      <c r="J478" t="inlineStr">
        <is>
          <t>54153827</t>
        </is>
      </c>
      <c r="K478" t="n">
        <v>150000</v>
      </c>
      <c r="L478" t="n">
        <v>157500</v>
      </c>
      <c r="M478" t="inlineStr">
        <is>
          <t>數據收益</t>
        </is>
      </c>
      <c r="N478" t="inlineStr">
        <is>
          <t>Jenny Lin</t>
        </is>
      </c>
      <c r="O478" t="inlineStr">
        <is>
          <t>台北市中山區中山北路三段47號5樓</t>
        </is>
      </c>
      <c r="P478" t="inlineStr">
        <is>
          <t>data.bill@avividai.com</t>
        </is>
      </c>
      <c r="Q478" t="inlineStr">
        <is>
          <t>02-25853361</t>
        </is>
      </c>
      <c r="R478" t="inlineStr"/>
      <c r="S478" t="inlineStr">
        <is>
          <t>已收款</t>
        </is>
      </c>
      <c r="T478" t="inlineStr">
        <is>
          <t>全曜與禾多合作電子發票數據採購專案費用2024第9期2月數據(共12期)，申請開立發票。
來源：訂閱型發票及收款紀錄 第 509 列</t>
        </is>
      </c>
      <c r="U478" t="inlineStr">
        <is>
          <t>收到發票後45天</t>
        </is>
      </c>
      <c r="V478" t="inlineStr">
        <is>
          <t>2026-05-18</t>
        </is>
      </c>
    </row>
    <row r="479">
      <c r="A479" t="inlineStr">
        <is>
          <t>inv_ba7bb9a2b3b6</t>
        </is>
      </c>
      <c r="B479" t="inlineStr">
        <is>
          <t>許瀞鍶</t>
        </is>
      </c>
      <c r="C479" t="inlineStr">
        <is>
          <t>2025-06-02</t>
        </is>
      </c>
      <c r="D479" t="inlineStr">
        <is>
          <t>2596419</t>
        </is>
      </c>
      <c r="E479" t="inlineStr">
        <is>
          <t>2025-04-01 00:00:00</t>
        </is>
      </c>
      <c r="F479" t="inlineStr">
        <is>
          <t>2025-04-15</t>
        </is>
      </c>
      <c r="G479" t="inlineStr">
        <is>
          <t>LY43863876</t>
        </is>
      </c>
      <c r="H479" t="inlineStr">
        <is>
          <t>cus_0b41f3919191</t>
        </is>
      </c>
      <c r="I479" t="inlineStr">
        <is>
          <t>禾多移動多媒體股份有限公司</t>
        </is>
      </c>
      <c r="J479" t="inlineStr">
        <is>
          <t>54153827</t>
        </is>
      </c>
      <c r="K479" t="n">
        <v>150000</v>
      </c>
      <c r="L479" t="n">
        <v>157500</v>
      </c>
      <c r="M479" t="inlineStr">
        <is>
          <t>數據收益</t>
        </is>
      </c>
      <c r="N479" t="inlineStr">
        <is>
          <t>Jenny Lin</t>
        </is>
      </c>
      <c r="O479" t="inlineStr">
        <is>
          <t>台北市中山區中山北路三段47號5樓</t>
        </is>
      </c>
      <c r="P479" t="inlineStr">
        <is>
          <t>data.bill@avividai.com</t>
        </is>
      </c>
      <c r="Q479" t="inlineStr">
        <is>
          <t>02-25853361</t>
        </is>
      </c>
      <c r="R479" t="inlineStr"/>
      <c r="S479" t="inlineStr">
        <is>
          <t>已收款</t>
        </is>
      </c>
      <c r="T479" t="inlineStr">
        <is>
          <t>全曜與禾多合作電子發票數據採購專案費用2024第10期3月數據(共12期)，申請開立發票。
來源：訂閱型發票及收款紀錄 第 510 列</t>
        </is>
      </c>
      <c r="U479" t="inlineStr">
        <is>
          <t>收到發票後45天</t>
        </is>
      </c>
      <c r="V479" t="inlineStr">
        <is>
          <t>2026-05-18</t>
        </is>
      </c>
    </row>
    <row r="480">
      <c r="A480" t="inlineStr">
        <is>
          <t>inv_7ebf29c64e38</t>
        </is>
      </c>
      <c r="B480" t="inlineStr">
        <is>
          <t>許瀞鍶</t>
        </is>
      </c>
      <c r="C480" t="inlineStr">
        <is>
          <t>2025-06-25</t>
        </is>
      </c>
      <c r="D480" t="inlineStr">
        <is>
          <t>2627672</t>
        </is>
      </c>
      <c r="E480" t="inlineStr">
        <is>
          <t>2025-05-01 00:00:00</t>
        </is>
      </c>
      <c r="F480" t="inlineStr">
        <is>
          <t>2025-05-15</t>
        </is>
      </c>
      <c r="G480" t="inlineStr">
        <is>
          <t>NY43836278</t>
        </is>
      </c>
      <c r="H480" t="inlineStr">
        <is>
          <t>cus_0b41f3919191</t>
        </is>
      </c>
      <c r="I480" t="inlineStr">
        <is>
          <t>禾多移動多媒體股份有限公司</t>
        </is>
      </c>
      <c r="J480" t="inlineStr">
        <is>
          <t>54153827</t>
        </is>
      </c>
      <c r="K480" t="n">
        <v>150000</v>
      </c>
      <c r="L480" t="n">
        <v>157500</v>
      </c>
      <c r="M480" t="inlineStr">
        <is>
          <t>數據收益</t>
        </is>
      </c>
      <c r="N480" t="inlineStr">
        <is>
          <t>Jenny Lin</t>
        </is>
      </c>
      <c r="O480" t="inlineStr">
        <is>
          <t>台北市中山區中山北路三段47號5樓</t>
        </is>
      </c>
      <c r="P480" t="inlineStr">
        <is>
          <t>data.bill@avividai.com</t>
        </is>
      </c>
      <c r="Q480" t="inlineStr">
        <is>
          <t>02-25853361</t>
        </is>
      </c>
      <c r="R480" t="inlineStr"/>
      <c r="S480" t="inlineStr">
        <is>
          <t>已收款</t>
        </is>
      </c>
      <c r="T480" t="inlineStr">
        <is>
          <t>全曜與禾多合作電子發票數據採購專案費用2024第11期4月數據(共12期)，申請開立發票。
來源：訂閱型發票及收款紀錄 第 511 列</t>
        </is>
      </c>
      <c r="U480" t="inlineStr">
        <is>
          <t>收到發票後45天</t>
        </is>
      </c>
      <c r="V480" t="inlineStr">
        <is>
          <t>2026-05-18</t>
        </is>
      </c>
    </row>
    <row r="481">
      <c r="A481" t="inlineStr">
        <is>
          <t>inv_bc72834b26e1</t>
        </is>
      </c>
      <c r="B481" t="inlineStr">
        <is>
          <t>許瀞鍶</t>
        </is>
      </c>
      <c r="C481" t="inlineStr">
        <is>
          <t>2025-07-25</t>
        </is>
      </c>
      <c r="D481" t="inlineStr">
        <is>
          <t>2661576</t>
        </is>
      </c>
      <c r="E481" t="inlineStr">
        <is>
          <t>2025-06-01 00:00:00</t>
        </is>
      </c>
      <c r="F481" t="inlineStr">
        <is>
          <t>2025-06-13</t>
        </is>
      </c>
      <c r="G481" t="inlineStr">
        <is>
          <t>NY43866732</t>
        </is>
      </c>
      <c r="H481" t="inlineStr">
        <is>
          <t>cus_0b41f3919191</t>
        </is>
      </c>
      <c r="I481" t="inlineStr">
        <is>
          <t>禾多移動多媒體股份有限公司</t>
        </is>
      </c>
      <c r="J481" t="inlineStr">
        <is>
          <t>54153827</t>
        </is>
      </c>
      <c r="K481" t="n">
        <v>150000</v>
      </c>
      <c r="L481" t="n">
        <v>157500</v>
      </c>
      <c r="M481" t="inlineStr">
        <is>
          <t>數據收益</t>
        </is>
      </c>
      <c r="N481" t="inlineStr">
        <is>
          <t>Jenny Lin</t>
        </is>
      </c>
      <c r="O481" t="inlineStr">
        <is>
          <t>台北市中山區中山北路三段47號5樓</t>
        </is>
      </c>
      <c r="P481" t="inlineStr">
        <is>
          <t>data.bill@avividai.com</t>
        </is>
      </c>
      <c r="Q481" t="inlineStr">
        <is>
          <t>02-25853361</t>
        </is>
      </c>
      <c r="R481" t="inlineStr"/>
      <c r="S481" t="inlineStr">
        <is>
          <t>已收款</t>
        </is>
      </c>
      <c r="T481" t="inlineStr">
        <is>
          <t>全曜與禾多合作電子發票數據採購專案費用2024第12期5月數據(共12期)，申請開立發票。
來源：訂閱型發票及收款紀錄 第 512 列</t>
        </is>
      </c>
      <c r="U481" t="inlineStr">
        <is>
          <t>收到發票後45天</t>
        </is>
      </c>
      <c r="V481" t="inlineStr">
        <is>
          <t>2026-05-18</t>
        </is>
      </c>
    </row>
    <row r="482">
      <c r="A482" t="inlineStr">
        <is>
          <t>inv_1b53beb52d56</t>
        </is>
      </c>
      <c r="B482" t="inlineStr">
        <is>
          <t>許瀞鍶</t>
        </is>
      </c>
      <c r="C482" t="inlineStr">
        <is>
          <t>8/19作廢</t>
        </is>
      </c>
      <c r="D482" t="inlineStr">
        <is>
          <t>2735157</t>
        </is>
      </c>
      <c r="E482" t="inlineStr">
        <is>
          <t>2025-07-01 00:00:00</t>
        </is>
      </c>
      <c r="F482" t="inlineStr">
        <is>
          <t>2025-08-15</t>
        </is>
      </c>
      <c r="G482" t="inlineStr"/>
      <c r="H482" t="inlineStr">
        <is>
          <t>cus_0b41f3919191</t>
        </is>
      </c>
      <c r="I482" t="inlineStr">
        <is>
          <t>禾多移動多媒體股份有限公司</t>
        </is>
      </c>
      <c r="J482" t="inlineStr">
        <is>
          <t>54153827</t>
        </is>
      </c>
      <c r="K482" t="n">
        <v>150000</v>
      </c>
      <c r="L482" t="n">
        <v>157500</v>
      </c>
      <c r="M482" t="inlineStr">
        <is>
          <t>數據收益</t>
        </is>
      </c>
      <c r="N482" t="inlineStr">
        <is>
          <t>Jenny Lin</t>
        </is>
      </c>
      <c r="O482" t="inlineStr">
        <is>
          <t>台北市中山區中山北路三段47號5樓</t>
        </is>
      </c>
      <c r="P482" t="inlineStr">
        <is>
          <t>data.bill@avividai.com</t>
        </is>
      </c>
      <c r="Q482" t="inlineStr">
        <is>
          <t>02-25853361</t>
        </is>
      </c>
      <c r="R482" t="inlineStr"/>
      <c r="S482" t="inlineStr">
        <is>
          <t>已收款</t>
        </is>
      </c>
      <c r="T482" t="inlineStr">
        <is>
          <t>全曜與禾多合作電子發票數據採購專案費用2024第12期月數據(共12期)，申請開立發票。
來源：訂閱型發票及收款紀錄 第 513 列</t>
        </is>
      </c>
      <c r="U482" t="inlineStr">
        <is>
          <t>收到發票後45天</t>
        </is>
      </c>
      <c r="V482" t="inlineStr">
        <is>
          <t>2026-05-18</t>
        </is>
      </c>
    </row>
    <row r="483">
      <c r="A483" t="inlineStr">
        <is>
          <t>inv_bbd610fb0baf</t>
        </is>
      </c>
      <c r="B483" t="inlineStr">
        <is>
          <t>Maggie</t>
        </is>
      </c>
      <c r="C483" t="inlineStr">
        <is>
          <t>2025-06-03</t>
        </is>
      </c>
      <c r="D483" t="inlineStr">
        <is>
          <t>2651936</t>
        </is>
      </c>
      <c r="E483" t="inlineStr"/>
      <c r="F483" t="inlineStr">
        <is>
          <t>2025-06-05</t>
        </is>
      </c>
      <c r="G483" t="inlineStr">
        <is>
          <t>NY43857817</t>
        </is>
      </c>
      <c r="H483" t="inlineStr">
        <is>
          <t>cus_d37d7a6d8a4e</t>
        </is>
      </c>
      <c r="I483" t="inlineStr">
        <is>
          <t>黑蓮生技有限公司</t>
        </is>
      </c>
      <c r="J483" t="inlineStr">
        <is>
          <t>83206470</t>
        </is>
      </c>
      <c r="K483" t="n">
        <v>23333</v>
      </c>
      <c r="L483" t="n">
        <v>24500</v>
      </c>
      <c r="M483" t="inlineStr">
        <is>
          <t>發票數據受眾包</t>
        </is>
      </c>
      <c r="N483" t="inlineStr">
        <is>
          <t>何明</t>
        </is>
      </c>
      <c r="O483" t="inlineStr">
        <is>
          <t>台中市西區忠明南路303號10樓之3A</t>
        </is>
      </c>
      <c r="P483" t="inlineStr">
        <is>
          <t>lasalle.freud@gmail.com</t>
        </is>
      </c>
      <c r="Q483" t="inlineStr">
        <is>
          <t>04-23059191</t>
        </is>
      </c>
      <c r="R483" t="inlineStr"/>
      <c r="S483" t="inlineStr">
        <is>
          <t>已收款</t>
        </is>
      </c>
      <c r="T483" t="inlineStr">
        <is>
          <t>燒賣合作主題受眾包
來源：單次型發票及收款紀錄 第 2 列</t>
        </is>
      </c>
      <c r="U483" t="inlineStr">
        <is>
          <t>預先收款，隔月10日前開立發票</t>
        </is>
      </c>
      <c r="V483" t="inlineStr">
        <is>
          <t>2026-05-18</t>
        </is>
      </c>
    </row>
    <row r="484">
      <c r="A484" t="inlineStr">
        <is>
          <t>inv_8ddc1a136650</t>
        </is>
      </c>
      <c r="B484" t="inlineStr">
        <is>
          <t>Peggy</t>
        </is>
      </c>
      <c r="C484" t="inlineStr">
        <is>
          <t>2025-09-17</t>
        </is>
      </c>
      <c r="D484" t="inlineStr">
        <is>
          <t>2767124</t>
        </is>
      </c>
      <c r="E484" t="inlineStr"/>
      <c r="F484" t="inlineStr">
        <is>
          <t>2025-09-10</t>
        </is>
      </c>
      <c r="G484" t="inlineStr"/>
      <c r="H484" t="inlineStr">
        <is>
          <t>cus_d37d7a6d8a4e</t>
        </is>
      </c>
      <c r="I484" t="inlineStr">
        <is>
          <t>黑蓮生技有限公司</t>
        </is>
      </c>
      <c r="J484" t="inlineStr">
        <is>
          <t>83206470</t>
        </is>
      </c>
      <c r="K484" t="n">
        <v>90000</v>
      </c>
      <c r="L484" t="n">
        <v>94500</v>
      </c>
      <c r="M484" t="inlineStr">
        <is>
          <t>發票數據受眾包</t>
        </is>
      </c>
      <c r="N484" t="inlineStr">
        <is>
          <t>何明</t>
        </is>
      </c>
      <c r="O484" t="inlineStr">
        <is>
          <t>台中市西區忠明南路303號10樓之3A</t>
        </is>
      </c>
      <c r="P484" t="inlineStr">
        <is>
          <t>lasalle.freud@gmail.com</t>
        </is>
      </c>
      <c r="Q484" t="inlineStr">
        <is>
          <t>04-23059191</t>
        </is>
      </c>
      <c r="R484" t="inlineStr"/>
      <c r="S484" t="inlineStr">
        <is>
          <t>已收款</t>
        </is>
      </c>
      <c r="T484" t="inlineStr">
        <is>
          <t>受眾包買斷+共享
來源：單次型發票及收款紀錄 第 3 列</t>
        </is>
      </c>
      <c r="U484" t="inlineStr">
        <is>
          <t>預付</t>
        </is>
      </c>
      <c r="V484" t="inlineStr">
        <is>
          <t>2026-05-18</t>
        </is>
      </c>
    </row>
    <row r="485">
      <c r="A485" t="inlineStr">
        <is>
          <t>inv_efca41242cc4</t>
        </is>
      </c>
      <c r="B485" t="inlineStr">
        <is>
          <t>Maggie</t>
        </is>
      </c>
      <c r="C485" t="inlineStr">
        <is>
          <t>2025-07-04</t>
        </is>
      </c>
      <c r="D485" t="inlineStr">
        <is>
          <t>2694008</t>
        </is>
      </c>
      <c r="E485" t="inlineStr"/>
      <c r="F485" t="inlineStr">
        <is>
          <t>2025-07-11</t>
        </is>
      </c>
      <c r="G485" t="inlineStr"/>
      <c r="H485" t="inlineStr">
        <is>
          <t>cus_b8e52468d76b</t>
        </is>
      </c>
      <c r="I485" t="inlineStr">
        <is>
          <t>麥麥生技國際有限公司</t>
        </is>
      </c>
      <c r="J485" t="inlineStr">
        <is>
          <t>96590617</t>
        </is>
      </c>
      <c r="K485" t="n">
        <v>23333</v>
      </c>
      <c r="L485" t="n">
        <v>24500</v>
      </c>
      <c r="M485" t="inlineStr">
        <is>
          <t>發票數據受眾包</t>
        </is>
      </c>
      <c r="N485" t="inlineStr">
        <is>
          <t>陳彥均</t>
        </is>
      </c>
      <c r="O485" t="inlineStr">
        <is>
          <t>臺北市大安區信義路4段1號2樓</t>
        </is>
      </c>
      <c r="P485" t="inlineStr">
        <is>
          <t>3minskincare@gmail.com</t>
        </is>
      </c>
      <c r="Q485" t="inlineStr">
        <is>
          <t>02-77538597</t>
        </is>
      </c>
      <c r="R485" t="inlineStr"/>
      <c r="S485" t="inlineStr">
        <is>
          <t>已收款</t>
        </is>
      </c>
      <c r="T485" t="inlineStr">
        <is>
          <t>燒賣合作主題受眾包
來源：單次型發票及收款紀錄 第 4 列</t>
        </is>
      </c>
      <c r="U485" t="inlineStr">
        <is>
          <t>預先收款，隔月10日前開立發票</t>
        </is>
      </c>
      <c r="V485" t="inlineStr">
        <is>
          <t>2026-05-18</t>
        </is>
      </c>
    </row>
    <row r="486">
      <c r="A486" t="inlineStr">
        <is>
          <t>inv_de2d1e302cad</t>
        </is>
      </c>
      <c r="B486" t="inlineStr">
        <is>
          <t>Peggy</t>
        </is>
      </c>
      <c r="C486" t="inlineStr">
        <is>
          <t>2025-10-14</t>
        </is>
      </c>
      <c r="D486" t="inlineStr">
        <is>
          <t>2806646</t>
        </is>
      </c>
      <c r="E486" t="inlineStr"/>
      <c r="F486" t="inlineStr">
        <is>
          <t>2025-10-15</t>
        </is>
      </c>
      <c r="G486" t="inlineStr"/>
      <c r="H486" t="inlineStr">
        <is>
          <t>cus_b8e52468d76b</t>
        </is>
      </c>
      <c r="I486" t="inlineStr">
        <is>
          <t>麥麥生技國際有限公司</t>
        </is>
      </c>
      <c r="J486" t="inlineStr">
        <is>
          <t>96590617</t>
        </is>
      </c>
      <c r="K486" t="n">
        <v>54000</v>
      </c>
      <c r="L486" t="n">
        <v>56700</v>
      </c>
      <c r="M486" t="inlineStr">
        <is>
          <t>發票數據受眾包</t>
        </is>
      </c>
      <c r="N486" t="inlineStr">
        <is>
          <t>陳彥均 Mike</t>
        </is>
      </c>
      <c r="O486" t="inlineStr">
        <is>
          <t>臺北市大安區信義路4段1號2樓</t>
        </is>
      </c>
      <c r="P486" t="inlineStr">
        <is>
          <t>3minskincare@gmail.com</t>
        </is>
      </c>
      <c r="Q486" t="inlineStr">
        <is>
          <t>02-77538597</t>
        </is>
      </c>
      <c r="R486" t="inlineStr"/>
      <c r="S486" t="inlineStr">
        <is>
          <t>已收款</t>
        </is>
      </c>
      <c r="T486" t="inlineStr">
        <is>
          <t>美妝保養/受眾共享
來源：單次型發票及收款紀錄 第 5 列</t>
        </is>
      </c>
      <c r="U486" t="inlineStr">
        <is>
          <t>預付</t>
        </is>
      </c>
      <c r="V486" t="inlineStr">
        <is>
          <t>2026-05-18</t>
        </is>
      </c>
    </row>
    <row r="487">
      <c r="A487" t="inlineStr">
        <is>
          <t>inv_91ead3b47c7a</t>
        </is>
      </c>
      <c r="B487" t="inlineStr">
        <is>
          <t>Cobi</t>
        </is>
      </c>
      <c r="C487" t="inlineStr">
        <is>
          <t>2025.10.31
2025.11.4</t>
        </is>
      </c>
      <c r="D487" t="inlineStr">
        <is>
          <t>2717910</t>
        </is>
      </c>
      <c r="E487" t="inlineStr"/>
      <c r="F487" t="inlineStr">
        <is>
          <t>2025-08-01</t>
        </is>
      </c>
      <c r="G487" t="inlineStr"/>
      <c r="H487" t="inlineStr">
        <is>
          <t>cus_ea78377525ac</t>
        </is>
      </c>
      <c r="I487" t="inlineStr">
        <is>
          <t>麟數據科技股份有限公司</t>
        </is>
      </c>
      <c r="J487" t="inlineStr">
        <is>
          <t>42840667</t>
        </is>
      </c>
      <c r="K487" t="n">
        <v>15000</v>
      </c>
      <c r="L487" t="n">
        <v>15750</v>
      </c>
      <c r="M487" t="inlineStr">
        <is>
          <t>發票數據</t>
        </is>
      </c>
      <c r="N487" t="inlineStr">
        <is>
          <t>徐靖詠Jenny</t>
        </is>
      </c>
      <c r="O487" t="inlineStr">
        <is>
          <t>台北市信義區松德路159號16樓之1</t>
        </is>
      </c>
      <c r="P487" t="inlineStr">
        <is>
          <t>Jenny.hsu@LnData.com</t>
        </is>
      </c>
      <c r="Q487" t="inlineStr">
        <is>
          <t>02 23948800 #118</t>
        </is>
      </c>
      <c r="R487" t="inlineStr"/>
      <c r="S487" t="inlineStr">
        <is>
          <t>已收款</t>
        </is>
      </c>
      <c r="T487" t="inlineStr">
        <is>
          <t>來源：單次型發票及收款紀錄 第 6 列</t>
        </is>
      </c>
      <c r="U487" t="inlineStr">
        <is>
          <t>收到發票後30天</t>
        </is>
      </c>
      <c r="V487" t="inlineStr">
        <is>
          <t>2026-05-18</t>
        </is>
      </c>
    </row>
    <row r="488">
      <c r="A488" t="inlineStr">
        <is>
          <t>inv_09c60004121b</t>
        </is>
      </c>
      <c r="B488" t="inlineStr">
        <is>
          <t>Cobi</t>
        </is>
      </c>
      <c r="C488" t="inlineStr">
        <is>
          <t>2025-12-01</t>
        </is>
      </c>
      <c r="D488" t="inlineStr">
        <is>
          <t>2761808</t>
        </is>
      </c>
      <c r="E488" t="inlineStr"/>
      <c r="F488" t="inlineStr">
        <is>
          <t>2025-09-05</t>
        </is>
      </c>
      <c r="G488" t="inlineStr"/>
      <c r="H488" t="inlineStr">
        <is>
          <t>cus_ea78377525ac</t>
        </is>
      </c>
      <c r="I488" t="inlineStr">
        <is>
          <t>麟數據科技股份有限公司</t>
        </is>
      </c>
      <c r="J488" t="inlineStr">
        <is>
          <t>42840667</t>
        </is>
      </c>
      <c r="K488" t="n">
        <v>5000</v>
      </c>
      <c r="L488" t="n">
        <v>5250</v>
      </c>
      <c r="M488" t="inlineStr">
        <is>
          <t>發票數據</t>
        </is>
      </c>
      <c r="N488" t="inlineStr">
        <is>
          <t>徐靖詠Jenny</t>
        </is>
      </c>
      <c r="O488" t="inlineStr">
        <is>
          <t>台北市信義區松德路159號16樓之1</t>
        </is>
      </c>
      <c r="P488" t="inlineStr">
        <is>
          <t>Jenny.hsu@LnData.com</t>
        </is>
      </c>
      <c r="Q488" t="inlineStr">
        <is>
          <t>02 23948800 #118</t>
        </is>
      </c>
      <c r="R488" t="inlineStr"/>
      <c r="S488" t="inlineStr">
        <is>
          <t>已收款</t>
        </is>
      </c>
      <c r="T488" t="inlineStr">
        <is>
          <t>樂田數據
來源：單次型發票及收款紀錄 第 7 列</t>
        </is>
      </c>
      <c r="U488" t="inlineStr">
        <is>
          <t>收到發票後30天</t>
        </is>
      </c>
      <c r="V488" t="inlineStr">
        <is>
          <t>2026-05-18</t>
        </is>
      </c>
    </row>
    <row r="489">
      <c r="A489" t="inlineStr">
        <is>
          <t>inv_58c9f4c2fc2c</t>
        </is>
      </c>
      <c r="B489" t="inlineStr">
        <is>
          <t>Erin</t>
        </is>
      </c>
      <c r="C489" t="inlineStr">
        <is>
          <t>2025-04-30</t>
        </is>
      </c>
      <c r="D489" t="inlineStr">
        <is>
          <t>2588196</t>
        </is>
      </c>
      <c r="E489" t="inlineStr"/>
      <c r="F489" t="inlineStr">
        <is>
          <t>2025-04-07</t>
        </is>
      </c>
      <c r="G489" t="inlineStr">
        <is>
          <t>LY43855891</t>
        </is>
      </c>
      <c r="H489" t="inlineStr">
        <is>
          <t>cus_00cf1d9fc303</t>
        </is>
      </c>
      <c r="I489" t="inlineStr">
        <is>
          <t>鮮速冷鏈科技股份有限公司</t>
        </is>
      </c>
      <c r="J489" t="inlineStr">
        <is>
          <t>42585899</t>
        </is>
      </c>
      <c r="K489" t="n">
        <v>300000</v>
      </c>
      <c r="L489" t="n">
        <v>315000</v>
      </c>
      <c r="M489" t="inlineStr">
        <is>
          <t>專案報告</t>
        </is>
      </c>
      <c r="N489" t="inlineStr">
        <is>
          <t>李芷氤 Serene</t>
        </is>
      </c>
      <c r="O489" t="inlineStr">
        <is>
          <t>台北市松山區民生東路三段156號9樓</t>
        </is>
      </c>
      <c r="P489" t="inlineStr">
        <is>
          <t>serene.lee@gogoffcc.com</t>
        </is>
      </c>
      <c r="Q489" t="inlineStr">
        <is>
          <t>03-6215252/0920-438893</t>
        </is>
      </c>
      <c r="R489" t="inlineStr"/>
      <c r="S489" t="inlineStr">
        <is>
          <t>已收款</t>
        </is>
      </c>
      <c r="T489" t="inlineStr">
        <is>
          <t>未來流通研究所
來源：單次型發票及收款紀錄 第 8 列</t>
        </is>
      </c>
      <c r="U489" t="inlineStr">
        <is>
          <t>收到發票次月底</t>
        </is>
      </c>
      <c r="V489" t="inlineStr">
        <is>
          <t>2026-05-18</t>
        </is>
      </c>
    </row>
    <row r="490">
      <c r="A490" t="inlineStr">
        <is>
          <t>inv_0880f56c0001</t>
        </is>
      </c>
      <c r="B490" t="inlineStr">
        <is>
          <t>Kate</t>
        </is>
      </c>
      <c r="C490" t="inlineStr">
        <is>
          <t>2025-09-30</t>
        </is>
      </c>
      <c r="D490" t="inlineStr">
        <is>
          <t>2761799</t>
        </is>
      </c>
      <c r="E490" t="inlineStr"/>
      <c r="F490" t="inlineStr">
        <is>
          <t>2025-09-05</t>
        </is>
      </c>
      <c r="G490" t="inlineStr"/>
      <c r="H490" t="inlineStr">
        <is>
          <t>cus_00cf1d9fc303</t>
        </is>
      </c>
      <c r="I490" t="inlineStr">
        <is>
          <t>鮮速冷鏈科技股份有限公司</t>
        </is>
      </c>
      <c r="J490" t="inlineStr">
        <is>
          <t>42585899</t>
        </is>
      </c>
      <c r="K490" t="n">
        <v>95238</v>
      </c>
      <c r="L490" t="n">
        <v>100000</v>
      </c>
      <c r="M490" t="inlineStr">
        <is>
          <t>專案- 
通路消費品類
金額佔比</t>
        </is>
      </c>
      <c r="N490" t="inlineStr">
        <is>
          <t>李芷氤 Serene</t>
        </is>
      </c>
      <c r="O490" t="inlineStr">
        <is>
          <t>台北市松山區民生東路三段156號9樓</t>
        </is>
      </c>
      <c r="P490" t="inlineStr">
        <is>
          <t>serene.lee@gogoffcc.com</t>
        </is>
      </c>
      <c r="Q490" t="inlineStr">
        <is>
          <t>03-6215252/0920-438893</t>
        </is>
      </c>
      <c r="R490" t="inlineStr"/>
      <c r="S490" t="inlineStr">
        <is>
          <t>已收款</t>
        </is>
      </c>
      <c r="T490" t="inlineStr">
        <is>
          <t>未來流通研究所
來源：單次型發票及收款紀錄 第 9 列</t>
        </is>
      </c>
      <c r="U490" t="inlineStr">
        <is>
          <t>9/30付款</t>
        </is>
      </c>
      <c r="V490" t="inlineStr">
        <is>
          <t>2026-05-18</t>
        </is>
      </c>
    </row>
    <row r="491">
      <c r="A491" t="inlineStr">
        <is>
          <t>inv_06871904b468</t>
        </is>
      </c>
      <c r="B491" t="inlineStr">
        <is>
          <t>Kate</t>
        </is>
      </c>
      <c r="C491" t="inlineStr">
        <is>
          <t>2025-09-30</t>
        </is>
      </c>
      <c r="D491" t="inlineStr">
        <is>
          <t>2761800</t>
        </is>
      </c>
      <c r="E491" t="inlineStr"/>
      <c r="F491" t="inlineStr">
        <is>
          <t>2025-09-05</t>
        </is>
      </c>
      <c r="G491" t="inlineStr"/>
      <c r="H491" t="inlineStr">
        <is>
          <t>cus_00cf1d9fc303</t>
        </is>
      </c>
      <c r="I491" t="inlineStr">
        <is>
          <t>鮮速冷鏈科技股份有限公司</t>
        </is>
      </c>
      <c r="J491" t="inlineStr">
        <is>
          <t>42585899</t>
        </is>
      </c>
      <c r="K491" t="n">
        <v>95238</v>
      </c>
      <c r="L491" t="n">
        <v>100000</v>
      </c>
      <c r="M491" t="inlineStr">
        <is>
          <t>專案- 
通路消費品類
金額佔比</t>
        </is>
      </c>
      <c r="N491" t="inlineStr">
        <is>
          <t>李芷氤 Serene</t>
        </is>
      </c>
      <c r="O491" t="inlineStr">
        <is>
          <t>台北市松山區民生東路三段156號9樓</t>
        </is>
      </c>
      <c r="P491" t="inlineStr">
        <is>
          <t>serene.lee@gogoffcc.com</t>
        </is>
      </c>
      <c r="Q491" t="inlineStr">
        <is>
          <t>03-6215252/0920-438893</t>
        </is>
      </c>
      <c r="R491" t="inlineStr"/>
      <c r="S491" t="inlineStr">
        <is>
          <t>已收款</t>
        </is>
      </c>
      <c r="T491" t="inlineStr">
        <is>
          <t>未來流通研究所
來源：單次型發票及收款紀錄 第 10 列</t>
        </is>
      </c>
      <c r="U491" t="inlineStr">
        <is>
          <t>9/30付款</t>
        </is>
      </c>
      <c r="V491" t="inlineStr">
        <is>
          <t>2026-05-18</t>
        </is>
      </c>
    </row>
    <row r="492">
      <c r="A492" t="inlineStr">
        <is>
          <t>inv_c5642412774a</t>
        </is>
      </c>
      <c r="B492" t="inlineStr">
        <is>
          <t>Kate</t>
        </is>
      </c>
      <c r="C492" t="inlineStr">
        <is>
          <t>2026-02-02</t>
        </is>
      </c>
      <c r="D492" t="inlineStr">
        <is>
          <t>2852117</t>
        </is>
      </c>
      <c r="E492" t="inlineStr"/>
      <c r="F492" t="inlineStr">
        <is>
          <t>2025-11-21</t>
        </is>
      </c>
      <c r="G492" t="inlineStr"/>
      <c r="H492" t="inlineStr">
        <is>
          <t>cus_00cf1d9fc303</t>
        </is>
      </c>
      <c r="I492" t="inlineStr">
        <is>
          <t>鮮速冷鏈科技股份有限公司</t>
        </is>
      </c>
      <c r="J492" t="inlineStr">
        <is>
          <t>42585899</t>
        </is>
      </c>
      <c r="K492" t="n">
        <v>654762</v>
      </c>
      <c r="L492" t="n">
        <v>687500</v>
      </c>
      <c r="M492" t="inlineStr">
        <is>
          <t>專案- 
Q2通路消費品類
金額佔比</t>
        </is>
      </c>
      <c r="N492" t="inlineStr">
        <is>
          <t>李芷氤 Serene</t>
        </is>
      </c>
      <c r="O492" t="inlineStr">
        <is>
          <t>台北市松山區民生東路三段156號9樓</t>
        </is>
      </c>
      <c r="P492" t="inlineStr">
        <is>
          <t>serene.lee@gogoffcc.com</t>
        </is>
      </c>
      <c r="Q492" t="inlineStr">
        <is>
          <t>03-6215252/0920-438893</t>
        </is>
      </c>
      <c r="R492" t="inlineStr"/>
      <c r="S492" t="inlineStr">
        <is>
          <t>已收款</t>
        </is>
      </c>
      <c r="T492" t="inlineStr">
        <is>
          <t>未來流通研究所
來源：單次型發票及收款紀錄 第 11 列</t>
        </is>
      </c>
      <c r="U492" t="inlineStr">
        <is>
          <t>預計1/31入帳</t>
        </is>
      </c>
      <c r="V492" t="inlineStr">
        <is>
          <t>2026-05-18</t>
        </is>
      </c>
    </row>
    <row r="493">
      <c r="A493" t="inlineStr">
        <is>
          <t>inv_0d92a3ce10d1</t>
        </is>
      </c>
      <c r="B493" t="inlineStr">
        <is>
          <t>黃思睿</t>
        </is>
      </c>
      <c r="C493" t="inlineStr">
        <is>
          <t>2023-12-27</t>
        </is>
      </c>
      <c r="D493" t="inlineStr">
        <is>
          <t>1900420</t>
        </is>
      </c>
      <c r="E493" t="inlineStr">
        <is>
          <t>2023.09.01</t>
        </is>
      </c>
      <c r="F493" t="inlineStr">
        <is>
          <t>2023-09-09</t>
        </is>
      </c>
      <c r="G493" t="inlineStr">
        <is>
          <t>TC44723791</t>
        </is>
      </c>
      <c r="H493" t="inlineStr">
        <is>
          <t>cus_dd529e19734e</t>
        </is>
      </c>
      <c r="I493" t="inlineStr">
        <is>
          <t>騰學廣告科技股份有限公司</t>
        </is>
      </c>
      <c r="J493" t="inlineStr">
        <is>
          <t>24748750</t>
        </is>
      </c>
      <c r="K493" t="n">
        <v>24900</v>
      </c>
      <c r="L493" t="n">
        <v>26145</v>
      </c>
      <c r="M493" t="inlineStr">
        <is>
          <t>發票數據受眾包</t>
        </is>
      </c>
      <c r="N493" t="inlineStr">
        <is>
          <t>林育正 Martin</t>
        </is>
      </c>
      <c r="O493" t="inlineStr">
        <is>
          <t>106台北市大安區基隆路二段172-1號15樓</t>
        </is>
      </c>
      <c r="P493" t="inlineStr">
        <is>
          <t>martin@tenmax.io</t>
        </is>
      </c>
      <c r="Q493" t="inlineStr">
        <is>
          <t>0968646656</t>
        </is>
      </c>
      <c r="R493" t="inlineStr"/>
      <c r="S493" t="inlineStr">
        <is>
          <t>已收款</t>
        </is>
      </c>
      <c r="T493" t="inlineStr">
        <is>
          <t>TenMax
來源：單次型發票及收款紀錄 第 12 列</t>
        </is>
      </c>
      <c r="U493" t="inlineStr">
        <is>
          <t>收到發票隔月起60天</t>
        </is>
      </c>
      <c r="V493" t="inlineStr">
        <is>
          <t>2026-05-18</t>
        </is>
      </c>
    </row>
    <row r="494">
      <c r="A494" t="inlineStr">
        <is>
          <t>inv_d32954282668</t>
        </is>
      </c>
      <c r="B494" t="inlineStr">
        <is>
          <t>黃思睿</t>
        </is>
      </c>
      <c r="C494" t="inlineStr">
        <is>
          <t>2024-01-26</t>
        </is>
      </c>
      <c r="D494" t="inlineStr">
        <is>
          <t>1934477</t>
        </is>
      </c>
      <c r="E494" t="inlineStr">
        <is>
          <t>2023.10.12</t>
        </is>
      </c>
      <c r="F494" t="inlineStr">
        <is>
          <t>2023-10-12</t>
        </is>
      </c>
      <c r="G494" t="inlineStr">
        <is>
          <t>TC44755157</t>
        </is>
      </c>
      <c r="H494" t="inlineStr">
        <is>
          <t>cus_dd529e19734e</t>
        </is>
      </c>
      <c r="I494" t="inlineStr">
        <is>
          <t>騰學廣告科技股份有限公司</t>
        </is>
      </c>
      <c r="J494" t="inlineStr">
        <is>
          <t>24748750</t>
        </is>
      </c>
      <c r="K494" t="n">
        <v>51435</v>
      </c>
      <c r="L494" t="n">
        <v>54007</v>
      </c>
      <c r="M494" t="inlineStr">
        <is>
          <t>發票數據受眾包</t>
        </is>
      </c>
      <c r="N494" t="inlineStr">
        <is>
          <t>林育正 Martin</t>
        </is>
      </c>
      <c r="O494" t="inlineStr">
        <is>
          <t>106台北市大安區基隆路二段172-1號15樓</t>
        </is>
      </c>
      <c r="P494" t="inlineStr">
        <is>
          <t>martin@tenmax.io</t>
        </is>
      </c>
      <c r="Q494" t="inlineStr">
        <is>
          <t>0968646656</t>
        </is>
      </c>
      <c r="R494" t="inlineStr"/>
      <c r="S494" t="inlineStr">
        <is>
          <t>已收款</t>
        </is>
      </c>
      <c r="T494" t="inlineStr">
        <is>
          <t>TenMax
來源：單次型發票及收款紀錄 第 13 列</t>
        </is>
      </c>
      <c r="U494" t="inlineStr">
        <is>
          <t>收到發票隔月起60天</t>
        </is>
      </c>
      <c r="V494" t="inlineStr">
        <is>
          <t>2026-05-18</t>
        </is>
      </c>
    </row>
    <row r="495">
      <c r="A495" t="inlineStr">
        <is>
          <t>inv_0da289c432b4</t>
        </is>
      </c>
      <c r="B495" t="inlineStr">
        <is>
          <t>黃思睿</t>
        </is>
      </c>
      <c r="C495" t="inlineStr">
        <is>
          <t>2024-01-26</t>
        </is>
      </c>
      <c r="D495" t="inlineStr">
        <is>
          <t>1965202</t>
        </is>
      </c>
      <c r="E495" t="inlineStr">
        <is>
          <t>2023.11.08</t>
        </is>
      </c>
      <c r="F495" t="inlineStr">
        <is>
          <t>2023-11-08</t>
        </is>
      </c>
      <c r="G495" t="inlineStr">
        <is>
          <t>VC44723850</t>
        </is>
      </c>
      <c r="H495" t="inlineStr">
        <is>
          <t>cus_dd529e19734e</t>
        </is>
      </c>
      <c r="I495" t="inlineStr">
        <is>
          <t>騰學廣告科技股份有限公司</t>
        </is>
      </c>
      <c r="J495" t="inlineStr">
        <is>
          <t>24748750</t>
        </is>
      </c>
      <c r="K495" t="n">
        <v>1360</v>
      </c>
      <c r="L495" t="n">
        <v>1428</v>
      </c>
      <c r="M495" t="inlineStr">
        <is>
          <t>發票數據受眾包</t>
        </is>
      </c>
      <c r="N495" t="inlineStr">
        <is>
          <t>林育正 Martin</t>
        </is>
      </c>
      <c r="O495" t="inlineStr">
        <is>
          <t>106台北市大安區基隆路二段172-1號15樓</t>
        </is>
      </c>
      <c r="P495" t="inlineStr">
        <is>
          <t>martin@tenmax.io</t>
        </is>
      </c>
      <c r="Q495" t="inlineStr">
        <is>
          <t>0968646656</t>
        </is>
      </c>
      <c r="R495" t="inlineStr"/>
      <c r="S495" t="inlineStr">
        <is>
          <t>已收款</t>
        </is>
      </c>
      <c r="T495" t="inlineStr">
        <is>
          <t>TenMax
來源：單次型發票及收款紀錄 第 14 列</t>
        </is>
      </c>
      <c r="U495" t="inlineStr">
        <is>
          <t>收到發票隔月起60天</t>
        </is>
      </c>
      <c r="V495" t="inlineStr">
        <is>
          <t>2026-05-18</t>
        </is>
      </c>
    </row>
    <row r="496">
      <c r="A496" t="inlineStr">
        <is>
          <t>inv_e0e819516fbc</t>
        </is>
      </c>
      <c r="B496" t="inlineStr">
        <is>
          <t>黃思睿</t>
        </is>
      </c>
      <c r="C496" t="inlineStr">
        <is>
          <t>2024-02-27</t>
        </is>
      </c>
      <c r="D496" t="inlineStr">
        <is>
          <t>2004788</t>
        </is>
      </c>
      <c r="E496" t="inlineStr">
        <is>
          <t>2023.12.06</t>
        </is>
      </c>
      <c r="F496" t="inlineStr">
        <is>
          <t>2023-12-06</t>
        </is>
      </c>
      <c r="G496" t="inlineStr">
        <is>
          <t>VC44759557</t>
        </is>
      </c>
      <c r="H496" t="inlineStr">
        <is>
          <t>cus_dd529e19734e</t>
        </is>
      </c>
      <c r="I496" t="inlineStr">
        <is>
          <t>騰學廣告科技股份有限公司</t>
        </is>
      </c>
      <c r="J496" t="inlineStr">
        <is>
          <t>24748750</t>
        </is>
      </c>
      <c r="K496" t="n">
        <v>24560</v>
      </c>
      <c r="L496" t="n">
        <v>25788</v>
      </c>
      <c r="M496" t="inlineStr">
        <is>
          <t>發票數據受眾包</t>
        </is>
      </c>
      <c r="N496" t="inlineStr">
        <is>
          <t>林育正 Martin</t>
        </is>
      </c>
      <c r="O496" t="inlineStr">
        <is>
          <t>106台北市大安區基隆路二段172-1號15樓</t>
        </is>
      </c>
      <c r="P496" t="inlineStr">
        <is>
          <t>martin@tenmax.io</t>
        </is>
      </c>
      <c r="Q496" t="inlineStr">
        <is>
          <t>0968646656</t>
        </is>
      </c>
      <c r="R496" t="inlineStr"/>
      <c r="S496" t="inlineStr">
        <is>
          <t>已收款</t>
        </is>
      </c>
      <c r="T496" t="inlineStr">
        <is>
          <t>TenMax
來源：單次型發票及收款紀錄 第 15 列</t>
        </is>
      </c>
      <c r="U496" t="inlineStr">
        <is>
          <t>收到發票隔月起60天</t>
        </is>
      </c>
      <c r="V496" t="inlineStr">
        <is>
          <t>2026-05-18</t>
        </is>
      </c>
    </row>
    <row r="497">
      <c r="A497" t="inlineStr">
        <is>
          <t>inv_0126c0e66d3d</t>
        </is>
      </c>
      <c r="B497" t="inlineStr">
        <is>
          <t>黃思睿</t>
        </is>
      </c>
      <c r="C497" t="inlineStr">
        <is>
          <t>2024-04-12</t>
        </is>
      </c>
      <c r="D497" t="inlineStr">
        <is>
          <t>2046047</t>
        </is>
      </c>
      <c r="E497" t="inlineStr">
        <is>
          <t>2024.01.04</t>
        </is>
      </c>
      <c r="F497" t="inlineStr">
        <is>
          <t>2024-01-10</t>
        </is>
      </c>
      <c r="G497" t="inlineStr">
        <is>
          <t>XE03656423</t>
        </is>
      </c>
      <c r="H497" t="inlineStr">
        <is>
          <t>cus_dd529e19734e</t>
        </is>
      </c>
      <c r="I497" t="inlineStr">
        <is>
          <t>騰學廣告科技股份有限公司</t>
        </is>
      </c>
      <c r="J497" t="inlineStr">
        <is>
          <t>24748750</t>
        </is>
      </c>
      <c r="K497" t="n">
        <v>38240</v>
      </c>
      <c r="L497" t="n">
        <v>40152</v>
      </c>
      <c r="M497" t="inlineStr">
        <is>
          <t>發票數據受眾包</t>
        </is>
      </c>
      <c r="N497" t="inlineStr">
        <is>
          <t>林育正 Martin</t>
        </is>
      </c>
      <c r="O497" t="inlineStr">
        <is>
          <t>106台北市大安區基隆路二段172-1號15樓</t>
        </is>
      </c>
      <c r="P497" t="inlineStr">
        <is>
          <t>martin@tenmax.io</t>
        </is>
      </c>
      <c r="Q497" t="inlineStr">
        <is>
          <t>0968646656</t>
        </is>
      </c>
      <c r="R497" t="inlineStr"/>
      <c r="S497" t="inlineStr">
        <is>
          <t>已收款</t>
        </is>
      </c>
      <c r="T497" t="inlineStr">
        <is>
          <t>TenMax
來源：單次型發票及收款紀錄 第 16 列</t>
        </is>
      </c>
      <c r="U497" t="inlineStr">
        <is>
          <t>收到發票隔月起60天</t>
        </is>
      </c>
      <c r="V497" t="inlineStr">
        <is>
          <t>2026-05-18</t>
        </is>
      </c>
    </row>
    <row r="498">
      <c r="A498" t="inlineStr">
        <is>
          <t>inv_935a2008d567</t>
        </is>
      </c>
      <c r="B498" t="inlineStr">
        <is>
          <t>黃思睿</t>
        </is>
      </c>
      <c r="C498" t="inlineStr">
        <is>
          <t>2024-04-29</t>
        </is>
      </c>
      <c r="D498" t="inlineStr">
        <is>
          <t>2076185</t>
        </is>
      </c>
      <c r="E498" t="inlineStr">
        <is>
          <t>2024.02.05</t>
        </is>
      </c>
      <c r="F498" t="inlineStr">
        <is>
          <t>2024-02-05</t>
        </is>
      </c>
      <c r="G498" t="inlineStr">
        <is>
          <t>XE03684428</t>
        </is>
      </c>
      <c r="H498" t="inlineStr">
        <is>
          <t>cus_dd529e19734e</t>
        </is>
      </c>
      <c r="I498" t="inlineStr">
        <is>
          <t>騰學廣告科技股份有限公司</t>
        </is>
      </c>
      <c r="J498" t="inlineStr">
        <is>
          <t>24748750</t>
        </is>
      </c>
      <c r="K498" t="n">
        <v>13785</v>
      </c>
      <c r="L498" t="n">
        <v>14474</v>
      </c>
      <c r="M498" t="inlineStr">
        <is>
          <t>發票數據受眾包</t>
        </is>
      </c>
      <c r="N498" t="inlineStr">
        <is>
          <t>林育正 Martin</t>
        </is>
      </c>
      <c r="O498" t="inlineStr">
        <is>
          <t>106台北市大安區基隆路二段172-1號15樓</t>
        </is>
      </c>
      <c r="P498" t="inlineStr">
        <is>
          <t>martin@tenmax.io</t>
        </is>
      </c>
      <c r="Q498" t="inlineStr">
        <is>
          <t>0968646656</t>
        </is>
      </c>
      <c r="R498" t="inlineStr"/>
      <c r="S498" t="inlineStr">
        <is>
          <t>已收款</t>
        </is>
      </c>
      <c r="T498" t="inlineStr">
        <is>
          <t>TenMax
來源：單次型發票及收款紀錄 第 17 列</t>
        </is>
      </c>
      <c r="U498" t="inlineStr">
        <is>
          <t>收到發票隔月起60天</t>
        </is>
      </c>
      <c r="V498" t="inlineStr">
        <is>
          <t>2026-05-18</t>
        </is>
      </c>
    </row>
    <row r="499">
      <c r="A499" t="inlineStr">
        <is>
          <t>inv_906882e4fa21</t>
        </is>
      </c>
      <c r="B499" t="inlineStr">
        <is>
          <t>黃思睿</t>
        </is>
      </c>
      <c r="C499" t="inlineStr">
        <is>
          <t>2024-05-27</t>
        </is>
      </c>
      <c r="D499" t="inlineStr">
        <is>
          <t>2117282</t>
        </is>
      </c>
      <c r="E499" t="inlineStr">
        <is>
          <t>2024.03.08</t>
        </is>
      </c>
      <c r="F499" t="inlineStr">
        <is>
          <t>2024-03-08</t>
        </is>
      </c>
      <c r="G499" t="inlineStr">
        <is>
          <t>ZD03656434</t>
        </is>
      </c>
      <c r="H499" t="inlineStr">
        <is>
          <t>cus_dd529e19734e</t>
        </is>
      </c>
      <c r="I499" t="inlineStr">
        <is>
          <t>騰學廣告科技股份有限公司</t>
        </is>
      </c>
      <c r="J499" t="inlineStr">
        <is>
          <t>24748750</t>
        </is>
      </c>
      <c r="K499" t="n">
        <v>12300</v>
      </c>
      <c r="L499" t="n">
        <v>12915</v>
      </c>
      <c r="M499" t="inlineStr">
        <is>
          <t>發票數據受眾包</t>
        </is>
      </c>
      <c r="N499" t="inlineStr">
        <is>
          <t>Raven Liao (廖婕如)</t>
        </is>
      </c>
      <c r="O499" t="inlineStr">
        <is>
          <t>106台北市大安區基隆路二段172-1號15樓</t>
        </is>
      </c>
      <c r="P499" t="inlineStr">
        <is>
          <t>raven.liao@tenmax.io</t>
        </is>
      </c>
      <c r="Q499" t="inlineStr">
        <is>
          <t>0968646656</t>
        </is>
      </c>
      <c r="R499" t="inlineStr"/>
      <c r="S499" t="inlineStr">
        <is>
          <t>已收款</t>
        </is>
      </c>
      <c r="T499" t="inlineStr">
        <is>
          <t>TenMax
來源：單次型發票及收款紀錄 第 18 列</t>
        </is>
      </c>
      <c r="U499" t="inlineStr">
        <is>
          <t>收到發票隔月起60天</t>
        </is>
      </c>
      <c r="V499" t="inlineStr">
        <is>
          <t>2026-05-18</t>
        </is>
      </c>
    </row>
    <row r="500">
      <c r="A500" t="inlineStr">
        <is>
          <t>inv_5d2b8db2e6aa</t>
        </is>
      </c>
      <c r="B500" t="inlineStr">
        <is>
          <t>黃思睿</t>
        </is>
      </c>
      <c r="C500" t="inlineStr">
        <is>
          <t>2024-06-27</t>
        </is>
      </c>
      <c r="D500" t="inlineStr">
        <is>
          <t>2165976</t>
        </is>
      </c>
      <c r="E500" t="inlineStr"/>
      <c r="F500" t="inlineStr">
        <is>
          <t>2024-04-11</t>
        </is>
      </c>
      <c r="G500" t="inlineStr">
        <is>
          <t>ZD03696458</t>
        </is>
      </c>
      <c r="H500" t="inlineStr">
        <is>
          <t>cus_dd529e19734e</t>
        </is>
      </c>
      <c r="I500" t="inlineStr">
        <is>
          <t>騰學廣告科技股份有限公司</t>
        </is>
      </c>
      <c r="J500" t="inlineStr">
        <is>
          <t>24748750</t>
        </is>
      </c>
      <c r="K500" t="n">
        <v>21150</v>
      </c>
      <c r="L500" t="n">
        <v>22208</v>
      </c>
      <c r="M500" t="inlineStr">
        <is>
          <t>發票數據受眾包</t>
        </is>
      </c>
      <c r="N500" t="inlineStr">
        <is>
          <t>Raven Liao (廖婕如)</t>
        </is>
      </c>
      <c r="O500" t="inlineStr">
        <is>
          <t>106台北市大安區基隆路二段172-1號15樓</t>
        </is>
      </c>
      <c r="P500" t="inlineStr">
        <is>
          <t>raven.liao@tenmax.io</t>
        </is>
      </c>
      <c r="Q500" t="inlineStr">
        <is>
          <t>0968646656</t>
        </is>
      </c>
      <c r="R500" t="inlineStr"/>
      <c r="S500" t="inlineStr">
        <is>
          <t>已收款</t>
        </is>
      </c>
      <c r="T500" t="inlineStr">
        <is>
          <t>TenMax
來源：單次型發票及收款紀錄 第 19 列</t>
        </is>
      </c>
      <c r="U500" t="inlineStr">
        <is>
          <t>收到發票隔月起60天</t>
        </is>
      </c>
      <c r="V500" t="inlineStr">
        <is>
          <t>2026-05-18</t>
        </is>
      </c>
    </row>
    <row r="501">
      <c r="A501" t="inlineStr">
        <is>
          <t>inv_80337585bc3e</t>
        </is>
      </c>
      <c r="B501" t="inlineStr">
        <is>
          <t>黃思睿</t>
        </is>
      </c>
      <c r="C501" t="inlineStr">
        <is>
          <t>2024-07-29</t>
        </is>
      </c>
      <c r="D501" t="inlineStr">
        <is>
          <t>2200385</t>
        </is>
      </c>
      <c r="E501" t="inlineStr"/>
      <c r="F501" t="inlineStr">
        <is>
          <t>2024-05-07</t>
        </is>
      </c>
      <c r="G501" t="inlineStr">
        <is>
          <t>BD03653734</t>
        </is>
      </c>
      <c r="H501" t="inlineStr">
        <is>
          <t>cus_dd529e19734e</t>
        </is>
      </c>
      <c r="I501" t="inlineStr">
        <is>
          <t>騰學廣告科技股份有限公司</t>
        </is>
      </c>
      <c r="J501" t="inlineStr">
        <is>
          <t>24748750</t>
        </is>
      </c>
      <c r="K501" t="n">
        <v>25925</v>
      </c>
      <c r="L501" t="n">
        <v>27221</v>
      </c>
      <c r="M501" t="inlineStr">
        <is>
          <t>發票數據受眾包</t>
        </is>
      </c>
      <c r="N501" t="inlineStr">
        <is>
          <t>Raven Liao (廖婕如)</t>
        </is>
      </c>
      <c r="O501" t="inlineStr">
        <is>
          <t>106台北市大安區基隆路二段172-1號15樓</t>
        </is>
      </c>
      <c r="P501" t="inlineStr">
        <is>
          <t>raven.liao@tenmax.io</t>
        </is>
      </c>
      <c r="Q501" t="inlineStr">
        <is>
          <t>0968646656</t>
        </is>
      </c>
      <c r="R501" t="inlineStr"/>
      <c r="S501" t="inlineStr">
        <is>
          <t>已收款</t>
        </is>
      </c>
      <c r="T501" t="inlineStr">
        <is>
          <t>TenMax
來源：單次型發票及收款紀錄 第 20 列</t>
        </is>
      </c>
      <c r="U501" t="inlineStr">
        <is>
          <t>收到發票隔月起60天</t>
        </is>
      </c>
      <c r="V501" t="inlineStr">
        <is>
          <t>2026-05-18</t>
        </is>
      </c>
    </row>
    <row r="502">
      <c r="A502" t="inlineStr">
        <is>
          <t>inv_7f11128c04f5</t>
        </is>
      </c>
      <c r="B502" t="inlineStr">
        <is>
          <t>黃思睿</t>
        </is>
      </c>
      <c r="C502" t="inlineStr">
        <is>
          <t>2024-08-27</t>
        </is>
      </c>
      <c r="D502" t="inlineStr">
        <is>
          <t>2246863</t>
        </is>
      </c>
      <c r="E502" t="inlineStr"/>
      <c r="F502" t="inlineStr">
        <is>
          <t>2024-06-06</t>
        </is>
      </c>
      <c r="G502" t="inlineStr">
        <is>
          <t>BD03695143</t>
        </is>
      </c>
      <c r="H502" t="inlineStr">
        <is>
          <t>cus_dd529e19734e</t>
        </is>
      </c>
      <c r="I502" t="inlineStr">
        <is>
          <t>騰學廣告科技股份有限公司</t>
        </is>
      </c>
      <c r="J502" t="inlineStr">
        <is>
          <t>24748750</t>
        </is>
      </c>
      <c r="K502" t="n">
        <v>30690</v>
      </c>
      <c r="L502" t="n">
        <v>32224</v>
      </c>
      <c r="M502" t="inlineStr">
        <is>
          <t>發票數據受眾包</t>
        </is>
      </c>
      <c r="N502" t="inlineStr">
        <is>
          <t>Raven Liao (廖婕如)</t>
        </is>
      </c>
      <c r="O502" t="inlineStr">
        <is>
          <t>106台北市大安區基隆路二段172-1號15樓</t>
        </is>
      </c>
      <c r="P502" t="inlineStr">
        <is>
          <t>raven.liao@tenmax.io</t>
        </is>
      </c>
      <c r="Q502" t="inlineStr">
        <is>
          <t>0968646656</t>
        </is>
      </c>
      <c r="R502" t="inlineStr"/>
      <c r="S502" t="inlineStr">
        <is>
          <t>已收款</t>
        </is>
      </c>
      <c r="T502" t="inlineStr">
        <is>
          <t>TenMax
來源：單次型發票及收款紀錄 第 21 列</t>
        </is>
      </c>
      <c r="U502" t="inlineStr">
        <is>
          <t>收到發票隔月起60天</t>
        </is>
      </c>
      <c r="V502" t="inlineStr">
        <is>
          <t>2026-05-18</t>
        </is>
      </c>
    </row>
    <row r="503">
      <c r="A503" t="inlineStr">
        <is>
          <t>inv_d149d837bf00</t>
        </is>
      </c>
      <c r="B503" t="inlineStr">
        <is>
          <t>黃思睿</t>
        </is>
      </c>
      <c r="C503" t="inlineStr">
        <is>
          <t>2024-09-27</t>
        </is>
      </c>
      <c r="D503" t="inlineStr">
        <is>
          <t>2287587</t>
        </is>
      </c>
      <c r="E503" t="inlineStr"/>
      <c r="F503" t="inlineStr">
        <is>
          <t>2024-07-05</t>
        </is>
      </c>
      <c r="G503" t="inlineStr">
        <is>
          <t>DC03652248</t>
        </is>
      </c>
      <c r="H503" t="inlineStr">
        <is>
          <t>cus_dd529e19734e</t>
        </is>
      </c>
      <c r="I503" t="inlineStr">
        <is>
          <t>騰學廣告科技股份有限公司</t>
        </is>
      </c>
      <c r="J503" t="inlineStr">
        <is>
          <t>24748750</t>
        </is>
      </c>
      <c r="K503" t="n">
        <v>18645</v>
      </c>
      <c r="L503" t="n">
        <v>19577</v>
      </c>
      <c r="M503" t="inlineStr">
        <is>
          <t>發票數據受眾包</t>
        </is>
      </c>
      <c r="N503" t="inlineStr">
        <is>
          <t>Raven Liao (廖婕如)</t>
        </is>
      </c>
      <c r="O503" t="inlineStr">
        <is>
          <t>106台北市大安區基隆路二段172-1號15樓</t>
        </is>
      </c>
      <c r="P503" t="inlineStr">
        <is>
          <t>raven.liao@tenmax.io</t>
        </is>
      </c>
      <c r="Q503" t="inlineStr">
        <is>
          <t>0968646656</t>
        </is>
      </c>
      <c r="R503" t="inlineStr"/>
      <c r="S503" t="inlineStr">
        <is>
          <t>已收款</t>
        </is>
      </c>
      <c r="T503" t="inlineStr">
        <is>
          <t>TenMax
來源：單次型發票及收款紀錄 第 22 列</t>
        </is>
      </c>
      <c r="U503" t="inlineStr">
        <is>
          <t>收到發票隔月起60天</t>
        </is>
      </c>
      <c r="V503" t="inlineStr">
        <is>
          <t>2026-05-18</t>
        </is>
      </c>
    </row>
    <row r="504">
      <c r="A504" t="inlineStr">
        <is>
          <t>inv_bad74c460cd1</t>
        </is>
      </c>
      <c r="B504" t="inlineStr">
        <is>
          <t>Cobi</t>
        </is>
      </c>
      <c r="C504" t="inlineStr">
        <is>
          <t>2024-10-28</t>
        </is>
      </c>
      <c r="D504" t="inlineStr">
        <is>
          <t>2332377</t>
        </is>
      </c>
      <c r="E504" t="inlineStr"/>
      <c r="F504" t="inlineStr">
        <is>
          <t>2024-08-12</t>
        </is>
      </c>
      <c r="G504" t="inlineStr">
        <is>
          <t>DC03692362</t>
        </is>
      </c>
      <c r="H504" t="inlineStr">
        <is>
          <t>cus_dd529e19734e</t>
        </is>
      </c>
      <c r="I504" t="inlineStr">
        <is>
          <t>騰學廣告科技股份有限公司</t>
        </is>
      </c>
      <c r="J504" t="inlineStr">
        <is>
          <t>24748750</t>
        </is>
      </c>
      <c r="K504" t="n">
        <v>26658</v>
      </c>
      <c r="L504" t="n">
        <v>27991</v>
      </c>
      <c r="M504" t="inlineStr">
        <is>
          <t>發票數據受眾包</t>
        </is>
      </c>
      <c r="N504" t="inlineStr">
        <is>
          <t>Raven Liao (廖婕如)</t>
        </is>
      </c>
      <c r="O504" t="inlineStr">
        <is>
          <t>106台北市大安區基隆路二段172-1號15樓</t>
        </is>
      </c>
      <c r="P504" t="inlineStr">
        <is>
          <t>raven.liao@tenmax.io</t>
        </is>
      </c>
      <c r="Q504" t="inlineStr">
        <is>
          <t>0968646656</t>
        </is>
      </c>
      <c r="R504" t="inlineStr"/>
      <c r="S504" t="inlineStr">
        <is>
          <t>已收款</t>
        </is>
      </c>
      <c r="T504" t="inlineStr">
        <is>
          <t>TenMax
來源：單次型發票及收款紀錄 第 23 列</t>
        </is>
      </c>
      <c r="U504" t="inlineStr">
        <is>
          <t>收到發票隔月起60天</t>
        </is>
      </c>
      <c r="V504" t="inlineStr">
        <is>
          <t>2026-05-18</t>
        </is>
      </c>
    </row>
    <row r="505">
      <c r="A505" t="inlineStr">
        <is>
          <t>inv_8b07835c30f1</t>
        </is>
      </c>
      <c r="B505" t="inlineStr">
        <is>
          <t>Cobi</t>
        </is>
      </c>
      <c r="C505" t="inlineStr">
        <is>
          <t>2024-11-27</t>
        </is>
      </c>
      <c r="D505" t="inlineStr">
        <is>
          <t>2366418</t>
        </is>
      </c>
      <c r="E505" t="inlineStr"/>
      <c r="F505" t="inlineStr">
        <is>
          <t>2024-09-10</t>
        </is>
      </c>
      <c r="G505" t="inlineStr">
        <is>
          <t>FB03655648</t>
        </is>
      </c>
      <c r="H505" t="inlineStr">
        <is>
          <t>cus_dd529e19734e</t>
        </is>
      </c>
      <c r="I505" t="inlineStr">
        <is>
          <t>騰學廣告科技股份有限公司</t>
        </is>
      </c>
      <c r="J505" t="inlineStr">
        <is>
          <t>24748750</t>
        </is>
      </c>
      <c r="K505" t="n">
        <v>15526</v>
      </c>
      <c r="L505" t="n">
        <v>16302</v>
      </c>
      <c r="M505" t="inlineStr">
        <is>
          <t>發票數據受眾包</t>
        </is>
      </c>
      <c r="N505" t="inlineStr">
        <is>
          <t>Raven Liao (廖婕如)</t>
        </is>
      </c>
      <c r="O505" t="inlineStr">
        <is>
          <t>106台北市大安區基隆路二段172-1號15樓</t>
        </is>
      </c>
      <c r="P505" t="inlineStr">
        <is>
          <t>raven.liao@tenmax.io</t>
        </is>
      </c>
      <c r="Q505" t="inlineStr">
        <is>
          <t>0968646656</t>
        </is>
      </c>
      <c r="R505" t="inlineStr"/>
      <c r="S505" t="inlineStr">
        <is>
          <t>已收款</t>
        </is>
      </c>
      <c r="T505" t="inlineStr">
        <is>
          <t>TenMax
來源：單次型發票及收款紀錄 第 24 列</t>
        </is>
      </c>
      <c r="U505" t="inlineStr">
        <is>
          <t>收到發票隔月起60天</t>
        </is>
      </c>
      <c r="V505" t="inlineStr">
        <is>
          <t>2026-05-18</t>
        </is>
      </c>
    </row>
    <row r="506">
      <c r="A506" t="inlineStr">
        <is>
          <t>inv_64794c904ccb</t>
        </is>
      </c>
      <c r="B506" t="inlineStr">
        <is>
          <t>Cobi</t>
        </is>
      </c>
      <c r="C506" t="inlineStr">
        <is>
          <t>2024-12-27</t>
        </is>
      </c>
      <c r="D506" t="inlineStr">
        <is>
          <t>2394026</t>
        </is>
      </c>
      <c r="E506" t="inlineStr"/>
      <c r="F506" t="inlineStr">
        <is>
          <t>2024-10-07</t>
        </is>
      </c>
      <c r="G506" t="inlineStr">
        <is>
          <t>FB03680869</t>
        </is>
      </c>
      <c r="H506" t="inlineStr">
        <is>
          <t>cus_dd529e19734e</t>
        </is>
      </c>
      <c r="I506" t="inlineStr">
        <is>
          <t>騰學廣告科技股份有限公司</t>
        </is>
      </c>
      <c r="J506" t="inlineStr">
        <is>
          <t>24748750</t>
        </is>
      </c>
      <c r="K506" t="n">
        <v>11385</v>
      </c>
      <c r="L506" t="n">
        <v>11954</v>
      </c>
      <c r="M506" t="inlineStr">
        <is>
          <t>發票數據受眾包</t>
        </is>
      </c>
      <c r="N506" t="inlineStr">
        <is>
          <t>Raven Liao (廖婕如)</t>
        </is>
      </c>
      <c r="O506" t="inlineStr">
        <is>
          <t>106台北市大安區基隆路二段172-1號15樓</t>
        </is>
      </c>
      <c r="P506" t="inlineStr">
        <is>
          <t>raven.liao@tenmax.io</t>
        </is>
      </c>
      <c r="Q506" t="inlineStr">
        <is>
          <t>0968646656</t>
        </is>
      </c>
      <c r="R506" t="inlineStr"/>
      <c r="S506" t="inlineStr">
        <is>
          <t>已收款</t>
        </is>
      </c>
      <c r="T506" t="inlineStr">
        <is>
          <t>TenMax
來源：單次型發票及收款紀錄 第 25 列</t>
        </is>
      </c>
      <c r="U506" t="inlineStr">
        <is>
          <t>收到發票隔月起60天</t>
        </is>
      </c>
      <c r="V506" t="inlineStr">
        <is>
          <t>2026-05-18</t>
        </is>
      </c>
    </row>
    <row r="507">
      <c r="A507" t="inlineStr">
        <is>
          <t>inv_5e9c49f0fbc2</t>
        </is>
      </c>
      <c r="B507" t="inlineStr">
        <is>
          <t>Erin</t>
        </is>
      </c>
      <c r="C507" t="inlineStr">
        <is>
          <t>2025-01-13</t>
        </is>
      </c>
      <c r="D507" t="inlineStr">
        <is>
          <t>2426311</t>
        </is>
      </c>
      <c r="E507" t="inlineStr"/>
      <c r="F507" t="inlineStr">
        <is>
          <t>2024-11-07</t>
        </is>
      </c>
      <c r="G507" t="inlineStr">
        <is>
          <t>HA03653198</t>
        </is>
      </c>
      <c r="H507" t="inlineStr">
        <is>
          <t>cus_dd529e19734e</t>
        </is>
      </c>
      <c r="I507" t="inlineStr">
        <is>
          <t>騰學廣告科技股份有限公司</t>
        </is>
      </c>
      <c r="J507" t="inlineStr">
        <is>
          <t>24748750</t>
        </is>
      </c>
      <c r="K507" t="n">
        <v>25848</v>
      </c>
      <c r="L507" t="n">
        <v>27140</v>
      </c>
      <c r="M507" t="inlineStr">
        <is>
          <t>發票數據受眾包</t>
        </is>
      </c>
      <c r="N507" t="inlineStr">
        <is>
          <t>Raven Liao (廖婕如)</t>
        </is>
      </c>
      <c r="O507" t="inlineStr">
        <is>
          <t>106台北市大安區基隆路二段172-1號15樓</t>
        </is>
      </c>
      <c r="P507" t="inlineStr">
        <is>
          <t>raven.liao@tenmax.io</t>
        </is>
      </c>
      <c r="Q507" t="inlineStr">
        <is>
          <t>0968646656</t>
        </is>
      </c>
      <c r="R507" t="inlineStr"/>
      <c r="S507" t="inlineStr">
        <is>
          <t>已收款</t>
        </is>
      </c>
      <c r="T507" t="inlineStr">
        <is>
          <t>TenMax
來源：單次型發票及收款紀錄 第 26 列</t>
        </is>
      </c>
      <c r="U507" t="inlineStr">
        <is>
          <t>收到發票隔月起60天</t>
        </is>
      </c>
      <c r="V507" t="inlineStr">
        <is>
          <t>2026-05-18</t>
        </is>
      </c>
    </row>
    <row r="508">
      <c r="A508" t="inlineStr">
        <is>
          <t>inv_6c4b38958902</t>
        </is>
      </c>
      <c r="B508" t="inlineStr">
        <is>
          <t>Erin</t>
        </is>
      </c>
      <c r="C508" t="inlineStr">
        <is>
          <t>2025-02-27</t>
        </is>
      </c>
      <c r="D508" t="inlineStr">
        <is>
          <t>2459595</t>
        </is>
      </c>
      <c r="E508" t="inlineStr"/>
      <c r="F508" t="inlineStr">
        <is>
          <t>2024-12-05</t>
        </is>
      </c>
      <c r="G508" t="inlineStr">
        <is>
          <t>HA03683233</t>
        </is>
      </c>
      <c r="H508" t="inlineStr">
        <is>
          <t>cus_dd529e19734e</t>
        </is>
      </c>
      <c r="I508" t="inlineStr">
        <is>
          <t>騰學廣告科技股份有限公司</t>
        </is>
      </c>
      <c r="J508" t="inlineStr">
        <is>
          <t>24748750</t>
        </is>
      </c>
      <c r="K508" t="n">
        <v>38445</v>
      </c>
      <c r="L508" t="n">
        <v>40367</v>
      </c>
      <c r="M508" t="inlineStr">
        <is>
          <t>發票數據受眾包</t>
        </is>
      </c>
      <c r="N508" t="inlineStr">
        <is>
          <t>Raven Liao (廖婕如)</t>
        </is>
      </c>
      <c r="O508" t="inlineStr">
        <is>
          <t>106台北市大安區基隆路二段172-1號15樓</t>
        </is>
      </c>
      <c r="P508" t="inlineStr">
        <is>
          <t>raven.liao@tenmax.io</t>
        </is>
      </c>
      <c r="Q508" t="inlineStr">
        <is>
          <t>0968646656</t>
        </is>
      </c>
      <c r="R508" t="inlineStr"/>
      <c r="S508" t="inlineStr">
        <is>
          <t>已收款</t>
        </is>
      </c>
      <c r="T508" t="inlineStr">
        <is>
          <t>TenMax
來源：單次型發票及收款紀錄 第 27 列</t>
        </is>
      </c>
      <c r="U508" t="inlineStr">
        <is>
          <t>收到發票隔月起60天</t>
        </is>
      </c>
      <c r="V508" t="inlineStr">
        <is>
          <t>2026-05-18</t>
        </is>
      </c>
    </row>
    <row r="509">
      <c r="A509" t="inlineStr">
        <is>
          <t>inv_598d713de18d</t>
        </is>
      </c>
      <c r="B509" t="inlineStr">
        <is>
          <t>Erin</t>
        </is>
      </c>
      <c r="C509" t="inlineStr">
        <is>
          <t>2025-03-27</t>
        </is>
      </c>
      <c r="D509" t="inlineStr">
        <is>
          <t>2494098</t>
        </is>
      </c>
      <c r="E509" t="inlineStr"/>
      <c r="F509" t="inlineStr">
        <is>
          <t>2025-01-06</t>
        </is>
      </c>
      <c r="G509" t="inlineStr">
        <is>
          <t>JY43826894</t>
        </is>
      </c>
      <c r="H509" t="inlineStr">
        <is>
          <t>cus_dd529e19734e</t>
        </is>
      </c>
      <c r="I509" t="inlineStr">
        <is>
          <t>騰學廣告科技股份有限公司</t>
        </is>
      </c>
      <c r="J509" t="inlineStr">
        <is>
          <t>24748750</t>
        </is>
      </c>
      <c r="K509" t="n">
        <v>16500</v>
      </c>
      <c r="L509" t="n">
        <v>17325</v>
      </c>
      <c r="M509" t="inlineStr">
        <is>
          <t>發票數據受眾包</t>
        </is>
      </c>
      <c r="N509" t="inlineStr">
        <is>
          <t>Raven Liao (廖婕如)</t>
        </is>
      </c>
      <c r="O509" t="inlineStr">
        <is>
          <t>106台北市大安區基隆路二段172-1號15樓</t>
        </is>
      </c>
      <c r="P509" t="inlineStr">
        <is>
          <t>raven.liao@tenmax.io</t>
        </is>
      </c>
      <c r="Q509" t="inlineStr">
        <is>
          <t>0968646656</t>
        </is>
      </c>
      <c r="R509" t="inlineStr"/>
      <c r="S509" t="inlineStr">
        <is>
          <t>已收款</t>
        </is>
      </c>
      <c r="T509" t="inlineStr">
        <is>
          <t>TenMax
來源：單次型發票及收款紀錄 第 28 列</t>
        </is>
      </c>
      <c r="U509" t="inlineStr">
        <is>
          <t>月結60天</t>
        </is>
      </c>
      <c r="V509" t="inlineStr">
        <is>
          <t>2026-05-18</t>
        </is>
      </c>
    </row>
    <row r="510">
      <c r="A510" t="inlineStr">
        <is>
          <t>inv_5ea6e85ef9d3</t>
        </is>
      </c>
      <c r="B510" t="inlineStr">
        <is>
          <t>Erin</t>
        </is>
      </c>
      <c r="C510" t="inlineStr">
        <is>
          <t>2025-09-30</t>
        </is>
      </c>
      <c r="D510" t="inlineStr">
        <is>
          <t>2588203(7/2折讓)
2685269(7/2重開)</t>
        </is>
      </c>
      <c r="E510" t="inlineStr"/>
      <c r="F510" t="inlineStr">
        <is>
          <t>2025-04-07</t>
        </is>
      </c>
      <c r="G510" t="inlineStr">
        <is>
          <t>LY43855898
(7/2折讓)</t>
        </is>
      </c>
      <c r="H510" t="inlineStr">
        <is>
          <t>cus_dd529e19734e</t>
        </is>
      </c>
      <c r="I510" t="inlineStr">
        <is>
          <t>騰學廣告科技股份有限公司</t>
        </is>
      </c>
      <c r="J510" t="inlineStr">
        <is>
          <t>24748750</t>
        </is>
      </c>
      <c r="K510" t="n">
        <v>6705</v>
      </c>
      <c r="L510" t="n">
        <v>7040</v>
      </c>
      <c r="M510" t="inlineStr">
        <is>
          <t>發票數據受眾包</t>
        </is>
      </c>
      <c r="N510" t="inlineStr">
        <is>
          <t>Raven Liao (廖婕如)</t>
        </is>
      </c>
      <c r="O510" t="inlineStr">
        <is>
          <t>106台北市大安區基隆路二段172-1號15樓</t>
        </is>
      </c>
      <c r="P510" t="inlineStr">
        <is>
          <t>raven.liao@tenmax.io</t>
        </is>
      </c>
      <c r="Q510" t="inlineStr">
        <is>
          <t>0968646656</t>
        </is>
      </c>
      <c r="R510" t="inlineStr"/>
      <c r="S510" t="inlineStr">
        <is>
          <t>已收款</t>
        </is>
      </c>
      <c r="T510" t="inlineStr">
        <is>
          <t>TenMax
來源：單次型發票及收款紀錄 第 29 列</t>
        </is>
      </c>
      <c r="U510" t="inlineStr">
        <is>
          <t>月結60天</t>
        </is>
      </c>
      <c r="V510" t="inlineStr">
        <is>
          <t>2026-05-18</t>
        </is>
      </c>
    </row>
    <row r="511">
      <c r="A511" t="inlineStr">
        <is>
          <t>inv_87b6b82be5b7</t>
        </is>
      </c>
      <c r="B511" t="inlineStr">
        <is>
          <t>Erin</t>
        </is>
      </c>
      <c r="C511" t="inlineStr">
        <is>
          <t>2025-07-28</t>
        </is>
      </c>
      <c r="D511" t="inlineStr">
        <is>
          <t>2615793</t>
        </is>
      </c>
      <c r="E511" t="inlineStr"/>
      <c r="F511" t="inlineStr">
        <is>
          <t>2025-05-05</t>
        </is>
      </c>
      <c r="G511" t="inlineStr">
        <is>
          <t>NY43825511</t>
        </is>
      </c>
      <c r="H511" t="inlineStr">
        <is>
          <t>cus_dd529e19734e</t>
        </is>
      </c>
      <c r="I511" t="inlineStr">
        <is>
          <t>騰學廣告科技股份有限公司</t>
        </is>
      </c>
      <c r="J511" t="inlineStr">
        <is>
          <t>24748750</t>
        </is>
      </c>
      <c r="K511" t="n">
        <v>0</v>
      </c>
      <c r="L511" t="n">
        <v>0</v>
      </c>
      <c r="M511" t="inlineStr">
        <is>
          <t>發票數據受眾包</t>
        </is>
      </c>
      <c r="N511" t="inlineStr">
        <is>
          <t>Raven Liao (廖婕如)</t>
        </is>
      </c>
      <c r="O511" t="inlineStr">
        <is>
          <t>106台北市大安區基隆路二段172-1號15樓</t>
        </is>
      </c>
      <c r="P511" t="inlineStr">
        <is>
          <t>raven.liao@tenmax.io</t>
        </is>
      </c>
      <c r="Q511" t="inlineStr">
        <is>
          <t>0968646656</t>
        </is>
      </c>
      <c r="R511" t="inlineStr"/>
      <c r="S511" t="inlineStr">
        <is>
          <t>已收款</t>
        </is>
      </c>
      <c r="T511" t="inlineStr">
        <is>
          <t>TenMax
來源：單次型發票及收款紀錄 第 30 列</t>
        </is>
      </c>
      <c r="U511" t="inlineStr">
        <is>
          <t>月結60天</t>
        </is>
      </c>
      <c r="V511" t="inlineStr">
        <is>
          <t>2026-05-18</t>
        </is>
      </c>
    </row>
    <row r="512">
      <c r="A512" t="inlineStr">
        <is>
          <t>inv_e1bb3af3b377</t>
        </is>
      </c>
      <c r="B512" t="inlineStr">
        <is>
          <t>Kate</t>
        </is>
      </c>
      <c r="C512" t="inlineStr">
        <is>
          <t>2025-09-05</t>
        </is>
      </c>
      <c r="D512" t="inlineStr">
        <is>
          <t>2651939</t>
        </is>
      </c>
      <c r="E512" t="inlineStr"/>
      <c r="F512" t="inlineStr">
        <is>
          <t>2025-06-05</t>
        </is>
      </c>
      <c r="G512" t="inlineStr">
        <is>
          <t>NY43857820</t>
        </is>
      </c>
      <c r="H512" t="inlineStr">
        <is>
          <t>cus_dd529e19734e</t>
        </is>
      </c>
      <c r="I512" t="inlineStr">
        <is>
          <t>騰學廣告科技股份有限公司</t>
        </is>
      </c>
      <c r="J512" t="inlineStr">
        <is>
          <t>24748750</t>
        </is>
      </c>
      <c r="K512" t="n">
        <v>17713</v>
      </c>
      <c r="L512" t="n">
        <v>18599</v>
      </c>
      <c r="M512" t="inlineStr">
        <is>
          <t>發票數據受眾包</t>
        </is>
      </c>
      <c r="N512" t="inlineStr">
        <is>
          <t>Raven Liao (廖婕如)</t>
        </is>
      </c>
      <c r="O512" t="inlineStr">
        <is>
          <t>106台北市大安區基隆路二段172-1號15樓</t>
        </is>
      </c>
      <c r="P512" t="inlineStr">
        <is>
          <t>raven.liao@tenmax.io</t>
        </is>
      </c>
      <c r="Q512" t="inlineStr">
        <is>
          <t>0968646656</t>
        </is>
      </c>
      <c r="R512" t="inlineStr"/>
      <c r="S512" t="inlineStr">
        <is>
          <t>已收款</t>
        </is>
      </c>
      <c r="T512" t="inlineStr">
        <is>
          <t>TenMax
來源：單次型發票及收款紀錄 第 31 列</t>
        </is>
      </c>
      <c r="U512" t="inlineStr">
        <is>
          <t>月結60天</t>
        </is>
      </c>
      <c r="V512" t="inlineStr">
        <is>
          <t>2026-05-18</t>
        </is>
      </c>
    </row>
    <row r="513">
      <c r="A513" t="inlineStr">
        <is>
          <t>inv_4a978f78f7f1</t>
        </is>
      </c>
      <c r="B513" t="inlineStr">
        <is>
          <t>Kate</t>
        </is>
      </c>
      <c r="C513" t="inlineStr">
        <is>
          <t>2025-09-30</t>
        </is>
      </c>
      <c r="D513" t="inlineStr">
        <is>
          <t>2687010</t>
        </is>
      </c>
      <c r="E513" t="inlineStr"/>
      <c r="F513" t="inlineStr">
        <is>
          <t>2025-07-04</t>
        </is>
      </c>
      <c r="G513" t="inlineStr">
        <is>
          <t>QY43825315</t>
        </is>
      </c>
      <c r="H513" t="inlineStr">
        <is>
          <t>cus_dd529e19734e</t>
        </is>
      </c>
      <c r="I513" t="inlineStr">
        <is>
          <t>騰學廣告科技股份有限公司</t>
        </is>
      </c>
      <c r="J513" t="inlineStr">
        <is>
          <t>24748750</t>
        </is>
      </c>
      <c r="K513" t="n">
        <v>8085</v>
      </c>
      <c r="L513" t="n">
        <v>8489</v>
      </c>
      <c r="M513" t="inlineStr">
        <is>
          <t>發票數據受眾包</t>
        </is>
      </c>
      <c r="N513" t="inlineStr">
        <is>
          <t>Raven Liao (廖婕如)</t>
        </is>
      </c>
      <c r="O513" t="inlineStr">
        <is>
          <t>106台北市大安區基隆路二段172-1號15樓</t>
        </is>
      </c>
      <c r="P513" t="inlineStr">
        <is>
          <t>raven.liao@tenmax.io</t>
        </is>
      </c>
      <c r="Q513" t="inlineStr">
        <is>
          <t>0968646656</t>
        </is>
      </c>
      <c r="R513" t="inlineStr"/>
      <c r="S513" t="inlineStr">
        <is>
          <t>已收款</t>
        </is>
      </c>
      <c r="T513" t="inlineStr">
        <is>
          <t>TenMax
來源：單次型發票及收款紀錄 第 32 列</t>
        </is>
      </c>
      <c r="U513" t="inlineStr">
        <is>
          <t>月結60天</t>
        </is>
      </c>
      <c r="V513" t="inlineStr">
        <is>
          <t>2026-05-18</t>
        </is>
      </c>
    </row>
    <row r="514">
      <c r="A514" t="inlineStr">
        <is>
          <t>inv_23e07e245b95</t>
        </is>
      </c>
      <c r="B514" t="inlineStr">
        <is>
          <t>Kate</t>
        </is>
      </c>
      <c r="C514" t="inlineStr">
        <is>
          <t>2025-10-27</t>
        </is>
      </c>
      <c r="D514" t="inlineStr">
        <is>
          <t>2717913</t>
        </is>
      </c>
      <c r="E514" t="inlineStr"/>
      <c r="F514" t="inlineStr">
        <is>
          <t>2025-08-01</t>
        </is>
      </c>
      <c r="G514" t="inlineStr"/>
      <c r="H514" t="inlineStr">
        <is>
          <t>cus_dd529e19734e</t>
        </is>
      </c>
      <c r="I514" t="inlineStr">
        <is>
          <t>騰學廣告科技股份有限公司</t>
        </is>
      </c>
      <c r="J514" t="inlineStr">
        <is>
          <t>24748750</t>
        </is>
      </c>
      <c r="K514" t="n">
        <v>4200</v>
      </c>
      <c r="L514" t="n">
        <v>4410</v>
      </c>
      <c r="M514" t="inlineStr">
        <is>
          <t>發票數據受眾包</t>
        </is>
      </c>
      <c r="N514" t="inlineStr">
        <is>
          <t>Raven Liao (廖婕如)</t>
        </is>
      </c>
      <c r="O514" t="inlineStr">
        <is>
          <t>106台北市大安區基隆路二段172-1號15樓</t>
        </is>
      </c>
      <c r="P514" t="inlineStr">
        <is>
          <t>raven.liao@tenmax.io</t>
        </is>
      </c>
      <c r="Q514" t="inlineStr">
        <is>
          <t>0968646656</t>
        </is>
      </c>
      <c r="R514" t="inlineStr"/>
      <c r="S514" t="inlineStr">
        <is>
          <t>已收款</t>
        </is>
      </c>
      <c r="T514" t="inlineStr">
        <is>
          <t>TenMax
來源：單次型發票及收款紀錄 第 33 列</t>
        </is>
      </c>
      <c r="U514" t="inlineStr">
        <is>
          <t>月結60天</t>
        </is>
      </c>
      <c r="V514" t="inlineStr">
        <is>
          <t>2026-05-18</t>
        </is>
      </c>
    </row>
    <row r="515">
      <c r="A515" t="inlineStr">
        <is>
          <t>inv_330054c53d9c</t>
        </is>
      </c>
      <c r="B515" t="inlineStr">
        <is>
          <t>Kate</t>
        </is>
      </c>
      <c r="C515" t="inlineStr">
        <is>
          <t>2025-12-12</t>
        </is>
      </c>
      <c r="D515" t="inlineStr">
        <is>
          <t>2761796</t>
        </is>
      </c>
      <c r="E515" t="inlineStr"/>
      <c r="F515" t="inlineStr">
        <is>
          <t>2025-09-05</t>
        </is>
      </c>
      <c r="G515" t="inlineStr"/>
      <c r="H515" t="inlineStr">
        <is>
          <t>cus_dd529e19734e</t>
        </is>
      </c>
      <c r="I515" t="inlineStr">
        <is>
          <t>騰學廣告科技股份有限公司</t>
        </is>
      </c>
      <c r="J515" t="inlineStr">
        <is>
          <t>24748750</t>
        </is>
      </c>
      <c r="K515" t="n">
        <v>9900</v>
      </c>
      <c r="L515" t="n">
        <v>10395</v>
      </c>
      <c r="M515" t="inlineStr">
        <is>
          <t>發票數據受眾包</t>
        </is>
      </c>
      <c r="N515" t="inlineStr">
        <is>
          <t>Raven Liao (廖婕如)</t>
        </is>
      </c>
      <c r="O515" t="inlineStr">
        <is>
          <t>106台北市大安區基隆路二段172-1號15樓</t>
        </is>
      </c>
      <c r="P515" t="inlineStr">
        <is>
          <t>raven.liao@tenmax.io</t>
        </is>
      </c>
      <c r="Q515" t="inlineStr">
        <is>
          <t>0968646656</t>
        </is>
      </c>
      <c r="R515" t="inlineStr"/>
      <c r="S515" t="inlineStr">
        <is>
          <t>已收款</t>
        </is>
      </c>
      <c r="T515" t="inlineStr">
        <is>
          <t>TenMax
來源：單次型發票及收款紀錄 第 34 列</t>
        </is>
      </c>
      <c r="U515" t="inlineStr">
        <is>
          <t>月結60天</t>
        </is>
      </c>
      <c r="V515" t="inlineStr">
        <is>
          <t>2026-05-18</t>
        </is>
      </c>
    </row>
    <row r="516">
      <c r="A516" t="inlineStr">
        <is>
          <t>inv_3cc730a06042</t>
        </is>
      </c>
      <c r="B516" t="inlineStr">
        <is>
          <t>Kate</t>
        </is>
      </c>
      <c r="C516" t="inlineStr">
        <is>
          <t>2026-03-16</t>
        </is>
      </c>
      <c r="D516" t="inlineStr">
        <is>
          <t>2829112</t>
        </is>
      </c>
      <c r="E516" t="inlineStr"/>
      <c r="F516" t="inlineStr">
        <is>
          <t>2025-11-05</t>
        </is>
      </c>
      <c r="G516" t="inlineStr"/>
      <c r="H516" t="inlineStr">
        <is>
          <t>cus_dd529e19734e</t>
        </is>
      </c>
      <c r="I516" t="inlineStr">
        <is>
          <t>騰學廣告科技股份有限公司</t>
        </is>
      </c>
      <c r="J516" t="inlineStr">
        <is>
          <t>24748750</t>
        </is>
      </c>
      <c r="K516" t="n">
        <v>2375</v>
      </c>
      <c r="L516" t="n">
        <v>2494</v>
      </c>
      <c r="M516" t="inlineStr">
        <is>
          <t>發票數據受眾包</t>
        </is>
      </c>
      <c r="N516" t="inlineStr">
        <is>
          <t>林怡君Caroline</t>
        </is>
      </c>
      <c r="O516" t="inlineStr">
        <is>
          <t>106台北市大安區基隆路二段172-1號11樓</t>
        </is>
      </c>
      <c r="P516" t="inlineStr">
        <is>
          <t>caroline.lin@tenmax.io</t>
        </is>
      </c>
      <c r="Q516" t="inlineStr">
        <is>
          <t>02-6631-5799 *872</t>
        </is>
      </c>
      <c r="R516" t="inlineStr"/>
      <c r="S516" t="inlineStr">
        <is>
          <t>已收款</t>
        </is>
      </c>
      <c r="T516" t="inlineStr">
        <is>
          <t>TenMax
來源：單次型發票及收款紀錄 第 35 列</t>
        </is>
      </c>
      <c r="U516" t="inlineStr">
        <is>
          <t>月結60天</t>
        </is>
      </c>
      <c r="V516" t="inlineStr">
        <is>
          <t>2026-05-18</t>
        </is>
      </c>
    </row>
    <row r="517">
      <c r="A517" t="inlineStr">
        <is>
          <t>inv_2f77339187bb</t>
        </is>
      </c>
      <c r="B517" t="inlineStr">
        <is>
          <t>Peggy</t>
        </is>
      </c>
      <c r="C517" t="inlineStr">
        <is>
          <t>2025-09-12</t>
        </is>
      </c>
      <c r="D517" t="inlineStr">
        <is>
          <t>2772903</t>
        </is>
      </c>
      <c r="E517" t="inlineStr"/>
      <c r="F517" t="inlineStr">
        <is>
          <t>2025-09-15</t>
        </is>
      </c>
      <c r="G517" t="inlineStr"/>
      <c r="H517" t="inlineStr">
        <is>
          <t>cus_ac7d98410c78</t>
        </is>
      </c>
      <c r="I517" t="inlineStr">
        <is>
          <t>馥美華股份有限公司</t>
        </is>
      </c>
      <c r="J517" t="inlineStr">
        <is>
          <t>24784896</t>
        </is>
      </c>
      <c r="K517" t="n">
        <v>10000</v>
      </c>
      <c r="L517" t="n">
        <v>10500</v>
      </c>
      <c r="M517" t="inlineStr">
        <is>
          <t>發票數據受眾包</t>
        </is>
      </c>
      <c r="N517" t="inlineStr">
        <is>
          <t>劉姿蘭</t>
        </is>
      </c>
      <c r="O517" t="inlineStr">
        <is>
          <t>臺北市大同區市民大道1段209號10樓之1</t>
        </is>
      </c>
      <c r="P517" t="inlineStr">
        <is>
          <t>judyliu@juvaly.com</t>
        </is>
      </c>
      <c r="Q517" t="inlineStr">
        <is>
          <t>0978-161-517</t>
        </is>
      </c>
      <c r="R517" t="inlineStr"/>
      <c r="S517" t="inlineStr">
        <is>
          <t>已收款</t>
        </is>
      </c>
      <c r="T517" t="inlineStr">
        <is>
          <t>受眾共享
來源：單次型發票及收款紀錄 第 36 列</t>
        </is>
      </c>
      <c r="U517" t="inlineStr">
        <is>
          <t>預付</t>
        </is>
      </c>
      <c r="V517" t="inlineStr">
        <is>
          <t>2026-05-18</t>
        </is>
      </c>
    </row>
    <row r="518">
      <c r="A518" t="inlineStr">
        <is>
          <t>inv_f5f979fcddfb</t>
        </is>
      </c>
      <c r="B518" t="inlineStr">
        <is>
          <t>Erin</t>
        </is>
      </c>
      <c r="C518" t="inlineStr">
        <is>
          <t>2026-01-02</t>
        </is>
      </c>
      <c r="D518" t="inlineStr">
        <is>
          <t>2806647</t>
        </is>
      </c>
      <c r="E518" t="inlineStr"/>
      <c r="F518" t="inlineStr">
        <is>
          <t>2025-10-15</t>
        </is>
      </c>
      <c r="G518" t="inlineStr"/>
      <c r="H518" t="inlineStr">
        <is>
          <t>cus_d70917d65656</t>
        </is>
      </c>
      <c r="I518" t="inlineStr">
        <is>
          <t>香港商陽獅銳奇媒體股份有限公司台灣分公司星傳媒體事業處</t>
        </is>
      </c>
      <c r="J518" t="inlineStr">
        <is>
          <t>26287090</t>
        </is>
      </c>
      <c r="K518" t="n">
        <v>45000</v>
      </c>
      <c r="L518" t="n">
        <v>47250</v>
      </c>
      <c r="M518" t="inlineStr">
        <is>
          <t>發票數據受眾包</t>
        </is>
      </c>
      <c r="N518" t="inlineStr">
        <is>
          <t>葉冠琳</t>
        </is>
      </c>
      <c r="O518" t="inlineStr">
        <is>
          <t>106 台北市大安區信義路四段6號8樓</t>
        </is>
      </c>
      <c r="P518" t="inlineStr">
        <is>
          <t>erin_yeh@cmoney.com.tw</t>
        </is>
      </c>
      <c r="Q518" t="inlineStr">
        <is>
          <t>02-77348757</t>
        </is>
      </c>
      <c r="R518" t="inlineStr"/>
      <c r="S518" t="inlineStr">
        <is>
          <t>已收款</t>
        </is>
      </c>
      <c r="T518" t="inlineStr">
        <is>
          <t>H&amp;S
來源：單次型發票及收款紀錄 第 37 列</t>
        </is>
      </c>
      <c r="U518" t="inlineStr">
        <is>
          <t>收到發票隔月起95天</t>
        </is>
      </c>
      <c r="V518" t="inlineStr">
        <is>
          <t>2026-05-18</t>
        </is>
      </c>
    </row>
    <row r="519">
      <c r="A519" t="inlineStr">
        <is>
          <t>inv_4e3c101fafe9</t>
        </is>
      </c>
      <c r="B519" t="inlineStr">
        <is>
          <t>Cobi</t>
        </is>
      </c>
      <c r="C519" t="inlineStr">
        <is>
          <t>2025-11-03</t>
        </is>
      </c>
      <c r="D519" t="inlineStr">
        <is>
          <t>2687014</t>
        </is>
      </c>
      <c r="E519" t="inlineStr"/>
      <c r="F519" t="inlineStr">
        <is>
          <t>2025-07-04</t>
        </is>
      </c>
      <c r="G519" t="inlineStr">
        <is>
          <t>QY43825319</t>
        </is>
      </c>
      <c r="H519" t="inlineStr">
        <is>
          <t>cus_0ebf11dc9756</t>
        </is>
      </c>
      <c r="I519" t="inlineStr">
        <is>
          <t>香港商陽獅銳奇媒體股份有限公司台灣分公司實力媒體事業處</t>
        </is>
      </c>
      <c r="J519" t="inlineStr">
        <is>
          <t>26287084</t>
        </is>
      </c>
      <c r="K519" t="n">
        <v>50000</v>
      </c>
      <c r="L519" t="n">
        <v>52500</v>
      </c>
      <c r="M519" t="inlineStr">
        <is>
          <t>發票數據受眾包</t>
        </is>
      </c>
      <c r="N519" t="inlineStr">
        <is>
          <t>Jiali Chia</t>
        </is>
      </c>
      <c r="O519" t="inlineStr">
        <is>
          <t>106台北市大安區信義路四段6號8F</t>
        </is>
      </c>
      <c r="P519" t="inlineStr">
        <is>
          <t>jiali.chia@zenithmedia.com</t>
        </is>
      </c>
      <c r="Q519" t="inlineStr">
        <is>
          <t>02-7743 5334</t>
        </is>
      </c>
      <c r="R519" t="inlineStr"/>
      <c r="S519" t="inlineStr">
        <is>
          <t>已收款</t>
        </is>
      </c>
      <c r="T519" t="inlineStr">
        <is>
          <t>陽獅
來源：單次型發票及收款紀錄 第 38 列</t>
        </is>
      </c>
      <c r="U519" t="inlineStr">
        <is>
          <t>收到發票隔月起95天</t>
        </is>
      </c>
      <c r="V519" t="inlineStr">
        <is>
          <t>2026-05-18</t>
        </is>
      </c>
    </row>
    <row r="520">
      <c r="A520" t="inlineStr">
        <is>
          <t>inv_57cc139b6766</t>
        </is>
      </c>
      <c r="B520" t="inlineStr">
        <is>
          <t>Cobi</t>
        </is>
      </c>
      <c r="C520" t="inlineStr">
        <is>
          <t>2025-09-01</t>
        </is>
      </c>
      <c r="D520" t="inlineStr">
        <is>
          <t>2690444</t>
        </is>
      </c>
      <c r="E520" t="inlineStr"/>
      <c r="F520" t="inlineStr">
        <is>
          <t>2025-07-08</t>
        </is>
      </c>
      <c r="G520" t="inlineStr">
        <is>
          <t>QY43829159</t>
        </is>
      </c>
      <c r="H520" t="inlineStr">
        <is>
          <t>cus_0ebf11dc9756</t>
        </is>
      </c>
      <c r="I520" t="inlineStr">
        <is>
          <t>香港商陽獅銳奇媒體股份有限公司台灣分公司實力媒體事業處</t>
        </is>
      </c>
      <c r="J520" t="inlineStr">
        <is>
          <t>26287084</t>
        </is>
      </c>
      <c r="K520" t="n">
        <v>400000</v>
      </c>
      <c r="L520" t="n">
        <v>420000</v>
      </c>
      <c r="M520" t="inlineStr">
        <is>
          <t>發票數據受眾包</t>
        </is>
      </c>
      <c r="N520" t="inlineStr">
        <is>
          <t>Nicole Hong</t>
        </is>
      </c>
      <c r="O520" t="inlineStr">
        <is>
          <t>106台北市大安區信義路四段6號8F</t>
        </is>
      </c>
      <c r="P520" t="inlineStr">
        <is>
          <t>nicole.hong@performics.com</t>
        </is>
      </c>
      <c r="Q520" t="inlineStr">
        <is>
          <t>02-2 7747 3983</t>
        </is>
      </c>
      <c r="R520" t="inlineStr"/>
      <c r="S520" t="inlineStr">
        <is>
          <t>已收款</t>
        </is>
      </c>
      <c r="T520" t="inlineStr">
        <is>
          <t>陽獅
來源：單次型發票及收款紀錄 第 39 列</t>
        </is>
      </c>
      <c r="U520" t="inlineStr">
        <is>
          <t>收到發票隔月起30天</t>
        </is>
      </c>
      <c r="V520" t="inlineStr">
        <is>
          <t>2026-05-18</t>
        </is>
      </c>
    </row>
    <row r="521">
      <c r="A521" t="inlineStr">
        <is>
          <t>inv_bc05a332dbde</t>
        </is>
      </c>
      <c r="B521" t="inlineStr">
        <is>
          <t>Cobi</t>
        </is>
      </c>
      <c r="C521" t="inlineStr">
        <is>
          <t>2025-09-10</t>
        </is>
      </c>
      <c r="D521" t="inlineStr">
        <is>
          <t>2652979</t>
        </is>
      </c>
      <c r="E521" t="inlineStr"/>
      <c r="F521" t="inlineStr">
        <is>
          <t>2025-06-06</t>
        </is>
      </c>
      <c r="G521" t="inlineStr">
        <is>
          <t>NY43858745</t>
        </is>
      </c>
      <c r="H521" t="inlineStr">
        <is>
          <t>cus_e20a7573f5a1</t>
        </is>
      </c>
      <c r="I521" t="inlineStr">
        <is>
          <t>香港商陽獅銳奇媒體股份有限公司台灣分公司 星傳媒體事業處</t>
        </is>
      </c>
      <c r="J521" t="inlineStr">
        <is>
          <t>26287090</t>
        </is>
      </c>
      <c r="K521" t="n">
        <v>50000</v>
      </c>
      <c r="L521" t="n">
        <v>52500</v>
      </c>
      <c r="M521" t="inlineStr">
        <is>
          <t>發票數據受眾包</t>
        </is>
      </c>
      <c r="N521" t="inlineStr">
        <is>
          <t>Andrea Tseng</t>
        </is>
      </c>
      <c r="O521" t="inlineStr">
        <is>
          <t>台北市大安區信義路四段6號8樓</t>
        </is>
      </c>
      <c r="P521" t="inlineStr">
        <is>
          <t>Andrea.tseng@starcomww.com</t>
        </is>
      </c>
      <c r="Q521" t="inlineStr">
        <is>
          <t>02-77348726</t>
        </is>
      </c>
      <c r="R521" t="inlineStr"/>
      <c r="S521" t="inlineStr">
        <is>
          <t>已收款</t>
        </is>
      </c>
      <c r="T521" t="inlineStr">
        <is>
          <t>Starcom-P&amp;G
來源：單次型發票及收款紀錄 第 40 列</t>
        </is>
      </c>
      <c r="U521" t="inlineStr">
        <is>
          <t>收到發票隔月起算95天</t>
        </is>
      </c>
      <c r="V521" t="inlineStr">
        <is>
          <t>2026-05-18</t>
        </is>
      </c>
    </row>
    <row r="522">
      <c r="A522" t="inlineStr">
        <is>
          <t>inv_759e6566da79</t>
        </is>
      </c>
      <c r="B522" t="inlineStr">
        <is>
          <t>Cobi</t>
        </is>
      </c>
      <c r="C522" t="inlineStr">
        <is>
          <t>2025-10-01</t>
        </is>
      </c>
      <c r="D522" t="inlineStr">
        <is>
          <t>2687016</t>
        </is>
      </c>
      <c r="E522" t="inlineStr"/>
      <c r="F522" t="inlineStr">
        <is>
          <t>2025-07-04</t>
        </is>
      </c>
      <c r="G522" t="inlineStr">
        <is>
          <t>QY43825321</t>
        </is>
      </c>
      <c r="H522" t="inlineStr">
        <is>
          <t>cus_769b585645b5</t>
        </is>
      </c>
      <c r="I522" t="inlineStr">
        <is>
          <t>香港商陽獅銳奇媒體股份有限公司台灣分公司
星傳媒體事業處</t>
        </is>
      </c>
      <c r="J522" t="inlineStr">
        <is>
          <t>26287090</t>
        </is>
      </c>
      <c r="K522" t="n">
        <v>45000</v>
      </c>
      <c r="L522" t="n">
        <v>47250</v>
      </c>
      <c r="M522" t="inlineStr">
        <is>
          <t>發票數據受眾包</t>
        </is>
      </c>
      <c r="N522" t="inlineStr">
        <is>
          <t>Kelly Chang</t>
        </is>
      </c>
      <c r="O522" t="inlineStr">
        <is>
          <t>106 台北市大安區信義路四段6號8樓</t>
        </is>
      </c>
      <c r="P522" t="inlineStr">
        <is>
          <t>kelly.chang@starcomww.com</t>
        </is>
      </c>
      <c r="Q522" t="inlineStr">
        <is>
          <t>886277348726.0</t>
        </is>
      </c>
      <c r="R522" t="inlineStr"/>
      <c r="S522" t="inlineStr">
        <is>
          <t>已收款</t>
        </is>
      </c>
      <c r="T522" t="inlineStr">
        <is>
          <t>P&amp;G - Pampers
來源：單次型發票及收款紀錄 第 41 列</t>
        </is>
      </c>
      <c r="U522" t="inlineStr">
        <is>
          <t>收到發票隔月起95天</t>
        </is>
      </c>
      <c r="V522" t="inlineStr">
        <is>
          <t>2026-05-18</t>
        </is>
      </c>
    </row>
    <row r="523">
      <c r="A523" t="inlineStr">
        <is>
          <t>inv_046f5f3b53bf</t>
        </is>
      </c>
      <c r="B523" t="inlineStr">
        <is>
          <t>Cobi</t>
        </is>
      </c>
      <c r="C523" t="inlineStr">
        <is>
          <t>7/16作廢</t>
        </is>
      </c>
      <c r="D523" t="inlineStr">
        <is>
          <t>2691263</t>
        </is>
      </c>
      <c r="E523" t="inlineStr"/>
      <c r="F523" t="inlineStr">
        <is>
          <t>2025-07-08</t>
        </is>
      </c>
      <c r="G523" t="inlineStr">
        <is>
          <t>QY43829161</t>
        </is>
      </c>
      <c r="H523" t="inlineStr">
        <is>
          <t>cus_769b585645b5</t>
        </is>
      </c>
      <c r="I523" t="inlineStr">
        <is>
          <t>香港商陽獅銳奇媒體股份有限公司台灣分公司
星傳媒體事業處</t>
        </is>
      </c>
      <c r="J523" t="inlineStr">
        <is>
          <t>26287090</t>
        </is>
      </c>
      <c r="K523" t="n">
        <v>45000</v>
      </c>
      <c r="L523" t="n">
        <v>47250</v>
      </c>
      <c r="M523" t="inlineStr">
        <is>
          <t>發票數據受眾包</t>
        </is>
      </c>
      <c r="N523" t="inlineStr">
        <is>
          <t>Aida Chou</t>
        </is>
      </c>
      <c r="O523" t="inlineStr">
        <is>
          <t>106 台北市大安區信義路四段6號8樓</t>
        </is>
      </c>
      <c r="P523" t="inlineStr">
        <is>
          <t>aida.chou@starcomww.com</t>
        </is>
      </c>
      <c r="Q523" t="inlineStr">
        <is>
          <t>02-77342829</t>
        </is>
      </c>
      <c r="R523" t="inlineStr"/>
      <c r="S523" t="inlineStr">
        <is>
          <t>已收款</t>
        </is>
      </c>
      <c r="T523" t="inlineStr">
        <is>
          <t>P&amp;C-Crest
來源：單次型發票及收款紀錄 第 42 列</t>
        </is>
      </c>
      <c r="U523" t="inlineStr">
        <is>
          <t>收到發票隔月起95天</t>
        </is>
      </c>
      <c r="V523" t="inlineStr">
        <is>
          <t>2026-05-18</t>
        </is>
      </c>
    </row>
    <row r="524">
      <c r="A524" t="inlineStr">
        <is>
          <t>inv_0193579db115</t>
        </is>
      </c>
      <c r="B524" t="inlineStr">
        <is>
          <t>Cobi</t>
        </is>
      </c>
      <c r="C524" t="inlineStr">
        <is>
          <t>2025-10-01</t>
        </is>
      </c>
      <c r="D524" t="inlineStr">
        <is>
          <t>2691264</t>
        </is>
      </c>
      <c r="E524" t="inlineStr"/>
      <c r="F524" t="inlineStr">
        <is>
          <t>2025-07-08</t>
        </is>
      </c>
      <c r="G524" t="inlineStr">
        <is>
          <t>QY43829162</t>
        </is>
      </c>
      <c r="H524" t="inlineStr">
        <is>
          <t>cus_769b585645b5</t>
        </is>
      </c>
      <c r="I524" t="inlineStr">
        <is>
          <t>香港商陽獅銳奇媒體股份有限公司台灣分公司
星傳媒體事業處</t>
        </is>
      </c>
      <c r="J524" t="inlineStr">
        <is>
          <t>26287090</t>
        </is>
      </c>
      <c r="K524" t="n">
        <v>45000</v>
      </c>
      <c r="L524" t="n">
        <v>47250</v>
      </c>
      <c r="M524" t="inlineStr">
        <is>
          <t>發票數據受眾包</t>
        </is>
      </c>
      <c r="N524" t="inlineStr">
        <is>
          <t>Esther Huang</t>
        </is>
      </c>
      <c r="O524" t="inlineStr">
        <is>
          <t>106 台北市大安區信義路四段6號8樓</t>
        </is>
      </c>
      <c r="P524" t="inlineStr">
        <is>
          <t>esther.huang@starcomww.com</t>
        </is>
      </c>
      <c r="Q524" t="inlineStr">
        <is>
          <t>02-7734 8715</t>
        </is>
      </c>
      <c r="R524" t="inlineStr"/>
      <c r="S524" t="inlineStr">
        <is>
          <t>已收款</t>
        </is>
      </c>
      <c r="T524" t="inlineStr">
        <is>
          <t>P&amp;C-Febreze
來源：單次型發票及收款紀錄 第 43 列</t>
        </is>
      </c>
      <c r="U524" t="inlineStr">
        <is>
          <t>收到發票隔月起95天</t>
        </is>
      </c>
      <c r="V524" t="inlineStr">
        <is>
          <t>2026-05-18</t>
        </is>
      </c>
    </row>
    <row r="525">
      <c r="A525" t="inlineStr">
        <is>
          <t>inv_f2f70bfc853d</t>
        </is>
      </c>
      <c r="B525" t="inlineStr">
        <is>
          <t>Cobi</t>
        </is>
      </c>
      <c r="C525" t="inlineStr">
        <is>
          <t>2025-10-01</t>
        </is>
      </c>
      <c r="D525" t="inlineStr">
        <is>
          <t>2691265</t>
        </is>
      </c>
      <c r="E525" t="inlineStr"/>
      <c r="F525" t="inlineStr">
        <is>
          <t>2025-07-08</t>
        </is>
      </c>
      <c r="G525" t="inlineStr">
        <is>
          <t>QY43829163</t>
        </is>
      </c>
      <c r="H525" t="inlineStr">
        <is>
          <t>cus_769b585645b5</t>
        </is>
      </c>
      <c r="I525" t="inlineStr">
        <is>
          <t>香港商陽獅銳奇媒體股份有限公司台灣分公司
星傳媒體事業處</t>
        </is>
      </c>
      <c r="J525" t="inlineStr">
        <is>
          <t>26287090</t>
        </is>
      </c>
      <c r="K525" t="n">
        <v>50000</v>
      </c>
      <c r="L525" t="n">
        <v>52500</v>
      </c>
      <c r="M525" t="inlineStr">
        <is>
          <t>發票數據受眾包</t>
        </is>
      </c>
      <c r="N525" t="inlineStr">
        <is>
          <t>Daisy Lee</t>
        </is>
      </c>
      <c r="O525" t="inlineStr">
        <is>
          <t>106 台北市大安區信義路四段6號8樓</t>
        </is>
      </c>
      <c r="P525" t="inlineStr">
        <is>
          <t>daisy.lee@starcomww.com</t>
        </is>
      </c>
      <c r="Q525" t="inlineStr">
        <is>
          <t>02-7734-2826</t>
        </is>
      </c>
      <c r="R525" t="inlineStr"/>
      <c r="S525" t="inlineStr">
        <is>
          <t>已收款</t>
        </is>
      </c>
      <c r="T525" t="inlineStr">
        <is>
          <t>P&amp;G-Lenor
來源：單次型發票及收款紀錄 第 44 列</t>
        </is>
      </c>
      <c r="U525" t="inlineStr">
        <is>
          <t>收到發票隔月起95天</t>
        </is>
      </c>
      <c r="V525" t="inlineStr">
        <is>
          <t>2026-05-18</t>
        </is>
      </c>
    </row>
    <row r="526">
      <c r="A526" t="inlineStr">
        <is>
          <t>inv_c29de901bed8</t>
        </is>
      </c>
      <c r="B526" t="inlineStr">
        <is>
          <t>Cobi</t>
        </is>
      </c>
      <c r="C526" t="inlineStr">
        <is>
          <t>7/16作廢</t>
        </is>
      </c>
      <c r="D526" t="inlineStr">
        <is>
          <t>2691266</t>
        </is>
      </c>
      <c r="E526" t="inlineStr"/>
      <c r="F526" t="inlineStr">
        <is>
          <t>2025-07-08</t>
        </is>
      </c>
      <c r="G526" t="inlineStr">
        <is>
          <t>QY43829164</t>
        </is>
      </c>
      <c r="H526" t="inlineStr">
        <is>
          <t>cus_769b585645b5</t>
        </is>
      </c>
      <c r="I526" t="inlineStr">
        <is>
          <t>香港商陽獅銳奇媒體股份有限公司台灣分公司
星傳媒體事業處</t>
        </is>
      </c>
      <c r="J526" t="inlineStr">
        <is>
          <t>26287090</t>
        </is>
      </c>
      <c r="K526" t="n">
        <v>45000</v>
      </c>
      <c r="L526" t="n">
        <v>47250</v>
      </c>
      <c r="M526" t="inlineStr">
        <is>
          <t>發票數據受眾包</t>
        </is>
      </c>
      <c r="N526" t="inlineStr">
        <is>
          <t>Esther Huang</t>
        </is>
      </c>
      <c r="O526" t="inlineStr">
        <is>
          <t>106 台北市大安區信義路四段6號8樓</t>
        </is>
      </c>
      <c r="P526" t="inlineStr">
        <is>
          <t>esther.huang@starcomww.com</t>
        </is>
      </c>
      <c r="Q526" t="inlineStr">
        <is>
          <t>02-7734 8715</t>
        </is>
      </c>
      <c r="R526" t="inlineStr"/>
      <c r="S526" t="inlineStr">
        <is>
          <t>已收款</t>
        </is>
      </c>
      <c r="T526" t="inlineStr">
        <is>
          <t>P&amp;G_Ariel
來源：單次型發票及收款紀錄 第 45 列</t>
        </is>
      </c>
      <c r="U526" t="inlineStr">
        <is>
          <t>收到發票隔月起95天</t>
        </is>
      </c>
      <c r="V526" t="inlineStr">
        <is>
          <t>2026-05-18</t>
        </is>
      </c>
    </row>
    <row r="527">
      <c r="A527" t="inlineStr">
        <is>
          <t>inv_48ef877cbdbc</t>
        </is>
      </c>
      <c r="B527" t="inlineStr">
        <is>
          <t>Cobi</t>
        </is>
      </c>
      <c r="C527" t="inlineStr">
        <is>
          <t>7/16作廢</t>
        </is>
      </c>
      <c r="D527" t="inlineStr">
        <is>
          <t>2691267</t>
        </is>
      </c>
      <c r="E527" t="inlineStr"/>
      <c r="F527" t="inlineStr">
        <is>
          <t>2025-07-08</t>
        </is>
      </c>
      <c r="G527" t="inlineStr">
        <is>
          <t>QY43829165</t>
        </is>
      </c>
      <c r="H527" t="inlineStr">
        <is>
          <t>cus_769b585645b5</t>
        </is>
      </c>
      <c r="I527" t="inlineStr">
        <is>
          <t>香港商陽獅銳奇媒體股份有限公司台灣分公司
星傳媒體事業處</t>
        </is>
      </c>
      <c r="J527" t="inlineStr">
        <is>
          <t>26287090</t>
        </is>
      </c>
      <c r="K527" t="n">
        <v>45000</v>
      </c>
      <c r="L527" t="n">
        <v>47250</v>
      </c>
      <c r="M527" t="inlineStr">
        <is>
          <t>發票數據受眾包</t>
        </is>
      </c>
      <c r="N527" t="inlineStr">
        <is>
          <t>Daisy Lee</t>
        </is>
      </c>
      <c r="O527" t="inlineStr">
        <is>
          <t>106 台北市大安區信義路四段6號8樓</t>
        </is>
      </c>
      <c r="P527" t="inlineStr">
        <is>
          <t>daisy.lee@starcomww.com</t>
        </is>
      </c>
      <c r="Q527" t="inlineStr">
        <is>
          <t>02-7734-2826</t>
        </is>
      </c>
      <c r="R527" t="inlineStr"/>
      <c r="S527" t="inlineStr">
        <is>
          <t>已收款</t>
        </is>
      </c>
      <c r="T527" t="inlineStr">
        <is>
          <t>P&amp;G-Oral-B
來源：單次型發票及收款紀錄 第 46 列</t>
        </is>
      </c>
      <c r="U527" t="inlineStr">
        <is>
          <t>收到發票隔月起95天</t>
        </is>
      </c>
      <c r="V527" t="inlineStr">
        <is>
          <t>2026-05-18</t>
        </is>
      </c>
    </row>
    <row r="528">
      <c r="A528" t="inlineStr">
        <is>
          <t>inv_2a9ce07ccf8d</t>
        </is>
      </c>
      <c r="B528" t="inlineStr">
        <is>
          <t>Cobi</t>
        </is>
      </c>
      <c r="C528" t="inlineStr">
        <is>
          <t>2025-10-01</t>
        </is>
      </c>
      <c r="D528" t="inlineStr">
        <is>
          <t>2700951</t>
        </is>
      </c>
      <c r="E528" t="inlineStr"/>
      <c r="F528" t="inlineStr">
        <is>
          <t>2025.07017</t>
        </is>
      </c>
      <c r="G528" t="inlineStr"/>
      <c r="H528" t="inlineStr">
        <is>
          <t>cus_769b585645b5</t>
        </is>
      </c>
      <c r="I528" t="inlineStr">
        <is>
          <t>香港商陽獅銳奇媒體股份有限公司台灣分公司
星傳媒體事業處</t>
        </is>
      </c>
      <c r="J528" t="inlineStr">
        <is>
          <t>26287090</t>
        </is>
      </c>
      <c r="K528" t="n">
        <v>45000</v>
      </c>
      <c r="L528" t="n">
        <v>47250</v>
      </c>
      <c r="M528" t="inlineStr">
        <is>
          <t>發票數據受眾包</t>
        </is>
      </c>
      <c r="N528" t="inlineStr">
        <is>
          <t>Esther Huang</t>
        </is>
      </c>
      <c r="O528" t="inlineStr">
        <is>
          <t>106 台北市大安區信義路四段6號8樓</t>
        </is>
      </c>
      <c r="P528" t="inlineStr">
        <is>
          <t>esther.huang@starcomww.com</t>
        </is>
      </c>
      <c r="Q528" t="inlineStr">
        <is>
          <t>02-7734 8715</t>
        </is>
      </c>
      <c r="R528" t="inlineStr"/>
      <c r="S528" t="inlineStr">
        <is>
          <t>已收款</t>
        </is>
      </c>
      <c r="T528" t="inlineStr">
        <is>
          <t>P&amp;G_Ariel
來源：單次型發票及收款紀錄 第 47 列</t>
        </is>
      </c>
      <c r="U528" t="inlineStr">
        <is>
          <t>收到發票隔月起95天</t>
        </is>
      </c>
      <c r="V528" t="inlineStr">
        <is>
          <t>2026-05-18</t>
        </is>
      </c>
    </row>
    <row r="529">
      <c r="A529" t="inlineStr">
        <is>
          <t>inv_019846d413b9</t>
        </is>
      </c>
      <c r="B529" t="inlineStr">
        <is>
          <t>Cobi</t>
        </is>
      </c>
      <c r="C529" t="inlineStr">
        <is>
          <t>2025-10-30</t>
        </is>
      </c>
      <c r="D529" t="inlineStr">
        <is>
          <t>2717904</t>
        </is>
      </c>
      <c r="E529" t="inlineStr"/>
      <c r="F529" t="inlineStr">
        <is>
          <t>2025-08-01</t>
        </is>
      </c>
      <c r="G529" t="inlineStr"/>
      <c r="H529" t="inlineStr">
        <is>
          <t>cus_769b585645b5</t>
        </is>
      </c>
      <c r="I529" t="inlineStr">
        <is>
          <t>香港商陽獅銳奇媒體股份有限公司台灣分公司
星傳媒體事業處</t>
        </is>
      </c>
      <c r="J529" t="inlineStr">
        <is>
          <t>26287090</t>
        </is>
      </c>
      <c r="K529" t="n">
        <v>45000</v>
      </c>
      <c r="L529" t="n">
        <v>47250</v>
      </c>
      <c r="M529" t="inlineStr">
        <is>
          <t>發票數據受眾包</t>
        </is>
      </c>
      <c r="N529" t="inlineStr">
        <is>
          <t>Aida Chou</t>
        </is>
      </c>
      <c r="O529" t="inlineStr">
        <is>
          <t>106 台北市大安區信義路四段6號8樓</t>
        </is>
      </c>
      <c r="P529" t="inlineStr">
        <is>
          <t>aida.chou@starcomww.com</t>
        </is>
      </c>
      <c r="Q529" t="inlineStr">
        <is>
          <t>02-77342829</t>
        </is>
      </c>
      <c r="R529" t="inlineStr"/>
      <c r="S529" t="inlineStr">
        <is>
          <t>已收款</t>
        </is>
      </c>
      <c r="T529" t="inlineStr">
        <is>
          <t>P&amp;C-Crest
來源：單次型發票及收款紀錄 第 48 列</t>
        </is>
      </c>
      <c r="U529" t="inlineStr">
        <is>
          <t>收到發票隔月起95天</t>
        </is>
      </c>
      <c r="V529" t="inlineStr">
        <is>
          <t>2026-05-18</t>
        </is>
      </c>
    </row>
    <row r="530">
      <c r="A530" t="inlineStr">
        <is>
          <t>inv_2c602c1d622a</t>
        </is>
      </c>
      <c r="B530" t="inlineStr">
        <is>
          <t>Cobi</t>
        </is>
      </c>
      <c r="C530" t="inlineStr">
        <is>
          <t>2025-10-30</t>
        </is>
      </c>
      <c r="D530" t="inlineStr">
        <is>
          <t>2717905</t>
        </is>
      </c>
      <c r="E530" t="inlineStr"/>
      <c r="F530" t="inlineStr">
        <is>
          <t>2025-08-01</t>
        </is>
      </c>
      <c r="G530" t="inlineStr"/>
      <c r="H530" t="inlineStr">
        <is>
          <t>cus_769b585645b5</t>
        </is>
      </c>
      <c r="I530" t="inlineStr">
        <is>
          <t>香港商陽獅銳奇媒體股份有限公司台灣分公司
星傳媒體事業處</t>
        </is>
      </c>
      <c r="J530" t="inlineStr">
        <is>
          <t>26287090</t>
        </is>
      </c>
      <c r="K530" t="n">
        <v>45000</v>
      </c>
      <c r="L530" t="n">
        <v>47250</v>
      </c>
      <c r="M530" t="inlineStr">
        <is>
          <t>發票數據受眾包</t>
        </is>
      </c>
      <c r="N530" t="inlineStr">
        <is>
          <t>Daisy Lee</t>
        </is>
      </c>
      <c r="O530" t="inlineStr">
        <is>
          <t>106 台北市大安區信義路四段6號8樓</t>
        </is>
      </c>
      <c r="P530" t="inlineStr">
        <is>
          <t>daisy.lee@starcomww.com</t>
        </is>
      </c>
      <c r="Q530" t="inlineStr">
        <is>
          <t>02-7734-2826</t>
        </is>
      </c>
      <c r="R530" t="inlineStr"/>
      <c r="S530" t="inlineStr">
        <is>
          <t>已收款</t>
        </is>
      </c>
      <c r="T530" t="inlineStr">
        <is>
          <t>P&amp;G-Oral-B
來源：單次型發票及收款紀錄 第 49 列</t>
        </is>
      </c>
      <c r="U530" t="inlineStr">
        <is>
          <t>收到發票隔月起95天</t>
        </is>
      </c>
      <c r="V530" t="inlineStr">
        <is>
          <t>2026-05-18</t>
        </is>
      </c>
    </row>
    <row r="531">
      <c r="A531" t="inlineStr">
        <is>
          <t>inv_f2b751195c3d</t>
        </is>
      </c>
      <c r="B531" t="inlineStr">
        <is>
          <t>Cobi</t>
        </is>
      </c>
      <c r="C531" t="inlineStr">
        <is>
          <t>2025-10-30</t>
        </is>
      </c>
      <c r="D531" t="inlineStr">
        <is>
          <t>2717906</t>
        </is>
      </c>
      <c r="E531" t="inlineStr"/>
      <c r="F531" t="inlineStr">
        <is>
          <t>2025-08-01</t>
        </is>
      </c>
      <c r="G531" t="inlineStr"/>
      <c r="H531" t="inlineStr">
        <is>
          <t>cus_769b585645b5</t>
        </is>
      </c>
      <c r="I531" t="inlineStr">
        <is>
          <t>香港商陽獅銳奇媒體股份有限公司台灣分公司
星傳媒體事業處</t>
        </is>
      </c>
      <c r="J531" t="inlineStr">
        <is>
          <t>26287090</t>
        </is>
      </c>
      <c r="K531" t="n">
        <v>45000</v>
      </c>
      <c r="L531" t="n">
        <v>47250</v>
      </c>
      <c r="M531" t="inlineStr">
        <is>
          <t>發票數據受眾包</t>
        </is>
      </c>
      <c r="N531" t="inlineStr">
        <is>
          <t>Aida Chou</t>
        </is>
      </c>
      <c r="O531" t="inlineStr">
        <is>
          <t>106 台北市大安區信義路四段6號8樓</t>
        </is>
      </c>
      <c r="P531" t="inlineStr">
        <is>
          <t>aida.chou@starcomww.com</t>
        </is>
      </c>
      <c r="Q531" t="inlineStr">
        <is>
          <t>02-77342829</t>
        </is>
      </c>
      <c r="R531" t="inlineStr"/>
      <c r="S531" t="inlineStr">
        <is>
          <t>已收款</t>
        </is>
      </c>
      <c r="T531" t="inlineStr">
        <is>
          <t>P&amp;C-Whisper
來源：單次型發票及收款紀錄 第 50 列</t>
        </is>
      </c>
      <c r="U531" t="inlineStr">
        <is>
          <t>收到發票隔月起95天</t>
        </is>
      </c>
      <c r="V531" t="inlineStr">
        <is>
          <t>2026-05-18</t>
        </is>
      </c>
    </row>
    <row r="532">
      <c r="A532" t="inlineStr">
        <is>
          <t>inv_d0ada956ea84</t>
        </is>
      </c>
      <c r="B532" t="inlineStr">
        <is>
          <t>Cobi</t>
        </is>
      </c>
      <c r="C532" t="inlineStr">
        <is>
          <t>2025-10-30</t>
        </is>
      </c>
      <c r="D532" t="inlineStr">
        <is>
          <t>2717907</t>
        </is>
      </c>
      <c r="E532" t="inlineStr"/>
      <c r="F532" t="inlineStr">
        <is>
          <t>2025-08-01</t>
        </is>
      </c>
      <c r="G532" t="inlineStr"/>
      <c r="H532" t="inlineStr">
        <is>
          <t>cus_769b585645b5</t>
        </is>
      </c>
      <c r="I532" t="inlineStr">
        <is>
          <t>香港商陽獅銳奇媒體股份有限公司台灣分公司
星傳媒體事業處</t>
        </is>
      </c>
      <c r="J532" t="inlineStr">
        <is>
          <t>26287090</t>
        </is>
      </c>
      <c r="K532" t="n">
        <v>35000</v>
      </c>
      <c r="L532" t="n">
        <v>36750</v>
      </c>
      <c r="M532" t="inlineStr">
        <is>
          <t>發票數據受眾包</t>
        </is>
      </c>
      <c r="N532" t="inlineStr">
        <is>
          <t>Kim Chen</t>
        </is>
      </c>
      <c r="O532" t="inlineStr">
        <is>
          <t>106 台北市大安區信義路四段6號8樓</t>
        </is>
      </c>
      <c r="P532" t="inlineStr">
        <is>
          <t>kim.chen@starcomww.com</t>
        </is>
      </c>
      <c r="Q532" t="inlineStr">
        <is>
          <t>02-77342829</t>
        </is>
      </c>
      <c r="R532" t="inlineStr"/>
      <c r="S532" t="inlineStr">
        <is>
          <t>已收款</t>
        </is>
      </c>
      <c r="T532" t="inlineStr">
        <is>
          <t>Haleon
來源：單次型發票及收款紀錄 第 51 列</t>
        </is>
      </c>
      <c r="U532" t="inlineStr">
        <is>
          <t>收到發票隔月起95天</t>
        </is>
      </c>
      <c r="V532" t="inlineStr">
        <is>
          <t>2026-05-18</t>
        </is>
      </c>
    </row>
    <row r="533">
      <c r="A533" t="inlineStr">
        <is>
          <t>inv_eec32432150a</t>
        </is>
      </c>
      <c r="B533" t="inlineStr">
        <is>
          <t>Cobi</t>
        </is>
      </c>
      <c r="C533" t="inlineStr">
        <is>
          <t>2025-10-30</t>
        </is>
      </c>
      <c r="D533" t="inlineStr">
        <is>
          <t>2717908</t>
        </is>
      </c>
      <c r="E533" t="inlineStr"/>
      <c r="F533" t="inlineStr">
        <is>
          <t>2025-08-01</t>
        </is>
      </c>
      <c r="G533" t="inlineStr"/>
      <c r="H533" t="inlineStr">
        <is>
          <t>cus_769b585645b5</t>
        </is>
      </c>
      <c r="I533" t="inlineStr">
        <is>
          <t>香港商陽獅銳奇媒體股份有限公司台灣分公司
星傳媒體事業處</t>
        </is>
      </c>
      <c r="J533" t="inlineStr">
        <is>
          <t>26287090</t>
        </is>
      </c>
      <c r="K533" t="n">
        <v>40000</v>
      </c>
      <c r="L533" t="n">
        <v>42000</v>
      </c>
      <c r="M533" t="inlineStr">
        <is>
          <t>發票數據受眾包</t>
        </is>
      </c>
      <c r="N533" t="inlineStr">
        <is>
          <t>Joyce Chien</t>
        </is>
      </c>
      <c r="O533" t="inlineStr">
        <is>
          <t>106 台北市大安區信義路四段6號8樓</t>
        </is>
      </c>
      <c r="P533" t="inlineStr">
        <is>
          <t>joyce.chien@starcomww.com</t>
        </is>
      </c>
      <c r="Q533" t="inlineStr">
        <is>
          <t>02-77342829</t>
        </is>
      </c>
      <c r="R533" t="inlineStr"/>
      <c r="S533" t="inlineStr">
        <is>
          <t>已收款</t>
        </is>
      </c>
      <c r="T533" t="inlineStr">
        <is>
          <t>Costco
來源：單次型發票及收款紀錄 第 52 列</t>
        </is>
      </c>
      <c r="U533" t="inlineStr">
        <is>
          <t>收到發票隔月起95天</t>
        </is>
      </c>
      <c r="V533" t="inlineStr">
        <is>
          <t>2026-05-18</t>
        </is>
      </c>
    </row>
    <row r="534">
      <c r="A534" t="inlineStr">
        <is>
          <t>inv_2beca31aa498</t>
        </is>
      </c>
      <c r="B534" t="inlineStr">
        <is>
          <t>Cobi</t>
        </is>
      </c>
      <c r="C534" t="inlineStr">
        <is>
          <t>2025-11-03</t>
        </is>
      </c>
      <c r="D534" t="inlineStr">
        <is>
          <t>2717909</t>
        </is>
      </c>
      <c r="E534" t="inlineStr"/>
      <c r="F534" t="inlineStr">
        <is>
          <t>2025-08-01</t>
        </is>
      </c>
      <c r="G534" t="inlineStr"/>
      <c r="H534" t="inlineStr">
        <is>
          <t>cus_769b585645b5</t>
        </is>
      </c>
      <c r="I534" t="inlineStr">
        <is>
          <t>香港商陽獅銳奇媒體股份有限公司台灣分公司
星傳媒體事業處</t>
        </is>
      </c>
      <c r="J534" t="inlineStr">
        <is>
          <t>26287090</t>
        </is>
      </c>
      <c r="K534" t="n">
        <v>40000</v>
      </c>
      <c r="L534" t="n">
        <v>42000</v>
      </c>
      <c r="M534" t="inlineStr">
        <is>
          <t>發票數據受眾包</t>
        </is>
      </c>
      <c r="N534" t="inlineStr">
        <is>
          <t>Kelly Chang</t>
        </is>
      </c>
      <c r="O534" t="inlineStr">
        <is>
          <t>106 台北市大安區信義路四段6號8樓</t>
        </is>
      </c>
      <c r="P534" t="inlineStr">
        <is>
          <t>kelly.chang@starcomww.com</t>
        </is>
      </c>
      <c r="Q534" t="inlineStr">
        <is>
          <t>02-77342829</t>
        </is>
      </c>
      <c r="R534" t="inlineStr"/>
      <c r="S534" t="inlineStr">
        <is>
          <t>已收款</t>
        </is>
      </c>
      <c r="T534" t="inlineStr">
        <is>
          <t>Pampers-Costco
來源：單次型發票及收款紀錄 第 53 列</t>
        </is>
      </c>
      <c r="U534" t="inlineStr">
        <is>
          <t>收到發票隔月起95天</t>
        </is>
      </c>
      <c r="V534" t="inlineStr">
        <is>
          <t>2026-05-18</t>
        </is>
      </c>
    </row>
    <row r="535">
      <c r="A535" t="inlineStr">
        <is>
          <t>inv_eb0b32f44b47</t>
        </is>
      </c>
      <c r="B535" t="inlineStr">
        <is>
          <t>Cobi</t>
        </is>
      </c>
      <c r="C535" t="inlineStr">
        <is>
          <t>2025-11-03</t>
        </is>
      </c>
      <c r="D535" t="inlineStr">
        <is>
          <t>2728767</t>
        </is>
      </c>
      <c r="E535" t="inlineStr"/>
      <c r="F535" t="inlineStr">
        <is>
          <t>2025-08-11</t>
        </is>
      </c>
      <c r="G535" t="inlineStr"/>
      <c r="H535" t="inlineStr">
        <is>
          <t>cus_769b585645b5</t>
        </is>
      </c>
      <c r="I535" t="inlineStr">
        <is>
          <t>香港商陽獅銳奇媒體股份有限公司台灣分公司
星傳媒體事業處</t>
        </is>
      </c>
      <c r="J535" t="inlineStr">
        <is>
          <t>26287090</t>
        </is>
      </c>
      <c r="K535" t="n">
        <v>40000</v>
      </c>
      <c r="L535" t="n">
        <v>42000</v>
      </c>
      <c r="M535" t="inlineStr">
        <is>
          <t>廣告合作</t>
        </is>
      </c>
      <c r="N535" t="inlineStr">
        <is>
          <t>Kyle Hsu</t>
        </is>
      </c>
      <c r="O535" t="inlineStr">
        <is>
          <t>106 台北市大安區信義路四段6號8樓</t>
        </is>
      </c>
      <c r="P535" t="inlineStr">
        <is>
          <t>kyle.hsu@starcomww.com</t>
        </is>
      </c>
      <c r="Q535" t="inlineStr">
        <is>
          <t>(02)77348703</t>
        </is>
      </c>
      <c r="R535" t="inlineStr"/>
      <c r="S535" t="inlineStr">
        <is>
          <t>已收款</t>
        </is>
      </c>
      <c r="T535" t="inlineStr">
        <is>
          <t>Samsung
來源：單次型發票及收款紀錄 第 54 列</t>
        </is>
      </c>
      <c r="U535" t="inlineStr">
        <is>
          <t>收到發票隔月起95天</t>
        </is>
      </c>
      <c r="V535" t="inlineStr">
        <is>
          <t>2026-05-18</t>
        </is>
      </c>
    </row>
    <row r="536">
      <c r="A536" t="inlineStr">
        <is>
          <t>inv_160437f0425f</t>
        </is>
      </c>
      <c r="B536" t="inlineStr">
        <is>
          <t>Erin</t>
        </is>
      </c>
      <c r="C536" t="inlineStr">
        <is>
          <t>2025-12-01</t>
        </is>
      </c>
      <c r="D536" t="inlineStr">
        <is>
          <t>2761809</t>
        </is>
      </c>
      <c r="E536" t="inlineStr"/>
      <c r="F536" t="inlineStr">
        <is>
          <t>2025-09-05</t>
        </is>
      </c>
      <c r="G536" t="inlineStr"/>
      <c r="H536" t="inlineStr">
        <is>
          <t>cus_769b585645b5</t>
        </is>
      </c>
      <c r="I536" t="inlineStr">
        <is>
          <t>香港商陽獅銳奇媒體股份有限公司台灣分公司
星傳媒體事業處</t>
        </is>
      </c>
      <c r="J536" t="inlineStr">
        <is>
          <t>26287090</t>
        </is>
      </c>
      <c r="K536" t="n">
        <v>55000</v>
      </c>
      <c r="L536" t="n">
        <v>57750</v>
      </c>
      <c r="M536" t="inlineStr">
        <is>
          <t>發票數據受眾包</t>
        </is>
      </c>
      <c r="N536" t="inlineStr">
        <is>
          <t>Kelly Chang</t>
        </is>
      </c>
      <c r="O536" t="inlineStr">
        <is>
          <t>106 台北市大安區信義路四段6號8樓</t>
        </is>
      </c>
      <c r="P536" t="inlineStr">
        <is>
          <t>erin_yeh@cmoney.com.tw</t>
        </is>
      </c>
      <c r="Q536" t="inlineStr">
        <is>
          <t>02-77342829</t>
        </is>
      </c>
      <c r="R536" t="inlineStr"/>
      <c r="S536" t="inlineStr">
        <is>
          <t>已收款</t>
        </is>
      </c>
      <c r="T536" t="inlineStr">
        <is>
          <t>OLAY
來源：單次型發票及收款紀錄 第 55 列</t>
        </is>
      </c>
      <c r="U536" t="inlineStr">
        <is>
          <t>收到發票隔月起95天</t>
        </is>
      </c>
      <c r="V536" t="inlineStr">
        <is>
          <t>2026-05-18</t>
        </is>
      </c>
    </row>
    <row r="537">
      <c r="A537" t="inlineStr">
        <is>
          <t>inv_68784fafcc9d</t>
        </is>
      </c>
      <c r="B537" t="inlineStr">
        <is>
          <t>Erin</t>
        </is>
      </c>
      <c r="C537" t="inlineStr">
        <is>
          <t>2025-12-01</t>
        </is>
      </c>
      <c r="D537" t="inlineStr">
        <is>
          <t>2761810</t>
        </is>
      </c>
      <c r="E537" t="inlineStr"/>
      <c r="F537" t="inlineStr">
        <is>
          <t>2025-09-05</t>
        </is>
      </c>
      <c r="G537" t="inlineStr"/>
      <c r="H537" t="inlineStr">
        <is>
          <t>cus_769b585645b5</t>
        </is>
      </c>
      <c r="I537" t="inlineStr">
        <is>
          <t>香港商陽獅銳奇媒體股份有限公司台灣分公司
星傳媒體事業處</t>
        </is>
      </c>
      <c r="J537" t="inlineStr">
        <is>
          <t>26287090</t>
        </is>
      </c>
      <c r="K537" t="n">
        <v>16500</v>
      </c>
      <c r="L537" t="n">
        <v>17325</v>
      </c>
      <c r="M537" t="inlineStr">
        <is>
          <t>發票數據受眾包</t>
        </is>
      </c>
      <c r="N537" t="inlineStr">
        <is>
          <t>Kelly Chang</t>
        </is>
      </c>
      <c r="O537" t="inlineStr">
        <is>
          <t>106 台北市大安區信義路四段6號8樓</t>
        </is>
      </c>
      <c r="P537" t="inlineStr">
        <is>
          <t>erin_yeh@cmoney.com.tw</t>
        </is>
      </c>
      <c r="Q537" t="inlineStr">
        <is>
          <t>02-77342829</t>
        </is>
      </c>
      <c r="R537" t="inlineStr"/>
      <c r="S537" t="inlineStr">
        <is>
          <t>已收款</t>
        </is>
      </c>
      <c r="T537" t="inlineStr">
        <is>
          <t>OLAY
來源：單次型發票及收款紀錄 第 56 列</t>
        </is>
      </c>
      <c r="U537" t="inlineStr">
        <is>
          <t>收到發票隔月起95天</t>
        </is>
      </c>
      <c r="V537" t="inlineStr">
        <is>
          <t>2026-05-18</t>
        </is>
      </c>
    </row>
    <row r="538">
      <c r="A538" t="inlineStr">
        <is>
          <t>inv_378567979f17</t>
        </is>
      </c>
      <c r="B538" t="inlineStr">
        <is>
          <t>Erin</t>
        </is>
      </c>
      <c r="C538" t="inlineStr">
        <is>
          <t>2025-12-01</t>
        </is>
      </c>
      <c r="D538" t="inlineStr">
        <is>
          <t>2761811</t>
        </is>
      </c>
      <c r="E538" t="inlineStr"/>
      <c r="F538" t="inlineStr">
        <is>
          <t>2025-09-05</t>
        </is>
      </c>
      <c r="G538" t="inlineStr"/>
      <c r="H538" t="inlineStr">
        <is>
          <t>cus_769b585645b5</t>
        </is>
      </c>
      <c r="I538" t="inlineStr">
        <is>
          <t>香港商陽獅銳奇媒體股份有限公司台灣分公司
星傳媒體事業處</t>
        </is>
      </c>
      <c r="J538" t="inlineStr">
        <is>
          <t>26287090</t>
        </is>
      </c>
      <c r="K538" t="n">
        <v>5000</v>
      </c>
      <c r="L538" t="n">
        <v>5250</v>
      </c>
      <c r="M538" t="inlineStr">
        <is>
          <t>發票數據受眾包</t>
        </is>
      </c>
      <c r="N538" t="inlineStr">
        <is>
          <t>Kelly Chang</t>
        </is>
      </c>
      <c r="O538" t="inlineStr">
        <is>
          <t>106 台北市大安區信義路四段6號8樓</t>
        </is>
      </c>
      <c r="P538" t="inlineStr">
        <is>
          <t>erin_yeh@cmoney.com.tw</t>
        </is>
      </c>
      <c r="Q538" t="inlineStr">
        <is>
          <t>02-77342829</t>
        </is>
      </c>
      <c r="R538" t="inlineStr"/>
      <c r="S538" t="inlineStr">
        <is>
          <t>已收款</t>
        </is>
      </c>
      <c r="T538" t="inlineStr">
        <is>
          <t>POME
來源：單次型發票及收款紀錄 第 57 列</t>
        </is>
      </c>
      <c r="U538" t="inlineStr">
        <is>
          <t>收到發票隔月起95天</t>
        </is>
      </c>
      <c r="V538" t="inlineStr">
        <is>
          <t>2026-05-18</t>
        </is>
      </c>
    </row>
    <row r="539">
      <c r="A539" t="inlineStr">
        <is>
          <t>inv_c7ed9180e7d4</t>
        </is>
      </c>
      <c r="B539" t="inlineStr">
        <is>
          <t>Erin</t>
        </is>
      </c>
      <c r="C539" t="inlineStr">
        <is>
          <t>2025-10-31</t>
        </is>
      </c>
      <c r="D539" t="inlineStr">
        <is>
          <t>2761812</t>
        </is>
      </c>
      <c r="E539" t="inlineStr"/>
      <c r="F539" t="inlineStr">
        <is>
          <t>2025-09-05</t>
        </is>
      </c>
      <c r="G539" t="inlineStr"/>
      <c r="H539" t="inlineStr">
        <is>
          <t>cus_769b585645b5</t>
        </is>
      </c>
      <c r="I539" t="inlineStr">
        <is>
          <t>香港商陽獅銳奇媒體股份有限公司台灣分公司
星傳媒體事業處</t>
        </is>
      </c>
      <c r="J539" t="inlineStr">
        <is>
          <t>26287090</t>
        </is>
      </c>
      <c r="K539" t="n">
        <v>500000</v>
      </c>
      <c r="L539" t="n">
        <v>525000</v>
      </c>
      <c r="M539" t="inlineStr">
        <is>
          <t>發票數據受眾包</t>
        </is>
      </c>
      <c r="N539" t="inlineStr">
        <is>
          <t>Boris Ho</t>
        </is>
      </c>
      <c r="O539" t="inlineStr">
        <is>
          <t>106 台北市大安區信義路四段6號8樓</t>
        </is>
      </c>
      <c r="P539" t="inlineStr">
        <is>
          <t>erin_yeh@cmoney.com.tw</t>
        </is>
      </c>
      <c r="Q539" t="inlineStr">
        <is>
          <t>02-77342829</t>
        </is>
      </c>
      <c r="R539" t="inlineStr"/>
      <c r="S539" t="inlineStr">
        <is>
          <t>已收款</t>
        </is>
      </c>
      <c r="T539" t="inlineStr">
        <is>
          <t>平台訂閱
來源：單次型發票及收款紀錄 第 58 列</t>
        </is>
      </c>
      <c r="U539" t="inlineStr">
        <is>
          <t>收到發票隔月起30天</t>
        </is>
      </c>
      <c r="V539" t="inlineStr">
        <is>
          <t>2026-05-18</t>
        </is>
      </c>
    </row>
    <row r="540">
      <c r="A540" t="inlineStr">
        <is>
          <t>inv_f408b31a5570</t>
        </is>
      </c>
      <c r="B540" t="inlineStr">
        <is>
          <t>Erin</t>
        </is>
      </c>
      <c r="C540" t="inlineStr">
        <is>
          <t>2025-12-01</t>
        </is>
      </c>
      <c r="D540" t="inlineStr">
        <is>
          <t>2783387</t>
        </is>
      </c>
      <c r="E540" t="inlineStr"/>
      <c r="F540" t="inlineStr">
        <is>
          <t>2025-09-23</t>
        </is>
      </c>
      <c r="G540" t="inlineStr"/>
      <c r="H540" t="inlineStr">
        <is>
          <t>cus_769b585645b5</t>
        </is>
      </c>
      <c r="I540" t="inlineStr">
        <is>
          <t>香港商陽獅銳奇媒體股份有限公司台灣分公司
星傳媒體事業處</t>
        </is>
      </c>
      <c r="J540" t="inlineStr">
        <is>
          <t>26287090</t>
        </is>
      </c>
      <c r="K540" t="n">
        <v>5000</v>
      </c>
      <c r="L540" t="n">
        <v>5250</v>
      </c>
      <c r="M540" t="inlineStr">
        <is>
          <t>發票數據受眾包</t>
        </is>
      </c>
      <c r="N540" t="inlineStr">
        <is>
          <t>Esther Huang</t>
        </is>
      </c>
      <c r="O540" t="inlineStr">
        <is>
          <t>106 台北市大安區信義路四段6號8樓</t>
        </is>
      </c>
      <c r="P540" t="inlineStr">
        <is>
          <t>erin_yeh@cmoney.com.tw</t>
        </is>
      </c>
      <c r="Q540" t="inlineStr">
        <is>
          <t>02-77348715</t>
        </is>
      </c>
      <c r="R540" t="inlineStr"/>
      <c r="S540" t="inlineStr">
        <is>
          <t>已收款</t>
        </is>
      </c>
      <c r="T540" t="inlineStr">
        <is>
          <t>Ariel
來源：單次型發票及收款紀錄 第 59 列</t>
        </is>
      </c>
      <c r="U540" t="inlineStr">
        <is>
          <t>收到發票隔月起95天</t>
        </is>
      </c>
      <c r="V540" t="inlineStr">
        <is>
          <t>2026-05-18</t>
        </is>
      </c>
    </row>
    <row r="541">
      <c r="A541" t="inlineStr">
        <is>
          <t>inv_3a54584c1a05</t>
        </is>
      </c>
      <c r="B541" t="inlineStr">
        <is>
          <t>Erin</t>
        </is>
      </c>
      <c r="C541" t="inlineStr">
        <is>
          <t>2026-01-02</t>
        </is>
      </c>
      <c r="D541" t="inlineStr">
        <is>
          <t>2793684</t>
        </is>
      </c>
      <c r="E541" t="inlineStr"/>
      <c r="F541" t="inlineStr">
        <is>
          <t>2025-10-03</t>
        </is>
      </c>
      <c r="G541" t="inlineStr"/>
      <c r="H541" t="inlineStr">
        <is>
          <t>cus_769b585645b5</t>
        </is>
      </c>
      <c r="I541" t="inlineStr">
        <is>
          <t>香港商陽獅銳奇媒體股份有限公司台灣分公司
星傳媒體事業處</t>
        </is>
      </c>
      <c r="J541" t="inlineStr">
        <is>
          <t>26287090</t>
        </is>
      </c>
      <c r="K541" t="n">
        <v>40000</v>
      </c>
      <c r="L541" t="n">
        <v>42000</v>
      </c>
      <c r="M541" t="inlineStr">
        <is>
          <t>廣告合作</t>
        </is>
      </c>
      <c r="N541" t="inlineStr">
        <is>
          <t>Murphy Wu</t>
        </is>
      </c>
      <c r="O541" t="inlineStr">
        <is>
          <t>106 台北市大安區信義路四段6號8樓</t>
        </is>
      </c>
      <c r="P541" t="inlineStr">
        <is>
          <t>erin_yeh@cmoney.com.tw</t>
        </is>
      </c>
      <c r="Q541" t="inlineStr">
        <is>
          <t>02-77348785</t>
        </is>
      </c>
      <c r="R541" t="inlineStr"/>
      <c r="S541" t="inlineStr">
        <is>
          <t>已收款</t>
        </is>
      </c>
      <c r="T541" t="inlineStr">
        <is>
          <t>SAMSUNG
來源：單次型發票及收款紀錄 第 60 列</t>
        </is>
      </c>
      <c r="U541" t="inlineStr">
        <is>
          <t>收到發票隔月起95天</t>
        </is>
      </c>
      <c r="V541" t="inlineStr">
        <is>
          <t>2026-05-18</t>
        </is>
      </c>
    </row>
    <row r="542">
      <c r="A542" t="inlineStr">
        <is>
          <t>inv_7b1fa54ee1f6</t>
        </is>
      </c>
      <c r="B542" t="inlineStr">
        <is>
          <t>Erin</t>
        </is>
      </c>
      <c r="C542" t="inlineStr">
        <is>
          <t>2026-02-02</t>
        </is>
      </c>
      <c r="D542" t="inlineStr">
        <is>
          <t>2829109</t>
        </is>
      </c>
      <c r="E542" t="inlineStr"/>
      <c r="F542" t="inlineStr">
        <is>
          <t>2025-11-05</t>
        </is>
      </c>
      <c r="G542" t="inlineStr"/>
      <c r="H542" t="inlineStr">
        <is>
          <t>cus_769b585645b5</t>
        </is>
      </c>
      <c r="I542" t="inlineStr">
        <is>
          <t>香港商陽獅銳奇媒體股份有限公司台灣分公司
星傳媒體事業處</t>
        </is>
      </c>
      <c r="J542" t="inlineStr">
        <is>
          <t>26287090</t>
        </is>
      </c>
      <c r="K542" t="n">
        <v>50000</v>
      </c>
      <c r="L542" t="n">
        <v>52500</v>
      </c>
      <c r="M542" t="inlineStr">
        <is>
          <t>發票數據受眾包</t>
        </is>
      </c>
      <c r="N542" t="inlineStr">
        <is>
          <t>Sylvia Kuo</t>
        </is>
      </c>
      <c r="O542" t="inlineStr">
        <is>
          <t>106 台北市大安區信義路四段6號8樓</t>
        </is>
      </c>
      <c r="P542" t="inlineStr">
        <is>
          <t>erin_yeh@cmoney.com.tw</t>
        </is>
      </c>
      <c r="Q542" t="inlineStr">
        <is>
          <t>02-77340882</t>
        </is>
      </c>
      <c r="R542" t="inlineStr"/>
      <c r="S542" t="inlineStr">
        <is>
          <t>已收款</t>
        </is>
      </c>
      <c r="T542" t="inlineStr">
        <is>
          <t>好市多
來源：單次型發票及收款紀錄 第 61 列</t>
        </is>
      </c>
      <c r="U542" t="inlineStr">
        <is>
          <t>收到發票隔月起95天</t>
        </is>
      </c>
      <c r="V542" t="inlineStr">
        <is>
          <t>2026-05-18</t>
        </is>
      </c>
    </row>
    <row r="543">
      <c r="A543" t="inlineStr">
        <is>
          <t>inv_0e5430c584a9</t>
        </is>
      </c>
      <c r="B543" t="inlineStr">
        <is>
          <t>Erin</t>
        </is>
      </c>
      <c r="C543" t="inlineStr">
        <is>
          <t>2026-02-02</t>
        </is>
      </c>
      <c r="D543" t="inlineStr">
        <is>
          <t>2829110</t>
        </is>
      </c>
      <c r="E543" t="inlineStr"/>
      <c r="F543" t="inlineStr">
        <is>
          <t>2025-11-05</t>
        </is>
      </c>
      <c r="G543" t="inlineStr"/>
      <c r="H543" t="inlineStr">
        <is>
          <t>cus_769b585645b5</t>
        </is>
      </c>
      <c r="I543" t="inlineStr">
        <is>
          <t>香港商陽獅銳奇媒體股份有限公司台灣分公司
星傳媒體事業處</t>
        </is>
      </c>
      <c r="J543" t="inlineStr">
        <is>
          <t>26287090</t>
        </is>
      </c>
      <c r="K543" t="n">
        <v>16500</v>
      </c>
      <c r="L543" t="n">
        <v>17325</v>
      </c>
      <c r="M543" t="inlineStr">
        <is>
          <t>離線轉換API</t>
        </is>
      </c>
      <c r="N543" t="inlineStr">
        <is>
          <t>kelly.chang</t>
        </is>
      </c>
      <c r="O543" t="inlineStr">
        <is>
          <t>106 台北市大安區信義路四段6號8樓</t>
        </is>
      </c>
      <c r="P543" t="inlineStr">
        <is>
          <t>erin_yeh@cmoney.com.tw</t>
        </is>
      </c>
      <c r="Q543" t="inlineStr">
        <is>
          <t>277348711.0</t>
        </is>
      </c>
      <c r="R543" t="inlineStr"/>
      <c r="S543" t="inlineStr">
        <is>
          <t>已收款</t>
        </is>
      </c>
      <c r="T543" t="inlineStr">
        <is>
          <t>OLAY離線轉換第二期
來源：單次型發票及收款紀錄 第 62 列</t>
        </is>
      </c>
      <c r="U543" t="inlineStr">
        <is>
          <t>收到發票隔月起95天</t>
        </is>
      </c>
      <c r="V543" t="inlineStr">
        <is>
          <t>2026-05-18</t>
        </is>
      </c>
    </row>
    <row r="544">
      <c r="A544" t="inlineStr">
        <is>
          <t>inv_edc97aae83f2</t>
        </is>
      </c>
      <c r="B544" t="inlineStr">
        <is>
          <t>Cobi</t>
        </is>
      </c>
      <c r="C544" t="inlineStr">
        <is>
          <t>2025-11-03</t>
        </is>
      </c>
      <c r="D544" t="inlineStr">
        <is>
          <t>2730363</t>
        </is>
      </c>
      <c r="E544" t="inlineStr"/>
      <c r="F544" t="inlineStr">
        <is>
          <t>2025-08-12</t>
        </is>
      </c>
      <c r="G544" t="inlineStr"/>
      <c r="H544" t="inlineStr">
        <is>
          <t>cus_950ead3db6e5</t>
        </is>
      </c>
      <c r="I544" t="inlineStr">
        <is>
          <t>香港商陽獅銳奇媒體股份有限公司台灣分公司</t>
        </is>
      </c>
      <c r="J544" t="inlineStr">
        <is>
          <t>70810257</t>
        </is>
      </c>
      <c r="K544" t="n">
        <v>35000</v>
      </c>
      <c r="L544" t="n">
        <v>36750</v>
      </c>
      <c r="M544" t="inlineStr">
        <is>
          <t>發票數據受眾包</t>
        </is>
      </c>
      <c r="N544" t="inlineStr">
        <is>
          <t>Kim Chen</t>
        </is>
      </c>
      <c r="O544" t="inlineStr">
        <is>
          <t>106 台北市大安區信義路四段6號8樓</t>
        </is>
      </c>
      <c r="P544" t="inlineStr">
        <is>
          <t>kim.chen@starcomww.com</t>
        </is>
      </c>
      <c r="Q544" t="inlineStr">
        <is>
          <t>(02)77348703</t>
        </is>
      </c>
      <c r="R544" t="inlineStr"/>
      <c r="S544" t="inlineStr">
        <is>
          <t>已收款</t>
        </is>
      </c>
      <c r="T544" t="inlineStr">
        <is>
          <t>Samsung
來源：單次型發票及收款紀錄 第 63 列</t>
        </is>
      </c>
      <c r="U544" t="inlineStr">
        <is>
          <t>收到發票隔月起95天</t>
        </is>
      </c>
      <c r="V544" t="inlineStr">
        <is>
          <t>2026-05-18</t>
        </is>
      </c>
    </row>
    <row r="545">
      <c r="A545" t="inlineStr">
        <is>
          <t>inv_5ee974bb84fe</t>
        </is>
      </c>
      <c r="B545" t="inlineStr">
        <is>
          <t>Erin</t>
        </is>
      </c>
      <c r="C545" t="inlineStr">
        <is>
          <t>2026-01-02</t>
        </is>
      </c>
      <c r="D545" t="inlineStr">
        <is>
          <t>2793683</t>
        </is>
      </c>
      <c r="E545" t="inlineStr"/>
      <c r="F545" t="inlineStr">
        <is>
          <t>2025-10-03</t>
        </is>
      </c>
      <c r="G545" t="inlineStr"/>
      <c r="H545" t="inlineStr">
        <is>
          <t>cus_950ead3db6e5</t>
        </is>
      </c>
      <c r="I545" t="inlineStr">
        <is>
          <t>香港商陽獅銳奇媒體股份有限公司台灣分公司</t>
        </is>
      </c>
      <c r="J545" t="inlineStr">
        <is>
          <t>70810257</t>
        </is>
      </c>
      <c r="K545" t="n">
        <v>120000</v>
      </c>
      <c r="L545" t="n">
        <v>126000</v>
      </c>
      <c r="M545" t="inlineStr">
        <is>
          <t>發票數據受眾包</t>
        </is>
      </c>
      <c r="N545" t="inlineStr">
        <is>
          <t>Daphne Yu</t>
        </is>
      </c>
      <c r="O545" t="inlineStr">
        <is>
          <t>106 台北市大安區信義路四段6號8樓</t>
        </is>
      </c>
      <c r="P545" t="inlineStr">
        <is>
          <t>erin_yeh@cmoney.com.tw</t>
        </is>
      </c>
      <c r="Q545" t="inlineStr">
        <is>
          <t>02-7747338</t>
        </is>
      </c>
      <c r="R545" t="inlineStr"/>
      <c r="S545" t="inlineStr">
        <is>
          <t>已收款</t>
        </is>
      </c>
      <c r="T545" t="inlineStr">
        <is>
          <t>Haleon_Centrum
來源：單次型發票及收款紀錄 第 64 列</t>
        </is>
      </c>
      <c r="U545" t="inlineStr">
        <is>
          <t>收到發票隔月起95天</t>
        </is>
      </c>
      <c r="V545" t="inlineStr">
        <is>
          <t>2026-05-18</t>
        </is>
      </c>
    </row>
    <row r="546">
      <c r="A546" t="inlineStr">
        <is>
          <t>inv_7e0129648571</t>
        </is>
      </c>
      <c r="B546" t="inlineStr">
        <is>
          <t>Erin</t>
        </is>
      </c>
      <c r="C546" t="inlineStr">
        <is>
          <t>2025-12-30</t>
        </is>
      </c>
      <c r="D546" t="inlineStr">
        <is>
          <t>2829107</t>
        </is>
      </c>
      <c r="E546" t="inlineStr"/>
      <c r="F546" t="inlineStr">
        <is>
          <t>2025-11-05</t>
        </is>
      </c>
      <c r="G546" t="inlineStr"/>
      <c r="H546" t="inlineStr">
        <is>
          <t>cus_950ead3db6e5</t>
        </is>
      </c>
      <c r="I546" t="inlineStr">
        <is>
          <t>香港商陽獅銳奇媒體股份有限公司台灣分公司</t>
        </is>
      </c>
      <c r="J546" t="inlineStr">
        <is>
          <t>70810257</t>
        </is>
      </c>
      <c r="K546" t="n">
        <v>900000</v>
      </c>
      <c r="L546" t="n">
        <v>945000</v>
      </c>
      <c r="M546" t="inlineStr">
        <is>
          <t>發票數據受眾包</t>
        </is>
      </c>
      <c r="N546" t="inlineStr">
        <is>
          <t>Boris Ho</t>
        </is>
      </c>
      <c r="O546" t="inlineStr">
        <is>
          <t>106 台北市大安區信義路四段6號8樓</t>
        </is>
      </c>
      <c r="P546" t="inlineStr">
        <is>
          <t>erin_yeh@cmoney.com.tw</t>
        </is>
      </c>
      <c r="Q546" t="inlineStr">
        <is>
          <t>02-77342829</t>
        </is>
      </c>
      <c r="R546" t="inlineStr"/>
      <c r="S546" t="inlineStr">
        <is>
          <t>已收款</t>
        </is>
      </c>
      <c r="T546" t="inlineStr">
        <is>
          <t>平台訂閱
來源：單次型發票及收款紀錄 第 65 列</t>
        </is>
      </c>
      <c r="U546" t="inlineStr">
        <is>
          <t>收到發票隔月起30天</t>
        </is>
      </c>
      <c r="V546" t="inlineStr">
        <is>
          <t>2026-05-18</t>
        </is>
      </c>
    </row>
    <row r="547">
      <c r="A547" t="inlineStr">
        <is>
          <t>inv_956b647b5dbb</t>
        </is>
      </c>
      <c r="B547" t="inlineStr">
        <is>
          <t>Cobi</t>
        </is>
      </c>
      <c r="C547" t="inlineStr">
        <is>
          <t>2025-11-03</t>
        </is>
      </c>
      <c r="D547" t="inlineStr">
        <is>
          <t>2687013</t>
        </is>
      </c>
      <c r="E547" t="inlineStr"/>
      <c r="F547" t="inlineStr">
        <is>
          <t>2025-07-04</t>
        </is>
      </c>
      <c r="G547" t="inlineStr">
        <is>
          <t>QY43825318</t>
        </is>
      </c>
      <c r="H547" t="inlineStr">
        <is>
          <t>cus_910a54bc94d3</t>
        </is>
      </c>
      <c r="I547" t="inlineStr">
        <is>
          <t>香港商金獅子廣告股份有限公司台灣分公司</t>
        </is>
      </c>
      <c r="J547" t="inlineStr">
        <is>
          <t>96970476</t>
        </is>
      </c>
      <c r="K547" t="n">
        <v>40000</v>
      </c>
      <c r="L547" t="n">
        <v>42000</v>
      </c>
      <c r="M547" t="inlineStr">
        <is>
          <t>發票數據受眾包</t>
        </is>
      </c>
      <c r="N547" t="inlineStr">
        <is>
          <t>Yoube Lin</t>
        </is>
      </c>
      <c r="O547" t="inlineStr">
        <is>
          <t>106台北市大安區信義路四段6號6F</t>
        </is>
      </c>
      <c r="P547" t="inlineStr">
        <is>
          <t>yoube.lin@leoburnett.com.tw</t>
        </is>
      </c>
      <c r="Q547" t="inlineStr">
        <is>
          <t>02-7742-8915</t>
        </is>
      </c>
      <c r="R547" t="inlineStr"/>
      <c r="S547" t="inlineStr">
        <is>
          <t>已收款</t>
        </is>
      </c>
      <c r="T547" t="inlineStr">
        <is>
          <t>陽獅
來源：單次型發票及收款紀錄 第 66 列</t>
        </is>
      </c>
      <c r="U547" t="inlineStr">
        <is>
          <t>收到發票隔月起95天</t>
        </is>
      </c>
      <c r="V547" t="inlineStr">
        <is>
          <t>2026-05-18</t>
        </is>
      </c>
    </row>
    <row r="548">
      <c r="A548" t="inlineStr">
        <is>
          <t>inv_ff22dc98eb4a</t>
        </is>
      </c>
      <c r="B548" t="inlineStr">
        <is>
          <t>Cobi</t>
        </is>
      </c>
      <c r="C548" t="inlineStr">
        <is>
          <t>2025-09-01</t>
        </is>
      </c>
      <c r="D548" t="inlineStr">
        <is>
          <t>2620517</t>
        </is>
      </c>
      <c r="E548" t="inlineStr"/>
      <c r="F548" t="inlineStr">
        <is>
          <t>2025-05-10</t>
        </is>
      </c>
      <c r="G548" t="inlineStr">
        <is>
          <t>NY43830508</t>
        </is>
      </c>
      <c r="H548" t="inlineStr">
        <is>
          <t>cus_11ce6c1312cf</t>
        </is>
      </c>
      <c r="I548" t="inlineStr">
        <is>
          <t>電通商業顧問股份有限公司</t>
        </is>
      </c>
      <c r="J548" t="inlineStr">
        <is>
          <t>24546918</t>
        </is>
      </c>
      <c r="K548" t="n">
        <v>50000</v>
      </c>
      <c r="L548" t="n">
        <v>52500</v>
      </c>
      <c r="M548" t="inlineStr">
        <is>
          <t>發票數據受眾包</t>
        </is>
      </c>
      <c r="N548" t="inlineStr">
        <is>
          <t>趙慧騥 Malo Chao</t>
        </is>
      </c>
      <c r="O548" t="inlineStr">
        <is>
          <t>11073台北市信義區松仁路100號8樓</t>
        </is>
      </c>
      <c r="P548" t="inlineStr">
        <is>
          <t>Malo.Chao@dentsu.com</t>
        </is>
      </c>
      <c r="Q548" t="inlineStr"/>
      <c r="R548" t="inlineStr"/>
      <c r="S548" t="inlineStr">
        <is>
          <t>已收款</t>
        </is>
      </c>
      <c r="T548" t="inlineStr">
        <is>
          <t>Dentsu
來源：單次型發票及收款紀錄 第 67 列</t>
        </is>
      </c>
      <c r="U548" t="inlineStr">
        <is>
          <t>收到發票隔月起60天</t>
        </is>
      </c>
      <c r="V548" t="inlineStr">
        <is>
          <t>2026-05-18</t>
        </is>
      </c>
    </row>
    <row r="549">
      <c r="A549" t="inlineStr">
        <is>
          <t>inv_7ed876060433</t>
        </is>
      </c>
      <c r="B549" t="inlineStr">
        <is>
          <t>Cobi</t>
        </is>
      </c>
      <c r="C549" t="inlineStr">
        <is>
          <t>2025-09-01</t>
        </is>
      </c>
      <c r="D549" t="inlineStr">
        <is>
          <t>2620518</t>
        </is>
      </c>
      <c r="E549" t="inlineStr"/>
      <c r="F549" t="inlineStr">
        <is>
          <t>2025-05-10</t>
        </is>
      </c>
      <c r="G549" t="inlineStr">
        <is>
          <t>NY43830509</t>
        </is>
      </c>
      <c r="H549" t="inlineStr">
        <is>
          <t>cus_11ce6c1312cf</t>
        </is>
      </c>
      <c r="I549" t="inlineStr">
        <is>
          <t>電通商業顧問股份有限公司</t>
        </is>
      </c>
      <c r="J549" t="inlineStr">
        <is>
          <t>24546918</t>
        </is>
      </c>
      <c r="K549" t="n">
        <v>40000</v>
      </c>
      <c r="L549" t="n">
        <v>42000</v>
      </c>
      <c r="M549" t="inlineStr">
        <is>
          <t>發票數據受眾包</t>
        </is>
      </c>
      <c r="N549" t="inlineStr">
        <is>
          <t>趙慧騥 Malo Chao</t>
        </is>
      </c>
      <c r="O549" t="inlineStr">
        <is>
          <t>11073台北市信義區松仁路100號8樓</t>
        </is>
      </c>
      <c r="P549" t="inlineStr">
        <is>
          <t>Malo.Chao@dentsu.com</t>
        </is>
      </c>
      <c r="Q549" t="inlineStr"/>
      <c r="R549" t="inlineStr"/>
      <c r="S549" t="inlineStr">
        <is>
          <t>已收款</t>
        </is>
      </c>
      <c r="T549" t="inlineStr">
        <is>
          <t>Dentsu
來源：單次型發票及收款紀錄 第 68 列</t>
        </is>
      </c>
      <c r="U549" t="inlineStr">
        <is>
          <t>收到發票隔月起60天</t>
        </is>
      </c>
      <c r="V549" t="inlineStr">
        <is>
          <t>2026-05-18</t>
        </is>
      </c>
    </row>
    <row r="550">
      <c r="A550" t="inlineStr">
        <is>
          <t>inv_90239326d609</t>
        </is>
      </c>
      <c r="B550" t="inlineStr">
        <is>
          <t>Cobi</t>
        </is>
      </c>
      <c r="C550" t="inlineStr">
        <is>
          <t>2025-09-01</t>
        </is>
      </c>
      <c r="D550" t="inlineStr">
        <is>
          <t>2620519</t>
        </is>
      </c>
      <c r="E550" t="inlineStr"/>
      <c r="F550" t="inlineStr">
        <is>
          <t>2025-05-10</t>
        </is>
      </c>
      <c r="G550" t="inlineStr">
        <is>
          <t>NY43830510</t>
        </is>
      </c>
      <c r="H550" t="inlineStr">
        <is>
          <t>cus_11ce6c1312cf</t>
        </is>
      </c>
      <c r="I550" t="inlineStr">
        <is>
          <t>電通商業顧問股份有限公司</t>
        </is>
      </c>
      <c r="J550" t="inlineStr">
        <is>
          <t>24546918</t>
        </is>
      </c>
      <c r="K550" t="n">
        <v>30000</v>
      </c>
      <c r="L550" t="n">
        <v>31500</v>
      </c>
      <c r="M550" t="inlineStr">
        <is>
          <t>發票數據受眾包</t>
        </is>
      </c>
      <c r="N550" t="inlineStr">
        <is>
          <t>趙慧騥 Malo Chao</t>
        </is>
      </c>
      <c r="O550" t="inlineStr">
        <is>
          <t>11073台北市信義區松仁路100號8樓</t>
        </is>
      </c>
      <c r="P550" t="inlineStr">
        <is>
          <t>Malo.Chao@dentsu.com</t>
        </is>
      </c>
      <c r="Q550" t="inlineStr"/>
      <c r="R550" t="inlineStr"/>
      <c r="S550" t="inlineStr">
        <is>
          <t>已收款</t>
        </is>
      </c>
      <c r="T550" t="inlineStr">
        <is>
          <t>Dentsu
來源：單次型發票及收款紀錄 第 69 列</t>
        </is>
      </c>
      <c r="U550" t="inlineStr">
        <is>
          <t>收到發票隔月起60天</t>
        </is>
      </c>
      <c r="V550" t="inlineStr">
        <is>
          <t>2026-05-18</t>
        </is>
      </c>
    </row>
    <row r="551">
      <c r="A551" t="inlineStr">
        <is>
          <t>inv_c1fa33a7a394</t>
        </is>
      </c>
      <c r="B551" t="inlineStr">
        <is>
          <t>Cobi</t>
        </is>
      </c>
      <c r="C551" t="inlineStr">
        <is>
          <t>2025-09-01</t>
        </is>
      </c>
      <c r="D551" t="inlineStr">
        <is>
          <t>2620520</t>
        </is>
      </c>
      <c r="E551" t="inlineStr"/>
      <c r="F551" t="inlineStr">
        <is>
          <t>2025-05-10</t>
        </is>
      </c>
      <c r="G551" t="inlineStr">
        <is>
          <t>NY43830511</t>
        </is>
      </c>
      <c r="H551" t="inlineStr">
        <is>
          <t>cus_11ce6c1312cf</t>
        </is>
      </c>
      <c r="I551" t="inlineStr">
        <is>
          <t>電通商業顧問股份有限公司</t>
        </is>
      </c>
      <c r="J551" t="inlineStr">
        <is>
          <t>24546918</t>
        </is>
      </c>
      <c r="K551" t="n">
        <v>31000</v>
      </c>
      <c r="L551" t="n">
        <v>32550</v>
      </c>
      <c r="M551" t="inlineStr">
        <is>
          <t>發票數據受眾包</t>
        </is>
      </c>
      <c r="N551" t="inlineStr">
        <is>
          <t>趙慧騥 Malo Chao</t>
        </is>
      </c>
      <c r="O551" t="inlineStr">
        <is>
          <t>11073台北市信義區松仁路100號8樓</t>
        </is>
      </c>
      <c r="P551" t="inlineStr">
        <is>
          <t>Malo.Chao@dentsu.com</t>
        </is>
      </c>
      <c r="Q551" t="inlineStr"/>
      <c r="R551" t="inlineStr"/>
      <c r="S551" t="inlineStr">
        <is>
          <t>已收款</t>
        </is>
      </c>
      <c r="T551" t="inlineStr">
        <is>
          <t>Dentsu
來源：單次型發票及收款紀錄 第 70 列</t>
        </is>
      </c>
      <c r="U551" t="inlineStr">
        <is>
          <t>收到發票隔月起60天</t>
        </is>
      </c>
      <c r="V551" t="inlineStr">
        <is>
          <t>2026-05-18</t>
        </is>
      </c>
    </row>
    <row r="552">
      <c r="A552" t="inlineStr">
        <is>
          <t>inv_57f7a33d048d</t>
        </is>
      </c>
      <c r="B552" t="inlineStr">
        <is>
          <t>Kate</t>
        </is>
      </c>
      <c r="C552" t="inlineStr">
        <is>
          <t>2025-09-30</t>
        </is>
      </c>
      <c r="D552" t="inlineStr">
        <is>
          <t>2657783</t>
        </is>
      </c>
      <c r="E552" t="inlineStr"/>
      <c r="F552" t="inlineStr">
        <is>
          <t>2025-06-10</t>
        </is>
      </c>
      <c r="G552" t="inlineStr">
        <is>
          <t>NY43862863</t>
        </is>
      </c>
      <c r="H552" t="inlineStr">
        <is>
          <t>cus_11ce6c1312cf</t>
        </is>
      </c>
      <c r="I552" t="inlineStr">
        <is>
          <t>電通商業顧問股份有限公司</t>
        </is>
      </c>
      <c r="J552" t="inlineStr">
        <is>
          <t>24546918</t>
        </is>
      </c>
      <c r="K552" t="n">
        <v>30000</v>
      </c>
      <c r="L552" t="n">
        <v>31500</v>
      </c>
      <c r="M552" t="inlineStr">
        <is>
          <t>發票數據受眾包</t>
        </is>
      </c>
      <c r="N552" t="inlineStr">
        <is>
          <t>趙慧騥 Malo Chao</t>
        </is>
      </c>
      <c r="O552" t="inlineStr">
        <is>
          <t>11073台北市信義區松仁路100號8樓</t>
        </is>
      </c>
      <c r="P552" t="inlineStr">
        <is>
          <t>Malo.Chao@dentsu.com</t>
        </is>
      </c>
      <c r="Q552" t="inlineStr"/>
      <c r="R552" t="inlineStr"/>
      <c r="S552" t="inlineStr">
        <is>
          <t>已收款</t>
        </is>
      </c>
      <c r="T552" t="inlineStr">
        <is>
          <t>Dentsu
來源：單次型發票及收款紀錄 第 71 列</t>
        </is>
      </c>
      <c r="U552" t="inlineStr">
        <is>
          <t>收到發票隔月起60天</t>
        </is>
      </c>
      <c r="V552" t="inlineStr">
        <is>
          <t>2026-05-18</t>
        </is>
      </c>
    </row>
    <row r="553">
      <c r="A553" t="inlineStr">
        <is>
          <t>inv_7aaf9771ac09</t>
        </is>
      </c>
      <c r="B553" t="inlineStr">
        <is>
          <t>Kate</t>
        </is>
      </c>
      <c r="C553" t="inlineStr">
        <is>
          <t>金額錯誤7/10已作廢重開</t>
        </is>
      </c>
      <c r="D553" t="inlineStr">
        <is>
          <t>2687007</t>
        </is>
      </c>
      <c r="E553" t="inlineStr"/>
      <c r="F553" t="inlineStr">
        <is>
          <t>2025-07-04</t>
        </is>
      </c>
      <c r="G553" t="inlineStr">
        <is>
          <t>QY43825312</t>
        </is>
      </c>
      <c r="H553" t="inlineStr">
        <is>
          <t>cus_11ce6c1312cf</t>
        </is>
      </c>
      <c r="I553" t="inlineStr">
        <is>
          <t>電通商業顧問股份有限公司</t>
        </is>
      </c>
      <c r="J553" t="inlineStr">
        <is>
          <t>24546918</t>
        </is>
      </c>
      <c r="K553" t="n">
        <v>50000</v>
      </c>
      <c r="L553" t="n">
        <v>52500</v>
      </c>
      <c r="M553" t="inlineStr">
        <is>
          <t>發票數據受眾包</t>
        </is>
      </c>
      <c r="N553" t="inlineStr">
        <is>
          <t>趙慧騥 Malo Chao</t>
        </is>
      </c>
      <c r="O553" t="inlineStr">
        <is>
          <t>11073台北市信義區松仁路100號8樓</t>
        </is>
      </c>
      <c r="P553" t="inlineStr">
        <is>
          <t>Malo.Chao@dentsu.com</t>
        </is>
      </c>
      <c r="Q553" t="inlineStr"/>
      <c r="R553" t="inlineStr"/>
      <c r="S553" t="inlineStr">
        <is>
          <t>已收款</t>
        </is>
      </c>
      <c r="T553" t="inlineStr">
        <is>
          <t>Dentsu
來源：單次型發票及收款紀錄 第 72 列</t>
        </is>
      </c>
      <c r="U553" t="inlineStr">
        <is>
          <t>收到發票隔月起60天</t>
        </is>
      </c>
      <c r="V553" t="inlineStr">
        <is>
          <t>2026-05-18</t>
        </is>
      </c>
    </row>
    <row r="554">
      <c r="A554" t="inlineStr">
        <is>
          <t>inv_f47819031e3c</t>
        </is>
      </c>
      <c r="B554" t="inlineStr">
        <is>
          <t>Kate</t>
        </is>
      </c>
      <c r="C554" t="inlineStr">
        <is>
          <t>金額錯誤7/10已作廢重開</t>
        </is>
      </c>
      <c r="D554" t="inlineStr">
        <is>
          <t>2687008</t>
        </is>
      </c>
      <c r="E554" t="inlineStr"/>
      <c r="F554" t="inlineStr">
        <is>
          <t>2025-07-04</t>
        </is>
      </c>
      <c r="G554" t="inlineStr">
        <is>
          <t>QY43825313</t>
        </is>
      </c>
      <c r="H554" t="inlineStr">
        <is>
          <t>cus_11ce6c1312cf</t>
        </is>
      </c>
      <c r="I554" t="inlineStr">
        <is>
          <t>電通商業顧問股份有限公司</t>
        </is>
      </c>
      <c r="J554" t="inlineStr">
        <is>
          <t>24546918</t>
        </is>
      </c>
      <c r="K554" t="n">
        <v>45000</v>
      </c>
      <c r="L554" t="n">
        <v>47250</v>
      </c>
      <c r="M554" t="inlineStr">
        <is>
          <t>發票數據受眾包</t>
        </is>
      </c>
      <c r="N554" t="inlineStr">
        <is>
          <t>趙慧騥 Malo Chao</t>
        </is>
      </c>
      <c r="O554" t="inlineStr">
        <is>
          <t>11073台北市信義區松仁路100號8樓</t>
        </is>
      </c>
      <c r="P554" t="inlineStr">
        <is>
          <t>Malo.Chao@dentsu.com</t>
        </is>
      </c>
      <c r="Q554" t="inlineStr"/>
      <c r="R554" t="inlineStr"/>
      <c r="S554" t="inlineStr">
        <is>
          <t>已收款</t>
        </is>
      </c>
      <c r="T554" t="inlineStr">
        <is>
          <t>Dentsu
來源：單次型發票及收款紀錄 第 73 列</t>
        </is>
      </c>
      <c r="U554" t="inlineStr">
        <is>
          <t>收到發票隔月起60天</t>
        </is>
      </c>
      <c r="V554" t="inlineStr">
        <is>
          <t>2026-05-18</t>
        </is>
      </c>
    </row>
    <row r="555">
      <c r="A555" t="inlineStr">
        <is>
          <t>inv_fa0ad9a15bd6</t>
        </is>
      </c>
      <c r="B555" t="inlineStr">
        <is>
          <t>Kate</t>
        </is>
      </c>
      <c r="C555" t="inlineStr">
        <is>
          <t>2025-10-30</t>
        </is>
      </c>
      <c r="D555" t="inlineStr">
        <is>
          <t>2692791</t>
        </is>
      </c>
      <c r="E555" t="inlineStr"/>
      <c r="F555" t="inlineStr">
        <is>
          <t>2025-07-10</t>
        </is>
      </c>
      <c r="G555" t="inlineStr">
        <is>
          <t>QY43831270</t>
        </is>
      </c>
      <c r="H555" t="inlineStr">
        <is>
          <t>cus_11ce6c1312cf</t>
        </is>
      </c>
      <c r="I555" t="inlineStr">
        <is>
          <t>電通商業顧問股份有限公司</t>
        </is>
      </c>
      <c r="J555" t="inlineStr">
        <is>
          <t>24546918</t>
        </is>
      </c>
      <c r="K555" t="n">
        <v>64000</v>
      </c>
      <c r="L555" t="n">
        <v>67200</v>
      </c>
      <c r="M555" t="inlineStr">
        <is>
          <t>發票數據受眾包</t>
        </is>
      </c>
      <c r="N555" t="inlineStr">
        <is>
          <t>趙慧騥 Malo Chao</t>
        </is>
      </c>
      <c r="O555" t="inlineStr">
        <is>
          <t>11073台北市信義區松仁路100號8樓</t>
        </is>
      </c>
      <c r="P555" t="inlineStr">
        <is>
          <t>Malo.Chao@dentsu.com</t>
        </is>
      </c>
      <c r="Q555" t="inlineStr"/>
      <c r="R555" t="inlineStr"/>
      <c r="S555" t="inlineStr">
        <is>
          <t>已收款</t>
        </is>
      </c>
      <c r="T555" t="inlineStr">
        <is>
          <t>Dentsu
來源：單次型發票及收款紀錄 第 74 列</t>
        </is>
      </c>
      <c r="U555" t="inlineStr">
        <is>
          <t>收到發票隔月起60天</t>
        </is>
      </c>
      <c r="V555" t="inlineStr">
        <is>
          <t>2026-05-18</t>
        </is>
      </c>
    </row>
    <row r="556">
      <c r="A556" t="inlineStr">
        <is>
          <t>inv_39253d50d9a6</t>
        </is>
      </c>
      <c r="B556" t="inlineStr">
        <is>
          <t>Kate</t>
        </is>
      </c>
      <c r="C556" t="inlineStr">
        <is>
          <t>2025-10-30</t>
        </is>
      </c>
      <c r="D556" t="inlineStr">
        <is>
          <t>2692792</t>
        </is>
      </c>
      <c r="E556" t="inlineStr"/>
      <c r="F556" t="inlineStr">
        <is>
          <t>2025-07-10</t>
        </is>
      </c>
      <c r="G556" t="inlineStr">
        <is>
          <t>QY43831271</t>
        </is>
      </c>
      <c r="H556" t="inlineStr">
        <is>
          <t>cus_11ce6c1312cf</t>
        </is>
      </c>
      <c r="I556" t="inlineStr">
        <is>
          <t>電通商業顧問股份有限公司</t>
        </is>
      </c>
      <c r="J556" t="inlineStr">
        <is>
          <t>24546918</t>
        </is>
      </c>
      <c r="K556" t="n">
        <v>70000</v>
      </c>
      <c r="L556" t="n">
        <v>73500</v>
      </c>
      <c r="M556" t="inlineStr">
        <is>
          <t>發票數據受眾包</t>
        </is>
      </c>
      <c r="N556" t="inlineStr">
        <is>
          <t>趙慧騥 Malo Chao</t>
        </is>
      </c>
      <c r="O556" t="inlineStr">
        <is>
          <t>11073台北市信義區松仁路100號8樓</t>
        </is>
      </c>
      <c r="P556" t="inlineStr">
        <is>
          <t>Malo.Chao@dentsu.com</t>
        </is>
      </c>
      <c r="Q556" t="inlineStr"/>
      <c r="R556" t="inlineStr"/>
      <c r="S556" t="inlineStr">
        <is>
          <t>已收款</t>
        </is>
      </c>
      <c r="T556" t="inlineStr">
        <is>
          <t>Dentsu
來源：單次型發票及收款紀錄 第 75 列</t>
        </is>
      </c>
      <c r="U556" t="inlineStr">
        <is>
          <t>收到發票隔月起60天</t>
        </is>
      </c>
      <c r="V556" t="inlineStr">
        <is>
          <t>2026-05-18</t>
        </is>
      </c>
    </row>
    <row r="557">
      <c r="A557" t="inlineStr">
        <is>
          <t>inv_fb51a7f754e2</t>
        </is>
      </c>
      <c r="B557" t="inlineStr">
        <is>
          <t>Kate</t>
        </is>
      </c>
      <c r="C557" t="inlineStr">
        <is>
          <t>2025-12-01</t>
        </is>
      </c>
      <c r="D557" t="inlineStr">
        <is>
          <t>2717915</t>
        </is>
      </c>
      <c r="E557" t="inlineStr"/>
      <c r="F557" t="inlineStr">
        <is>
          <t>2025-08-01</t>
        </is>
      </c>
      <c r="G557" t="inlineStr"/>
      <c r="H557" t="inlineStr">
        <is>
          <t>cus_11ce6c1312cf</t>
        </is>
      </c>
      <c r="I557" t="inlineStr">
        <is>
          <t>電通商業顧問股份有限公司</t>
        </is>
      </c>
      <c r="J557" t="inlineStr">
        <is>
          <t>24546918</t>
        </is>
      </c>
      <c r="K557" t="n">
        <v>14000</v>
      </c>
      <c r="L557" t="n">
        <v>14700</v>
      </c>
      <c r="M557" t="inlineStr">
        <is>
          <t>發票數據受眾包</t>
        </is>
      </c>
      <c r="N557" t="inlineStr">
        <is>
          <t>趙慧騥 Malo Chao</t>
        </is>
      </c>
      <c r="O557" t="inlineStr">
        <is>
          <t>11073台北市信義區松仁路100號8樓</t>
        </is>
      </c>
      <c r="P557" t="inlineStr">
        <is>
          <t>Malo.Chao@dentsu.com</t>
        </is>
      </c>
      <c r="Q557" t="inlineStr"/>
      <c r="R557" t="inlineStr"/>
      <c r="S557" t="inlineStr">
        <is>
          <t>已收款</t>
        </is>
      </c>
      <c r="T557" t="inlineStr">
        <is>
          <t>Dentsu
來源：單次型發票及收款紀錄 第 76 列</t>
        </is>
      </c>
      <c r="U557" t="inlineStr">
        <is>
          <t>收到發票隔月起60天</t>
        </is>
      </c>
      <c r="V557" t="inlineStr">
        <is>
          <t>2026-05-18</t>
        </is>
      </c>
    </row>
    <row r="558">
      <c r="A558" t="inlineStr">
        <is>
          <t>inv_e0c26f11c9a1</t>
        </is>
      </c>
      <c r="B558" t="inlineStr">
        <is>
          <t>Kate</t>
        </is>
      </c>
      <c r="C558" t="inlineStr">
        <is>
          <t>2025-12-31</t>
        </is>
      </c>
      <c r="D558" t="inlineStr">
        <is>
          <t>2772895</t>
        </is>
      </c>
      <c r="E558" t="inlineStr"/>
      <c r="F558" t="inlineStr">
        <is>
          <t>2025-09-15</t>
        </is>
      </c>
      <c r="G558" t="inlineStr"/>
      <c r="H558" t="inlineStr">
        <is>
          <t>cus_11ce6c1312cf</t>
        </is>
      </c>
      <c r="I558" t="inlineStr">
        <is>
          <t>電通商業顧問股份有限公司</t>
        </is>
      </c>
      <c r="J558" t="inlineStr">
        <is>
          <t>24546918</t>
        </is>
      </c>
      <c r="K558" t="n">
        <v>120000</v>
      </c>
      <c r="L558" t="n">
        <v>126000</v>
      </c>
      <c r="M558" t="inlineStr">
        <is>
          <t>發票數據受眾包</t>
        </is>
      </c>
      <c r="N558" t="inlineStr">
        <is>
          <t>趙慧騥 Malo Chao</t>
        </is>
      </c>
      <c r="O558" t="inlineStr">
        <is>
          <t>11073台北市信義區松高路77號43樓</t>
        </is>
      </c>
      <c r="P558" t="inlineStr">
        <is>
          <t>Malo.Chao@dentsu.com</t>
        </is>
      </c>
      <c r="Q558" t="inlineStr">
        <is>
          <t>0933318219</t>
        </is>
      </c>
      <c r="R558" t="inlineStr"/>
      <c r="S558" t="inlineStr">
        <is>
          <t>已收款</t>
        </is>
      </c>
      <c r="T558" t="inlineStr">
        <is>
          <t>Dentsu
來源：單次型發票及收款紀錄 第 77 列</t>
        </is>
      </c>
      <c r="U558" t="inlineStr">
        <is>
          <t>收到發票隔月起60天</t>
        </is>
      </c>
      <c r="V558" t="inlineStr">
        <is>
          <t>2026-05-18</t>
        </is>
      </c>
    </row>
    <row r="559">
      <c r="A559" t="inlineStr">
        <is>
          <t>inv_d7712c39796e</t>
        </is>
      </c>
      <c r="B559" t="inlineStr">
        <is>
          <t>Kate</t>
        </is>
      </c>
      <c r="C559" t="inlineStr">
        <is>
          <t>2025-12-31</t>
        </is>
      </c>
      <c r="D559" t="inlineStr">
        <is>
          <t>2772896</t>
        </is>
      </c>
      <c r="E559" t="inlineStr"/>
      <c r="F559" t="inlineStr">
        <is>
          <t>2025-09-15</t>
        </is>
      </c>
      <c r="G559" t="inlineStr"/>
      <c r="H559" t="inlineStr">
        <is>
          <t>cus_11ce6c1312cf</t>
        </is>
      </c>
      <c r="I559" t="inlineStr">
        <is>
          <t>電通商業顧問股份有限公司</t>
        </is>
      </c>
      <c r="J559" t="inlineStr">
        <is>
          <t>24546918</t>
        </is>
      </c>
      <c r="K559" t="n">
        <v>160000</v>
      </c>
      <c r="L559" t="n">
        <v>168000</v>
      </c>
      <c r="M559" t="inlineStr">
        <is>
          <t>發票數據受眾包</t>
        </is>
      </c>
      <c r="N559" t="inlineStr">
        <is>
          <t>趙慧騥 Malo Chao</t>
        </is>
      </c>
      <c r="O559" t="inlineStr">
        <is>
          <t>11073台北市信義區松高路77號43樓</t>
        </is>
      </c>
      <c r="P559" t="inlineStr">
        <is>
          <t>Malo.Chao@dentsu.com</t>
        </is>
      </c>
      <c r="Q559" t="inlineStr">
        <is>
          <t>0933318219</t>
        </is>
      </c>
      <c r="R559" t="inlineStr"/>
      <c r="S559" t="inlineStr">
        <is>
          <t>已收款</t>
        </is>
      </c>
      <c r="T559" t="inlineStr">
        <is>
          <t>Dentsu
來源：單次型發票及收款紀錄 第 78 列</t>
        </is>
      </c>
      <c r="U559" t="inlineStr">
        <is>
          <t>收到發票隔月起60天</t>
        </is>
      </c>
      <c r="V559" t="inlineStr">
        <is>
          <t>2026-05-18</t>
        </is>
      </c>
    </row>
    <row r="560">
      <c r="A560" t="inlineStr">
        <is>
          <t>inv_0120539420e0</t>
        </is>
      </c>
      <c r="B560" t="inlineStr">
        <is>
          <t>Kate</t>
        </is>
      </c>
      <c r="C560" t="inlineStr">
        <is>
          <t>2026-02-02</t>
        </is>
      </c>
      <c r="D560" t="inlineStr">
        <is>
          <t>2806659</t>
        </is>
      </c>
      <c r="E560" t="inlineStr"/>
      <c r="F560" t="inlineStr">
        <is>
          <t>2025-10-15</t>
        </is>
      </c>
      <c r="G560" t="inlineStr"/>
      <c r="H560" t="inlineStr">
        <is>
          <t>cus_11ce6c1312cf</t>
        </is>
      </c>
      <c r="I560" t="inlineStr">
        <is>
          <t>電通商業顧問股份有限公司</t>
        </is>
      </c>
      <c r="J560" t="inlineStr">
        <is>
          <t>24546918</t>
        </is>
      </c>
      <c r="K560" t="n">
        <v>56000</v>
      </c>
      <c r="L560" t="n">
        <v>58800</v>
      </c>
      <c r="M560" t="inlineStr">
        <is>
          <t>發票數據受眾包</t>
        </is>
      </c>
      <c r="N560" t="inlineStr">
        <is>
          <t>趙慧騥 Malo Chao</t>
        </is>
      </c>
      <c r="O560" t="inlineStr">
        <is>
          <t>11073台北市信義區松高路77號43樓</t>
        </is>
      </c>
      <c r="P560" t="inlineStr">
        <is>
          <t>Malo.Chao@dentsu.com</t>
        </is>
      </c>
      <c r="Q560" t="inlineStr">
        <is>
          <t>0933318219</t>
        </is>
      </c>
      <c r="R560" t="inlineStr"/>
      <c r="S560" t="inlineStr">
        <is>
          <t>已收款</t>
        </is>
      </c>
      <c r="T560" t="inlineStr">
        <is>
          <t>Dentsu
來源：單次型發票及收款紀錄 第 79 列</t>
        </is>
      </c>
      <c r="U560" t="inlineStr">
        <is>
          <t>收到發票隔月起60天</t>
        </is>
      </c>
      <c r="V560" t="inlineStr">
        <is>
          <t>2026-05-18</t>
        </is>
      </c>
    </row>
    <row r="561">
      <c r="A561" t="inlineStr">
        <is>
          <t>inv_13e5fa1cb343</t>
        </is>
      </c>
      <c r="B561" t="inlineStr">
        <is>
          <t>Kate</t>
        </is>
      </c>
      <c r="C561" t="inlineStr">
        <is>
          <t>2026-03-02</t>
        </is>
      </c>
      <c r="D561" t="inlineStr">
        <is>
          <t>B00939</t>
        </is>
      </c>
      <c r="E561" t="inlineStr"/>
      <c r="F561" t="inlineStr">
        <is>
          <t>2025-11-14</t>
        </is>
      </c>
      <c r="G561" t="inlineStr">
        <is>
          <t>UY43840403</t>
        </is>
      </c>
      <c r="H561" t="inlineStr">
        <is>
          <t>cus_11ce6c1312cf</t>
        </is>
      </c>
      <c r="I561" t="inlineStr">
        <is>
          <t>電通商業顧問股份有限公司</t>
        </is>
      </c>
      <c r="J561" t="inlineStr">
        <is>
          <t>24546918</t>
        </is>
      </c>
      <c r="K561" t="n">
        <v>165200</v>
      </c>
      <c r="L561" t="n">
        <v>173460</v>
      </c>
      <c r="M561" t="inlineStr">
        <is>
          <t>發票數據受眾包</t>
        </is>
      </c>
      <c r="N561" t="inlineStr">
        <is>
          <t>趙慧騥 Malo Chao</t>
        </is>
      </c>
      <c r="O561" t="inlineStr">
        <is>
          <t>11073台北市信義區松高路77號43樓</t>
        </is>
      </c>
      <c r="P561" t="inlineStr">
        <is>
          <t>Malo.Chao@dentsu.com</t>
        </is>
      </c>
      <c r="Q561" t="inlineStr">
        <is>
          <t>0933318219</t>
        </is>
      </c>
      <c r="R561" t="inlineStr"/>
      <c r="S561" t="inlineStr">
        <is>
          <t>已收款</t>
        </is>
      </c>
      <c r="T561" t="inlineStr">
        <is>
          <t>Dentsu
來源：單次型發票及收款紀錄 第 80 列</t>
        </is>
      </c>
      <c r="U561" t="inlineStr">
        <is>
          <t>收到發票隔月起60天</t>
        </is>
      </c>
      <c r="V561" t="inlineStr">
        <is>
          <t>2026-05-18</t>
        </is>
      </c>
    </row>
    <row r="562">
      <c r="A562" t="inlineStr">
        <is>
          <t>inv_a40297ba2440</t>
        </is>
      </c>
      <c r="B562" t="inlineStr">
        <is>
          <t>劉泳成</t>
        </is>
      </c>
      <c r="C562" t="inlineStr">
        <is>
          <t>2024-09-12</t>
        </is>
      </c>
      <c r="D562" t="inlineStr">
        <is>
          <t>2320456</t>
        </is>
      </c>
      <c r="E562" t="inlineStr"/>
      <c r="F562" t="inlineStr">
        <is>
          <t>2024-08-01</t>
        </is>
      </c>
      <c r="G562" t="inlineStr">
        <is>
          <t>DC03680892</t>
        </is>
      </c>
      <c r="H562" t="inlineStr">
        <is>
          <t>cus_19ba25b7d36c</t>
        </is>
      </c>
      <c r="I562" t="inlineStr">
        <is>
          <t>雲洋社群行銷股份有限公司</t>
        </is>
      </c>
      <c r="J562" t="inlineStr">
        <is>
          <t>93640261</t>
        </is>
      </c>
      <c r="K562" t="n">
        <v>682</v>
      </c>
      <c r="L562" t="n">
        <v>716</v>
      </c>
      <c r="M562" t="inlineStr">
        <is>
          <t>發票數據受眾包</t>
        </is>
      </c>
      <c r="N562" t="inlineStr">
        <is>
          <t>王曉雲</t>
        </is>
      </c>
      <c r="O562" t="inlineStr">
        <is>
          <t>台北市大安區基隆路二段 172-1 號 13 樓</t>
        </is>
      </c>
      <c r="P562" t="inlineStr">
        <is>
          <t>chantel@leapup.com.tw</t>
        </is>
      </c>
      <c r="Q562" t="inlineStr"/>
      <c r="R562" t="inlineStr"/>
      <c r="S562" t="inlineStr">
        <is>
          <t>已收款</t>
        </is>
      </c>
      <c r="T562" t="inlineStr">
        <is>
          <t>廚具專案一
來源：單次型發票及收款紀錄 第 81 列</t>
        </is>
      </c>
      <c r="U562" t="inlineStr"/>
      <c r="V562" t="inlineStr">
        <is>
          <t>2026-05-18</t>
        </is>
      </c>
    </row>
    <row r="563">
      <c r="A563" t="inlineStr">
        <is>
          <t>inv_27b5402ebae6</t>
        </is>
      </c>
      <c r="B563" t="inlineStr">
        <is>
          <t>劉泳成</t>
        </is>
      </c>
      <c r="C563" t="inlineStr">
        <is>
          <t>2024-09-12</t>
        </is>
      </c>
      <c r="D563" t="inlineStr">
        <is>
          <t>2320457</t>
        </is>
      </c>
      <c r="E563" t="inlineStr"/>
      <c r="F563" t="inlineStr">
        <is>
          <t>2024-08-01</t>
        </is>
      </c>
      <c r="G563" t="inlineStr">
        <is>
          <t>DC03680893</t>
        </is>
      </c>
      <c r="H563" t="inlineStr">
        <is>
          <t>cus_19ba25b7d36c</t>
        </is>
      </c>
      <c r="I563" t="inlineStr">
        <is>
          <t>雲洋社群行銷股份有限公司</t>
        </is>
      </c>
      <c r="J563" t="inlineStr">
        <is>
          <t>93640261</t>
        </is>
      </c>
      <c r="K563" t="n">
        <v>2328</v>
      </c>
      <c r="L563" t="n">
        <v>2444</v>
      </c>
      <c r="M563" t="inlineStr">
        <is>
          <t>發票數據受眾包</t>
        </is>
      </c>
      <c r="N563" t="inlineStr">
        <is>
          <t>王曉雲</t>
        </is>
      </c>
      <c r="O563" t="inlineStr">
        <is>
          <t>台北市大安區基隆路二段 172-1 號 13 樓</t>
        </is>
      </c>
      <c r="P563" t="inlineStr">
        <is>
          <t>chantel@leapup.com.tw</t>
        </is>
      </c>
      <c r="Q563" t="inlineStr"/>
      <c r="R563" t="inlineStr"/>
      <c r="S563" t="inlineStr">
        <is>
          <t>已收款</t>
        </is>
      </c>
      <c r="T563" t="inlineStr">
        <is>
          <t>廚具專案二
來源：單次型發票及收款紀錄 第 82 列</t>
        </is>
      </c>
      <c r="U563" t="inlineStr"/>
      <c r="V563" t="inlineStr">
        <is>
          <t>2026-05-18</t>
        </is>
      </c>
    </row>
    <row r="564">
      <c r="A564" t="inlineStr">
        <is>
          <t>inv_283be822d469</t>
        </is>
      </c>
      <c r="B564" t="inlineStr">
        <is>
          <t>劉泳成</t>
        </is>
      </c>
      <c r="C564" t="inlineStr">
        <is>
          <t>2024-09-12</t>
        </is>
      </c>
      <c r="D564" t="inlineStr">
        <is>
          <t>2320458</t>
        </is>
      </c>
      <c r="E564" t="inlineStr"/>
      <c r="F564" t="inlineStr">
        <is>
          <t>2024-08-01</t>
        </is>
      </c>
      <c r="G564" t="inlineStr">
        <is>
          <t>DC03680894</t>
        </is>
      </c>
      <c r="H564" t="inlineStr">
        <is>
          <t>cus_19ba25b7d36c</t>
        </is>
      </c>
      <c r="I564" t="inlineStr">
        <is>
          <t>雲洋社群行銷股份有限公司</t>
        </is>
      </c>
      <c r="J564" t="inlineStr">
        <is>
          <t>93640261</t>
        </is>
      </c>
      <c r="K564" t="n">
        <v>697</v>
      </c>
      <c r="L564" t="n">
        <v>732</v>
      </c>
      <c r="M564" t="inlineStr">
        <is>
          <t>發票數據受眾包</t>
        </is>
      </c>
      <c r="N564" t="inlineStr">
        <is>
          <t>王曉雲</t>
        </is>
      </c>
      <c r="O564" t="inlineStr">
        <is>
          <t>台北市大安區基隆路二段 172-1 號 13 樓</t>
        </is>
      </c>
      <c r="P564" t="inlineStr">
        <is>
          <t>chantel@leapup.com.tw</t>
        </is>
      </c>
      <c r="Q564" t="inlineStr"/>
      <c r="R564" t="inlineStr"/>
      <c r="S564" t="inlineStr">
        <is>
          <t>已收款</t>
        </is>
      </c>
      <c r="T564" t="inlineStr">
        <is>
          <t>美髮
來源：單次型發票及收款紀錄 第 83 列</t>
        </is>
      </c>
      <c r="U564" t="inlineStr"/>
      <c r="V564" t="inlineStr">
        <is>
          <t>2026-05-18</t>
        </is>
      </c>
    </row>
    <row r="565">
      <c r="A565" t="inlineStr">
        <is>
          <t>inv_2a09f467d0fd</t>
        </is>
      </c>
      <c r="B565" t="inlineStr">
        <is>
          <t>劉泳成</t>
        </is>
      </c>
      <c r="C565" t="inlineStr">
        <is>
          <t>2024-09-12</t>
        </is>
      </c>
      <c r="D565" t="inlineStr">
        <is>
          <t>2332372</t>
        </is>
      </c>
      <c r="E565" t="inlineStr"/>
      <c r="F565" t="inlineStr">
        <is>
          <t>2024-08-12</t>
        </is>
      </c>
      <c r="G565" t="inlineStr">
        <is>
          <t>DC03692357</t>
        </is>
      </c>
      <c r="H565" t="inlineStr">
        <is>
          <t>cus_19ba25b7d36c</t>
        </is>
      </c>
      <c r="I565" t="inlineStr">
        <is>
          <t>雲洋社群行銷股份有限公司</t>
        </is>
      </c>
      <c r="J565" t="inlineStr">
        <is>
          <t>93640261</t>
        </is>
      </c>
      <c r="K565" t="n">
        <v>7799</v>
      </c>
      <c r="L565" t="n">
        <v>8189</v>
      </c>
      <c r="M565" t="inlineStr">
        <is>
          <t>發票數據受眾包</t>
        </is>
      </c>
      <c r="N565" t="inlineStr">
        <is>
          <t>王曉雲</t>
        </is>
      </c>
      <c r="O565" t="inlineStr">
        <is>
          <t>台北市大安區基隆路二段 172-1 號 13 樓</t>
        </is>
      </c>
      <c r="P565" t="inlineStr">
        <is>
          <t>chantel@leapup.com.tw</t>
        </is>
      </c>
      <c r="Q565" t="inlineStr"/>
      <c r="R565" t="inlineStr"/>
      <c r="S565" t="inlineStr">
        <is>
          <t>已收款</t>
        </is>
      </c>
      <c r="T565" t="inlineStr">
        <is>
          <t>雙11家電
來源：單次型發票及收款紀錄 第 84 列</t>
        </is>
      </c>
      <c r="U565" t="inlineStr"/>
      <c r="V565" t="inlineStr">
        <is>
          <t>2026-05-18</t>
        </is>
      </c>
    </row>
    <row r="566">
      <c r="A566" t="inlineStr">
        <is>
          <t>inv_e37588847a27</t>
        </is>
      </c>
      <c r="B566" t="inlineStr">
        <is>
          <t>劉泳成</t>
        </is>
      </c>
      <c r="C566" t="inlineStr">
        <is>
          <t>2024-11-12</t>
        </is>
      </c>
      <c r="D566" t="inlineStr">
        <is>
          <t>2400307</t>
        </is>
      </c>
      <c r="E566" t="inlineStr"/>
      <c r="F566" t="inlineStr">
        <is>
          <t>2024-10-15</t>
        </is>
      </c>
      <c r="G566" t="inlineStr">
        <is>
          <t>FB03686574</t>
        </is>
      </c>
      <c r="H566" t="inlineStr">
        <is>
          <t>cus_19ba25b7d36c</t>
        </is>
      </c>
      <c r="I566" t="inlineStr">
        <is>
          <t>雲洋社群行銷股份有限公司</t>
        </is>
      </c>
      <c r="J566" t="inlineStr">
        <is>
          <t>93640261</t>
        </is>
      </c>
      <c r="K566" t="n">
        <v>5020</v>
      </c>
      <c r="L566" t="n">
        <v>5271</v>
      </c>
      <c r="M566" t="inlineStr">
        <is>
          <t>發票數據受眾包</t>
        </is>
      </c>
      <c r="N566" t="inlineStr">
        <is>
          <t>王曉雲</t>
        </is>
      </c>
      <c r="O566" t="inlineStr">
        <is>
          <t>台北市大安區基隆路二段 172-1 號 13 樓</t>
        </is>
      </c>
      <c r="P566" t="inlineStr">
        <is>
          <t>chantel@leapup.com.tw</t>
        </is>
      </c>
      <c r="Q566" t="inlineStr"/>
      <c r="R566" t="inlineStr"/>
      <c r="S566" t="inlineStr">
        <is>
          <t>已收款</t>
        </is>
      </c>
      <c r="T566" t="inlineStr">
        <is>
          <t>換機
來源：單次型發票及收款紀錄 第 85 列</t>
        </is>
      </c>
      <c r="U566" t="inlineStr"/>
      <c r="V566" t="inlineStr">
        <is>
          <t>2026-05-18</t>
        </is>
      </c>
    </row>
    <row r="567">
      <c r="A567" t="inlineStr">
        <is>
          <t>inv_23549a2382d9</t>
        </is>
      </c>
      <c r="B567" t="inlineStr">
        <is>
          <t>劉泳成</t>
        </is>
      </c>
      <c r="C567" t="inlineStr">
        <is>
          <t>2024-11-12</t>
        </is>
      </c>
      <c r="D567" t="inlineStr">
        <is>
          <t>2400308</t>
        </is>
      </c>
      <c r="E567" t="inlineStr"/>
      <c r="F567" t="inlineStr">
        <is>
          <t>2024-10-15</t>
        </is>
      </c>
      <c r="G567" t="inlineStr">
        <is>
          <t>FB03686575</t>
        </is>
      </c>
      <c r="H567" t="inlineStr">
        <is>
          <t>cus_19ba25b7d36c</t>
        </is>
      </c>
      <c r="I567" t="inlineStr">
        <is>
          <t>雲洋社群行銷股份有限公司</t>
        </is>
      </c>
      <c r="J567" t="inlineStr">
        <is>
          <t>93640261</t>
        </is>
      </c>
      <c r="K567" t="n">
        <v>344</v>
      </c>
      <c r="L567" t="n">
        <v>361</v>
      </c>
      <c r="M567" t="inlineStr">
        <is>
          <t>發票數據受眾包</t>
        </is>
      </c>
      <c r="N567" t="inlineStr">
        <is>
          <t>王曉雲</t>
        </is>
      </c>
      <c r="O567" t="inlineStr">
        <is>
          <t>台北市大安區基隆路二段 172-1 號 13 樓</t>
        </is>
      </c>
      <c r="P567" t="inlineStr">
        <is>
          <t>chantel@leapup.com.tw</t>
        </is>
      </c>
      <c r="Q567" t="inlineStr"/>
      <c r="R567" t="inlineStr"/>
      <c r="S567" t="inlineStr">
        <is>
          <t>已收款</t>
        </is>
      </c>
      <c r="T567" t="inlineStr">
        <is>
          <t>小物先生
來源：單次型發票及收款紀錄 第 86 列</t>
        </is>
      </c>
      <c r="U567" t="inlineStr"/>
      <c r="V567" t="inlineStr">
        <is>
          <t>2026-05-18</t>
        </is>
      </c>
    </row>
    <row r="568">
      <c r="A568" t="inlineStr">
        <is>
          <t>inv_d8b076d1f039</t>
        </is>
      </c>
      <c r="B568" t="inlineStr">
        <is>
          <t>劉泳成</t>
        </is>
      </c>
      <c r="C568" t="inlineStr">
        <is>
          <t>2025-01-13</t>
        </is>
      </c>
      <c r="D568" t="inlineStr">
        <is>
          <t>2400309  12/19折讓
2475218</t>
        </is>
      </c>
      <c r="E568" t="inlineStr"/>
      <c r="F568" t="inlineStr">
        <is>
          <t>2024.10.15
2024.12.19</t>
        </is>
      </c>
      <c r="G568" t="inlineStr">
        <is>
          <t>FB03686576  12/19折讓
HA03697453  12/19</t>
        </is>
      </c>
      <c r="H568" t="inlineStr">
        <is>
          <t>cus_19ba25b7d36c</t>
        </is>
      </c>
      <c r="I568" t="inlineStr">
        <is>
          <t>雲洋社群行銷股份有限公司</t>
        </is>
      </c>
      <c r="J568" t="inlineStr">
        <is>
          <t>93640261</t>
        </is>
      </c>
      <c r="K568" t="n">
        <v>5833</v>
      </c>
      <c r="L568" t="n">
        <v>6125</v>
      </c>
      <c r="M568" t="inlineStr">
        <is>
          <t>發票數據受眾包</t>
        </is>
      </c>
      <c r="N568" t="inlineStr">
        <is>
          <t>王曉雲</t>
        </is>
      </c>
      <c r="O568" t="inlineStr">
        <is>
          <t>台北市大安區基隆路二段 172-1 號 13 樓</t>
        </is>
      </c>
      <c r="P568" t="inlineStr">
        <is>
          <t>chantel@leapup.com.tw</t>
        </is>
      </c>
      <c r="Q568" t="inlineStr"/>
      <c r="R568" t="inlineStr"/>
      <c r="S568" t="inlineStr">
        <is>
          <t>已收款</t>
        </is>
      </c>
      <c r="T568" t="inlineStr">
        <is>
          <t>美髮
來源：單次型發票及收款紀錄 第 87 列</t>
        </is>
      </c>
      <c r="U568" t="inlineStr"/>
      <c r="V568" t="inlineStr">
        <is>
          <t>2026-05-18</t>
        </is>
      </c>
    </row>
    <row r="569">
      <c r="A569" t="inlineStr">
        <is>
          <t>inv_fd6ac06bfdd2</t>
        </is>
      </c>
      <c r="B569" t="inlineStr">
        <is>
          <t>劉泳成</t>
        </is>
      </c>
      <c r="C569" t="inlineStr">
        <is>
          <t>2025-01-13</t>
        </is>
      </c>
      <c r="D569" t="inlineStr">
        <is>
          <t>2459600</t>
        </is>
      </c>
      <c r="E569" t="inlineStr"/>
      <c r="F569" t="inlineStr">
        <is>
          <t>2024-12-05</t>
        </is>
      </c>
      <c r="G569" t="inlineStr">
        <is>
          <t>HA03683238</t>
        </is>
      </c>
      <c r="H569" t="inlineStr">
        <is>
          <t>cus_19ba25b7d36c</t>
        </is>
      </c>
      <c r="I569" t="inlineStr">
        <is>
          <t>雲洋社群行銷股份有限公司</t>
        </is>
      </c>
      <c r="J569" t="inlineStr">
        <is>
          <t>93640261</t>
        </is>
      </c>
      <c r="K569" t="n">
        <v>2918</v>
      </c>
      <c r="L569" t="n">
        <v>3064</v>
      </c>
      <c r="M569" t="inlineStr">
        <is>
          <t>發票數據受眾包</t>
        </is>
      </c>
      <c r="N569" t="inlineStr">
        <is>
          <t>王曉雲</t>
        </is>
      </c>
      <c r="O569" t="inlineStr">
        <is>
          <t>台北市大安區基隆路二段 172-1 號 13 樓</t>
        </is>
      </c>
      <c r="P569" t="inlineStr">
        <is>
          <t>chantel@leapup.com.tw</t>
        </is>
      </c>
      <c r="Q569" t="inlineStr"/>
      <c r="R569" t="inlineStr"/>
      <c r="S569" t="inlineStr">
        <is>
          <t>已收款</t>
        </is>
      </c>
      <c r="T569" t="inlineStr">
        <is>
          <t>螢幕護目
來源：單次型發票及收款紀錄 第 88 列</t>
        </is>
      </c>
      <c r="U569" t="inlineStr"/>
      <c r="V569" t="inlineStr">
        <is>
          <t>2026-05-18</t>
        </is>
      </c>
    </row>
    <row r="570">
      <c r="A570" t="inlineStr">
        <is>
          <t>inv_cc75f845dd49</t>
        </is>
      </c>
      <c r="B570" t="inlineStr">
        <is>
          <t>Erin</t>
        </is>
      </c>
      <c r="C570" t="inlineStr">
        <is>
          <t>2025-06-27</t>
        </is>
      </c>
      <c r="D570" t="inlineStr">
        <is>
          <t>2526254(5/25折讓)
重開2642921</t>
        </is>
      </c>
      <c r="E570" t="inlineStr"/>
      <c r="F570" t="inlineStr">
        <is>
          <t>2025-02-07</t>
        </is>
      </c>
      <c r="G570" t="inlineStr">
        <is>
          <t>JY43856479(5/25折讓)
重開</t>
        </is>
      </c>
      <c r="H570" t="inlineStr">
        <is>
          <t>cus_19ba25b7d36c</t>
        </is>
      </c>
      <c r="I570" t="inlineStr">
        <is>
          <t>雲洋社群行銷股份有限公司</t>
        </is>
      </c>
      <c r="J570" t="inlineStr">
        <is>
          <t>93640261</t>
        </is>
      </c>
      <c r="K570" t="n">
        <v>94379</v>
      </c>
      <c r="L570" t="n">
        <v>99098</v>
      </c>
      <c r="M570" t="inlineStr">
        <is>
          <t>發票數據受眾包</t>
        </is>
      </c>
      <c r="N570" t="inlineStr">
        <is>
          <t>王曉雲</t>
        </is>
      </c>
      <c r="O570" t="inlineStr">
        <is>
          <t>台北市大安區基隆路二段 172-1 號 13 樓</t>
        </is>
      </c>
      <c r="P570" t="inlineStr">
        <is>
          <t>chantel@leapup.com.tw</t>
        </is>
      </c>
      <c r="Q570" t="inlineStr"/>
      <c r="R570" t="inlineStr"/>
      <c r="S570" t="inlineStr">
        <is>
          <t>已收款</t>
        </is>
      </c>
      <c r="T570" t="inlineStr">
        <is>
          <t>1月餘額
來源：單次型發票及收款紀錄 第 89 列</t>
        </is>
      </c>
      <c r="U570" t="inlineStr"/>
      <c r="V570" t="inlineStr">
        <is>
          <t>2026-05-18</t>
        </is>
      </c>
    </row>
    <row r="571">
      <c r="A571" t="inlineStr">
        <is>
          <t>inv_ea4b9f1693b0</t>
        </is>
      </c>
      <c r="B571" t="inlineStr">
        <is>
          <t>梁芫菁</t>
        </is>
      </c>
      <c r="C571" t="inlineStr">
        <is>
          <t>2024-02-29</t>
        </is>
      </c>
      <c r="D571" t="inlineStr">
        <is>
          <t>B00384</t>
        </is>
      </c>
      <c r="E571" t="inlineStr"/>
      <c r="F571" t="inlineStr">
        <is>
          <t>2023-12-08</t>
        </is>
      </c>
      <c r="G571" t="inlineStr">
        <is>
          <t>VC44761049</t>
        </is>
      </c>
      <c r="H571" t="inlineStr">
        <is>
          <t>cus_15dd7113b465</t>
        </is>
      </c>
      <c r="I571" t="inlineStr">
        <is>
          <t>阿瘦實業股份有限公司</t>
        </is>
      </c>
      <c r="J571" t="inlineStr">
        <is>
          <t>80511709</t>
        </is>
      </c>
      <c r="K571" t="n">
        <v>20514</v>
      </c>
      <c r="L571" t="n">
        <v>21540</v>
      </c>
      <c r="M571" t="inlineStr">
        <is>
          <t>廣告費</t>
        </is>
      </c>
      <c r="N571" t="inlineStr">
        <is>
          <t>楊皓尊</t>
        </is>
      </c>
      <c r="O571" t="inlineStr">
        <is>
          <t>104台北市中山區松江路168號6樓</t>
        </is>
      </c>
      <c r="P571" t="inlineStr">
        <is>
          <t>Paul.Yang@mail.aso.com.tw</t>
        </is>
      </c>
      <c r="Q571" t="inlineStr"/>
      <c r="R571" t="inlineStr"/>
      <c r="S571" t="inlineStr">
        <is>
          <t>已收款</t>
        </is>
      </c>
      <c r="T571" t="inlineStr">
        <is>
          <t>來源：單次型發票及收款紀錄 第 90 列</t>
        </is>
      </c>
      <c r="U571" t="inlineStr"/>
      <c r="V571" t="inlineStr">
        <is>
          <t>2026-05-18</t>
        </is>
      </c>
    </row>
    <row r="572">
      <c r="A572" t="inlineStr">
        <is>
          <t>inv_c5d81ab9179f</t>
        </is>
      </c>
      <c r="B572" t="inlineStr">
        <is>
          <t>劉泳成</t>
        </is>
      </c>
      <c r="C572" t="inlineStr">
        <is>
          <t>2024-11-01</t>
        </is>
      </c>
      <c r="D572" t="inlineStr">
        <is>
          <t>2320461</t>
        </is>
      </c>
      <c r="E572" t="inlineStr"/>
      <c r="F572" t="inlineStr">
        <is>
          <t>2024-08-01</t>
        </is>
      </c>
      <c r="G572" t="inlineStr">
        <is>
          <t>DC03680897</t>
        </is>
      </c>
      <c r="H572" t="inlineStr">
        <is>
          <t>cus_15dd7113b465</t>
        </is>
      </c>
      <c r="I572" t="inlineStr">
        <is>
          <t>阿瘦實業股份有限公司</t>
        </is>
      </c>
      <c r="J572" t="inlineStr">
        <is>
          <t>80511709</t>
        </is>
      </c>
      <c r="K572" t="n">
        <v>100000</v>
      </c>
      <c r="L572" t="n">
        <v>105000</v>
      </c>
      <c r="M572" t="inlineStr">
        <is>
          <t>CRM報告</t>
        </is>
      </c>
      <c r="N572" t="inlineStr">
        <is>
          <t>柴宏德</t>
        </is>
      </c>
      <c r="O572" t="inlineStr">
        <is>
          <t>104台北市中山區松江路168號6樓</t>
        </is>
      </c>
      <c r="P572" t="inlineStr">
        <is>
          <t>benjamin@mail.aso.com.tw</t>
        </is>
      </c>
      <c r="Q572" t="inlineStr">
        <is>
          <t>6618-9999  #1623</t>
        </is>
      </c>
      <c r="R572" t="inlineStr"/>
      <c r="S572" t="inlineStr">
        <is>
          <t>已收款</t>
        </is>
      </c>
      <c r="T572" t="inlineStr">
        <is>
          <t>五及六月份
來源：單次型發票及收款紀錄 第 91 列</t>
        </is>
      </c>
      <c r="U572" t="inlineStr"/>
      <c r="V572" t="inlineStr">
        <is>
          <t>2026-05-18</t>
        </is>
      </c>
    </row>
    <row r="573">
      <c r="A573" t="inlineStr">
        <is>
          <t>inv_6490448ac40e</t>
        </is>
      </c>
      <c r="B573" t="inlineStr">
        <is>
          <t>劉泳成</t>
        </is>
      </c>
      <c r="C573" t="inlineStr">
        <is>
          <t>2024-11-01</t>
        </is>
      </c>
      <c r="D573" t="inlineStr">
        <is>
          <t>2343886</t>
        </is>
      </c>
      <c r="E573" t="inlineStr"/>
      <c r="F573" t="inlineStr">
        <is>
          <t>2024-08-21</t>
        </is>
      </c>
      <c r="G573" t="inlineStr">
        <is>
          <t>DC03702100</t>
        </is>
      </c>
      <c r="H573" t="inlineStr">
        <is>
          <t>cus_15dd7113b465</t>
        </is>
      </c>
      <c r="I573" t="inlineStr">
        <is>
          <t>阿瘦實業股份有限公司</t>
        </is>
      </c>
      <c r="J573" t="inlineStr">
        <is>
          <t>80511709</t>
        </is>
      </c>
      <c r="K573" t="n">
        <v>50000</v>
      </c>
      <c r="L573" t="n">
        <v>52500</v>
      </c>
      <c r="M573" t="inlineStr">
        <is>
          <t>CRM報告</t>
        </is>
      </c>
      <c r="N573" t="inlineStr">
        <is>
          <t>柴宏德</t>
        </is>
      </c>
      <c r="O573" t="inlineStr">
        <is>
          <t>104台北市中山區松江路168號6樓</t>
        </is>
      </c>
      <c r="P573" t="inlineStr">
        <is>
          <t>benjamin@mail.aso.com.tw</t>
        </is>
      </c>
      <c r="Q573" t="inlineStr">
        <is>
          <t>6618-9999  #1623</t>
        </is>
      </c>
      <c r="R573" t="inlineStr"/>
      <c r="S573" t="inlineStr">
        <is>
          <t>已收款</t>
        </is>
      </c>
      <c r="T573" t="inlineStr">
        <is>
          <t>七月
來源：單次型發票及收款紀錄 第 92 列</t>
        </is>
      </c>
      <c r="U573" t="inlineStr"/>
      <c r="V573" t="inlineStr">
        <is>
          <t>2026-05-18</t>
        </is>
      </c>
    </row>
    <row r="574">
      <c r="A574" t="inlineStr">
        <is>
          <t>inv_793995e036e5</t>
        </is>
      </c>
      <c r="B574" t="inlineStr">
        <is>
          <t>劉泳成</t>
        </is>
      </c>
      <c r="C574" t="inlineStr">
        <is>
          <t>2024-12-02</t>
        </is>
      </c>
      <c r="D574" t="inlineStr">
        <is>
          <t>2376025</t>
        </is>
      </c>
      <c r="E574" t="inlineStr"/>
      <c r="F574" t="inlineStr">
        <is>
          <t>2024-09-20</t>
        </is>
      </c>
      <c r="G574" t="inlineStr">
        <is>
          <t>FB03664441</t>
        </is>
      </c>
      <c r="H574" t="inlineStr">
        <is>
          <t>cus_15dd7113b465</t>
        </is>
      </c>
      <c r="I574" t="inlineStr">
        <is>
          <t>阿瘦實業股份有限公司</t>
        </is>
      </c>
      <c r="J574" t="inlineStr">
        <is>
          <t>80511709</t>
        </is>
      </c>
      <c r="K574" t="n">
        <v>50000</v>
      </c>
      <c r="L574" t="n">
        <v>52500</v>
      </c>
      <c r="M574" t="inlineStr">
        <is>
          <t>CRM報告</t>
        </is>
      </c>
      <c r="N574" t="inlineStr">
        <is>
          <t>柴宏德</t>
        </is>
      </c>
      <c r="O574" t="inlineStr">
        <is>
          <t>104台北市中山區松江路168號6樓</t>
        </is>
      </c>
      <c r="P574" t="inlineStr">
        <is>
          <t>benjamin@mail.aso.com.tw</t>
        </is>
      </c>
      <c r="Q574" t="inlineStr">
        <is>
          <t>6618-9999  #1623</t>
        </is>
      </c>
      <c r="R574" t="inlineStr"/>
      <c r="S574" t="inlineStr">
        <is>
          <t>已收款</t>
        </is>
      </c>
      <c r="T574" t="inlineStr">
        <is>
          <t>八月
來源：單次型發票及收款紀錄 第 93 列</t>
        </is>
      </c>
      <c r="U574" t="inlineStr"/>
      <c r="V574" t="inlineStr">
        <is>
          <t>2026-05-18</t>
        </is>
      </c>
    </row>
    <row r="575">
      <c r="A575" t="inlineStr">
        <is>
          <t>inv_638aa039b6eb</t>
        </is>
      </c>
      <c r="B575" t="inlineStr">
        <is>
          <t>劉泳成</t>
        </is>
      </c>
      <c r="C575" t="inlineStr">
        <is>
          <t>2024-12-31</t>
        </is>
      </c>
      <c r="D575" t="inlineStr">
        <is>
          <t>2400310</t>
        </is>
      </c>
      <c r="E575" t="inlineStr"/>
      <c r="F575" t="inlineStr">
        <is>
          <t>2024-10-15</t>
        </is>
      </c>
      <c r="G575" t="inlineStr">
        <is>
          <t>FB03686577</t>
        </is>
      </c>
      <c r="H575" t="inlineStr">
        <is>
          <t>cus_15dd7113b465</t>
        </is>
      </c>
      <c r="I575" t="inlineStr">
        <is>
          <t>阿瘦實業股份有限公司</t>
        </is>
      </c>
      <c r="J575" t="inlineStr">
        <is>
          <t>80511709</t>
        </is>
      </c>
      <c r="K575" t="n">
        <v>50000</v>
      </c>
      <c r="L575" t="n">
        <v>52500</v>
      </c>
      <c r="M575" t="inlineStr">
        <is>
          <t>CRM報告</t>
        </is>
      </c>
      <c r="N575" t="inlineStr">
        <is>
          <t>柴宏德</t>
        </is>
      </c>
      <c r="O575" t="inlineStr">
        <is>
          <t>104台北市中山區松江路168號6樓</t>
        </is>
      </c>
      <c r="P575" t="inlineStr">
        <is>
          <t>benjamin@mail.aso.com.tw</t>
        </is>
      </c>
      <c r="Q575" t="inlineStr">
        <is>
          <t>6618-9999  #1623</t>
        </is>
      </c>
      <c r="R575" t="inlineStr"/>
      <c r="S575" t="inlineStr">
        <is>
          <t>已收款</t>
        </is>
      </c>
      <c r="T575" t="inlineStr">
        <is>
          <t>九月
來源：單次型發票及收款紀錄 第 94 列</t>
        </is>
      </c>
      <c r="U575" t="inlineStr"/>
      <c r="V575" t="inlineStr">
        <is>
          <t>2026-05-18</t>
        </is>
      </c>
    </row>
    <row r="576">
      <c r="A576" t="inlineStr">
        <is>
          <t>inv_fcb42ab1b883</t>
        </is>
      </c>
      <c r="B576" t="inlineStr">
        <is>
          <t>劉泳成</t>
        </is>
      </c>
      <c r="C576" t="inlineStr">
        <is>
          <t>2025-02-03</t>
        </is>
      </c>
      <c r="D576" t="inlineStr">
        <is>
          <t>2448582</t>
        </is>
      </c>
      <c r="E576" t="inlineStr"/>
      <c r="F576" t="inlineStr">
        <is>
          <t>2024-11-25</t>
        </is>
      </c>
      <c r="G576" t="inlineStr">
        <is>
          <t>HA03673783</t>
        </is>
      </c>
      <c r="H576" t="inlineStr">
        <is>
          <t>cus_15dd7113b465</t>
        </is>
      </c>
      <c r="I576" t="inlineStr">
        <is>
          <t>阿瘦實業股份有限公司</t>
        </is>
      </c>
      <c r="J576" t="inlineStr">
        <is>
          <t>80511709</t>
        </is>
      </c>
      <c r="K576" t="n">
        <v>50000</v>
      </c>
      <c r="L576" t="n">
        <v>52500</v>
      </c>
      <c r="M576" t="inlineStr">
        <is>
          <t>CRM報告</t>
        </is>
      </c>
      <c r="N576" t="inlineStr">
        <is>
          <t>柴宏德</t>
        </is>
      </c>
      <c r="O576" t="inlineStr">
        <is>
          <t>104台北市中山區松江路168號6樓</t>
        </is>
      </c>
      <c r="P576" t="inlineStr">
        <is>
          <t>benjamin@mail.aso.com.tw</t>
        </is>
      </c>
      <c r="Q576" t="inlineStr">
        <is>
          <t>6618-9999  #1623</t>
        </is>
      </c>
      <c r="R576" t="inlineStr"/>
      <c r="S576" t="inlineStr">
        <is>
          <t>已收款</t>
        </is>
      </c>
      <c r="T576" t="inlineStr">
        <is>
          <t>十月
來源：單次型發票及收款紀錄 第 95 列</t>
        </is>
      </c>
      <c r="U576" t="inlineStr"/>
      <c r="V576" t="inlineStr">
        <is>
          <t>2026-05-18</t>
        </is>
      </c>
    </row>
    <row r="577">
      <c r="A577" t="inlineStr">
        <is>
          <t>inv_3e41a62d3901</t>
        </is>
      </c>
      <c r="B577" t="inlineStr">
        <is>
          <t>劉泳成</t>
        </is>
      </c>
      <c r="C577" t="inlineStr">
        <is>
          <t>2024-11-08</t>
        </is>
      </c>
      <c r="D577" t="inlineStr">
        <is>
          <t>2466742</t>
        </is>
      </c>
      <c r="E577" t="inlineStr"/>
      <c r="F577" t="inlineStr">
        <is>
          <t>2024-12-12</t>
        </is>
      </c>
      <c r="G577" t="inlineStr">
        <is>
          <t>HA03689738</t>
        </is>
      </c>
      <c r="H577" t="inlineStr">
        <is>
          <t>cus_dce308284fd9</t>
        </is>
      </c>
      <c r="I577" t="inlineStr">
        <is>
          <t>鉌萬興股份有限公司</t>
        </is>
      </c>
      <c r="J577" t="inlineStr">
        <is>
          <t>80492885</t>
        </is>
      </c>
      <c r="K577" t="n">
        <v>20000</v>
      </c>
      <c r="L577" t="n">
        <v>21000</v>
      </c>
      <c r="M577" t="inlineStr">
        <is>
          <t>發票數據受眾包</t>
        </is>
      </c>
      <c r="N577" t="inlineStr">
        <is>
          <t>謝承儒</t>
        </is>
      </c>
      <c r="O577" t="inlineStr">
        <is>
          <t>新北市汐止區福德一路342巷3弄16號(2樓)</t>
        </is>
      </c>
      <c r="P577" t="inlineStr">
        <is>
          <t>ewing0514@gmail.com</t>
        </is>
      </c>
      <c r="Q577" t="inlineStr">
        <is>
          <t>0975-660286</t>
        </is>
      </c>
      <c r="R577" t="inlineStr"/>
      <c r="S577" t="inlineStr">
        <is>
          <t>已收款</t>
        </is>
      </c>
      <c r="T577" t="inlineStr">
        <is>
          <t>艾莉婭心教育幸福學院
來源：單次型發票及收款紀錄 第 96 列</t>
        </is>
      </c>
      <c r="U577" t="inlineStr"/>
      <c r="V577" t="inlineStr">
        <is>
          <t>2026-05-18</t>
        </is>
      </c>
    </row>
    <row r="578">
      <c r="A578" t="inlineStr">
        <is>
          <t>inv_50e648fe72f7</t>
        </is>
      </c>
      <c r="B578" t="inlineStr">
        <is>
          <t>劉泳成</t>
        </is>
      </c>
      <c r="C578" t="inlineStr"/>
      <c r="D578" t="inlineStr">
        <is>
          <t>2320462</t>
        </is>
      </c>
      <c r="E578" t="inlineStr"/>
      <c r="F578" t="inlineStr">
        <is>
          <t>2024-08-01</t>
        </is>
      </c>
      <c r="G578" t="inlineStr">
        <is>
          <t>DC03680898</t>
        </is>
      </c>
      <c r="H578" t="inlineStr">
        <is>
          <t>cus_5bd22cd1ce93</t>
        </is>
      </c>
      <c r="I578" t="inlineStr">
        <is>
          <t>金果科技股份有限公司</t>
        </is>
      </c>
      <c r="J578" t="inlineStr">
        <is>
          <t>90603410</t>
        </is>
      </c>
      <c r="K578" t="n">
        <v>100900</v>
      </c>
      <c r="L578" t="n">
        <v>105945</v>
      </c>
      <c r="M578" t="inlineStr">
        <is>
          <t>MMS</t>
        </is>
      </c>
      <c r="N578" t="inlineStr">
        <is>
          <t>陳威瀚</t>
        </is>
      </c>
      <c r="O578" t="inlineStr">
        <is>
          <t>臺北市內湖區瑞光路168號9樓</t>
        </is>
      </c>
      <c r="P578" t="inlineStr">
        <is>
          <t>dora.lai@goldencherry.com.tw</t>
        </is>
      </c>
      <c r="Q578" t="inlineStr">
        <is>
          <t>02-27922289</t>
        </is>
      </c>
      <c r="R578" t="inlineStr"/>
      <c r="S578" t="inlineStr">
        <is>
          <t>未收款</t>
        </is>
      </c>
      <c r="T578" t="inlineStr">
        <is>
          <t>鴿子手遊
來源：單次型發票及收款紀錄 第 97 列</t>
        </is>
      </c>
      <c r="U578" t="inlineStr"/>
      <c r="V578" t="inlineStr">
        <is>
          <t>2026-05-18</t>
        </is>
      </c>
    </row>
    <row r="579">
      <c r="A579" t="inlineStr">
        <is>
          <t>inv_2ed7fb28646b</t>
        </is>
      </c>
      <c r="B579" t="inlineStr">
        <is>
          <t>Erin</t>
        </is>
      </c>
      <c r="C579" t="inlineStr">
        <is>
          <t>2025-11-20</t>
        </is>
      </c>
      <c r="D579" t="inlineStr">
        <is>
          <t>2829111</t>
        </is>
      </c>
      <c r="E579" t="inlineStr"/>
      <c r="F579" t="inlineStr">
        <is>
          <t>2025-11-05</t>
        </is>
      </c>
      <c r="G579" t="inlineStr"/>
      <c r="H579" t="inlineStr">
        <is>
          <t>cus_219263fb4bec</t>
        </is>
      </c>
      <c r="I579" t="inlineStr">
        <is>
          <t>跨嘶數位廣告有限公司</t>
        </is>
      </c>
      <c r="J579" t="inlineStr">
        <is>
          <t>89150641</t>
        </is>
      </c>
      <c r="K579" t="n">
        <v>200000</v>
      </c>
      <c r="L579" t="n">
        <v>210000</v>
      </c>
      <c r="M579" t="inlineStr">
        <is>
          <t>發票數據受眾包</t>
        </is>
      </c>
      <c r="N579" t="inlineStr">
        <is>
          <t>Yolk</t>
        </is>
      </c>
      <c r="O579" t="inlineStr">
        <is>
          <t>臺北市大安區安和路2段92號地下1樓</t>
        </is>
      </c>
      <c r="P579" t="inlineStr">
        <is>
          <t>yolk.gao@cross-digital.com.tw</t>
        </is>
      </c>
      <c r="Q579" t="inlineStr"/>
      <c r="R579" t="inlineStr"/>
      <c r="S579" t="inlineStr">
        <is>
          <t>已收款</t>
        </is>
      </c>
      <c r="T579" t="inlineStr">
        <is>
          <t>單月方案
來源：單次型發票及收款紀錄 第 98 列</t>
        </is>
      </c>
      <c r="U579" t="inlineStr">
        <is>
          <t>月結30天</t>
        </is>
      </c>
      <c r="V579" t="inlineStr">
        <is>
          <t>2026-05-18</t>
        </is>
      </c>
    </row>
    <row r="580">
      <c r="A580" t="inlineStr">
        <is>
          <t>inv_49b50e5247ac</t>
        </is>
      </c>
      <c r="B580" t="inlineStr">
        <is>
          <t>謝孟倢</t>
        </is>
      </c>
      <c r="C580" t="inlineStr">
        <is>
          <t>2025-09-17</t>
        </is>
      </c>
      <c r="D580" t="inlineStr">
        <is>
          <t>2730362</t>
        </is>
      </c>
      <c r="E580" t="inlineStr"/>
      <c r="F580" t="inlineStr">
        <is>
          <t>2025-08-12</t>
        </is>
      </c>
      <c r="G580" t="inlineStr"/>
      <c r="H580" t="inlineStr">
        <is>
          <t>cus_7cd43652bfe2</t>
        </is>
      </c>
      <c r="I580" t="inlineStr">
        <is>
          <t>走著瞧股份有限公司</t>
        </is>
      </c>
      <c r="J580" t="inlineStr">
        <is>
          <t>53755364</t>
        </is>
      </c>
      <c r="K580" t="n">
        <v>15800</v>
      </c>
      <c r="L580" t="n">
        <v>16590</v>
      </c>
      <c r="M580" t="inlineStr">
        <is>
          <t>信用卡分潤合作費用</t>
        </is>
      </c>
      <c r="N580" t="inlineStr">
        <is>
          <t>李昕芸 Lucy</t>
        </is>
      </c>
      <c r="O580" t="inlineStr">
        <is>
          <t>106 台北市大安區敦化南路二段 319號 6 樓</t>
        </is>
      </c>
      <c r="P580" t="inlineStr">
        <is>
          <t>lucy.lee@gogolook.com</t>
        </is>
      </c>
      <c r="Q580" t="inlineStr">
        <is>
          <t>(02) 2365-8099</t>
        </is>
      </c>
      <c r="R580" t="inlineStr"/>
      <c r="S580" t="inlineStr">
        <is>
          <t>已收款</t>
        </is>
      </c>
      <c r="T580" t="inlineStr">
        <is>
          <t>袋鼠金融
來源：單次型發票及收款紀錄 第 99 列</t>
        </is>
      </c>
      <c r="U580" t="inlineStr">
        <is>
          <t>收到發票隔月20號</t>
        </is>
      </c>
      <c r="V580" t="inlineStr">
        <is>
          <t>2026-05-18</t>
        </is>
      </c>
    </row>
    <row r="581">
      <c r="A581" t="inlineStr">
        <is>
          <t>inv_d99519a9653f</t>
        </is>
      </c>
      <c r="B581" t="inlineStr">
        <is>
          <t>謝孟倢</t>
        </is>
      </c>
      <c r="C581" t="inlineStr">
        <is>
          <t>2025-11-17</t>
        </is>
      </c>
      <c r="D581" t="inlineStr">
        <is>
          <t>2806592</t>
        </is>
      </c>
      <c r="E581" t="inlineStr"/>
      <c r="F581" t="inlineStr">
        <is>
          <t>2025-10-15</t>
        </is>
      </c>
      <c r="G581" t="inlineStr"/>
      <c r="H581" t="inlineStr">
        <is>
          <t>cus_7cd43652bfe2</t>
        </is>
      </c>
      <c r="I581" t="inlineStr">
        <is>
          <t>走著瞧股份有限公司</t>
        </is>
      </c>
      <c r="J581" t="inlineStr">
        <is>
          <t>53755364</t>
        </is>
      </c>
      <c r="K581" t="n">
        <v>29143</v>
      </c>
      <c r="L581" t="n">
        <v>30600</v>
      </c>
      <c r="M581" t="inlineStr">
        <is>
          <t>信用卡分潤合作費用</t>
        </is>
      </c>
      <c r="N581" t="inlineStr">
        <is>
          <t>李昕芸 Lucy</t>
        </is>
      </c>
      <c r="O581" t="inlineStr">
        <is>
          <t>106 台北市大安區敦化南路二段 319號 6 樓</t>
        </is>
      </c>
      <c r="P581" t="inlineStr">
        <is>
          <t>hsinyun.lee@gogolook.com</t>
        </is>
      </c>
      <c r="Q581" t="inlineStr">
        <is>
          <t>(02) 2365-8099</t>
        </is>
      </c>
      <c r="R581" t="inlineStr"/>
      <c r="S581" t="inlineStr">
        <is>
          <t>已收款</t>
        </is>
      </c>
      <c r="T581" t="inlineStr">
        <is>
          <t>袋鼠金融
來源：單次型發票及收款紀錄 第 100 列</t>
        </is>
      </c>
      <c r="U581" t="inlineStr">
        <is>
          <t>收到發票隔月20號</t>
        </is>
      </c>
      <c r="V581" t="inlineStr">
        <is>
          <t>2026-05-18</t>
        </is>
      </c>
    </row>
    <row r="582">
      <c r="A582" t="inlineStr">
        <is>
          <t>inv_126e2f44b62e</t>
        </is>
      </c>
      <c r="B582" t="inlineStr">
        <is>
          <t>謝孟倢</t>
        </is>
      </c>
      <c r="C582" t="inlineStr">
        <is>
          <t>2025-12-17</t>
        </is>
      </c>
      <c r="D582" t="inlineStr">
        <is>
          <t>2848749</t>
        </is>
      </c>
      <c r="E582" t="inlineStr"/>
      <c r="F582" t="inlineStr">
        <is>
          <t>2025-11-18</t>
        </is>
      </c>
      <c r="G582" t="inlineStr"/>
      <c r="H582" t="inlineStr">
        <is>
          <t>cus_7cd43652bfe2</t>
        </is>
      </c>
      <c r="I582" t="inlineStr">
        <is>
          <t>走著瞧股份有限公司</t>
        </is>
      </c>
      <c r="J582" t="inlineStr">
        <is>
          <t>53755364</t>
        </is>
      </c>
      <c r="K582" t="n">
        <v>2285</v>
      </c>
      <c r="L582" t="n">
        <v>2399</v>
      </c>
      <c r="M582" t="inlineStr">
        <is>
          <t>信用卡分潤合作費用</t>
        </is>
      </c>
      <c r="N582" t="inlineStr">
        <is>
          <t>李昕芸 Lucy</t>
        </is>
      </c>
      <c r="O582" t="inlineStr">
        <is>
          <t>106 台北市大安區敦化南路二段 319號 6 樓</t>
        </is>
      </c>
      <c r="P582" t="inlineStr">
        <is>
          <t>hsinyun.lee@gogolook.com</t>
        </is>
      </c>
      <c r="Q582" t="inlineStr">
        <is>
          <t>(02) 2365-8099</t>
        </is>
      </c>
      <c r="R582" t="inlineStr"/>
      <c r="S582" t="inlineStr">
        <is>
          <t>已收款</t>
        </is>
      </c>
      <c r="T582" t="inlineStr">
        <is>
          <t>袋鼠金融
來源：單次型發票及收款紀錄 第 101 列</t>
        </is>
      </c>
      <c r="U582" t="inlineStr">
        <is>
          <t>收到發票隔月20號</t>
        </is>
      </c>
      <c r="V582" t="inlineStr">
        <is>
          <t>2026-05-18</t>
        </is>
      </c>
    </row>
    <row r="583">
      <c r="A583" t="inlineStr">
        <is>
          <t>inv_b87a022ce27f</t>
        </is>
      </c>
      <c r="B583" t="inlineStr">
        <is>
          <t>Cobi</t>
        </is>
      </c>
      <c r="C583" t="inlineStr">
        <is>
          <t>7/21已作廢</t>
        </is>
      </c>
      <c r="D583" t="inlineStr">
        <is>
          <t>2687012</t>
        </is>
      </c>
      <c r="E583" t="inlineStr"/>
      <c r="F583" t="inlineStr">
        <is>
          <t>2025-07-04</t>
        </is>
      </c>
      <c r="G583" t="inlineStr">
        <is>
          <t>QY43825317</t>
        </is>
      </c>
      <c r="H583" t="inlineStr">
        <is>
          <t>cus_2a658d5b98e0</t>
        </is>
      </c>
      <c r="I583" t="inlineStr">
        <is>
          <t>貝立德股份有限公司</t>
        </is>
      </c>
      <c r="J583" t="inlineStr">
        <is>
          <t>70438244</t>
        </is>
      </c>
      <c r="K583" t="n">
        <v>40000</v>
      </c>
      <c r="L583" t="n">
        <v>42000</v>
      </c>
      <c r="M583" t="inlineStr">
        <is>
          <t>發票數據受眾包</t>
        </is>
      </c>
      <c r="N583" t="inlineStr">
        <is>
          <t>戴筱嬋 Angel</t>
        </is>
      </c>
      <c r="O583" t="inlineStr">
        <is>
          <t>台北市信義區松仁路100號8樓</t>
        </is>
      </c>
      <c r="P583" t="inlineStr">
        <is>
          <t>Angel.Tai@dxglobal.com</t>
        </is>
      </c>
      <c r="Q583" t="inlineStr">
        <is>
          <t>8979-3040</t>
        </is>
      </c>
      <c r="R583" t="inlineStr"/>
      <c r="S583" t="inlineStr">
        <is>
          <t>已收款</t>
        </is>
      </c>
      <c r="T583" t="inlineStr">
        <is>
          <t>來源：單次型發票及收款紀錄 第 102 列</t>
        </is>
      </c>
      <c r="U583" t="inlineStr">
        <is>
          <t>收到發票隔月起60天</t>
        </is>
      </c>
      <c r="V583" t="inlineStr">
        <is>
          <t>2026-05-18</t>
        </is>
      </c>
    </row>
    <row r="584">
      <c r="A584" t="inlineStr">
        <is>
          <t>inv_97c3c574d1d2</t>
        </is>
      </c>
      <c r="B584" t="inlineStr">
        <is>
          <t>Cobi</t>
        </is>
      </c>
      <c r="C584" t="inlineStr">
        <is>
          <t>2025-12-01</t>
        </is>
      </c>
      <c r="D584" t="inlineStr">
        <is>
          <t>2717903</t>
        </is>
      </c>
      <c r="E584" t="inlineStr"/>
      <c r="F584" t="inlineStr">
        <is>
          <t>2025-08-01</t>
        </is>
      </c>
      <c r="G584" t="inlineStr"/>
      <c r="H584" t="inlineStr">
        <is>
          <t>cus_2a658d5b98e0</t>
        </is>
      </c>
      <c r="I584" t="inlineStr">
        <is>
          <t>貝立德股份有限公司</t>
        </is>
      </c>
      <c r="J584" t="inlineStr">
        <is>
          <t>70438244</t>
        </is>
      </c>
      <c r="K584" t="n">
        <v>40000</v>
      </c>
      <c r="L584" t="n">
        <v>42000</v>
      </c>
      <c r="M584" t="inlineStr">
        <is>
          <t>發票數據受眾包</t>
        </is>
      </c>
      <c r="N584" t="inlineStr">
        <is>
          <t>戴筱嬋 Angel</t>
        </is>
      </c>
      <c r="O584" t="inlineStr">
        <is>
          <t>台北市信義區松仁路100號8樓</t>
        </is>
      </c>
      <c r="P584" t="inlineStr">
        <is>
          <t>Angel.Tai@dxglobal.com</t>
        </is>
      </c>
      <c r="Q584" t="inlineStr">
        <is>
          <t>8979-3040</t>
        </is>
      </c>
      <c r="R584" t="inlineStr"/>
      <c r="S584" t="inlineStr">
        <is>
          <t>已收款</t>
        </is>
      </c>
      <c r="T584" t="inlineStr">
        <is>
          <t>來源：單次型發票及收款紀錄 第 103 列</t>
        </is>
      </c>
      <c r="U584" t="inlineStr">
        <is>
          <t>收到發票隔月起60天</t>
        </is>
      </c>
      <c r="V584" t="inlineStr">
        <is>
          <t>2026-05-18</t>
        </is>
      </c>
    </row>
    <row r="585">
      <c r="A585" t="inlineStr">
        <is>
          <t>inv_808b4717c82f</t>
        </is>
      </c>
      <c r="B585" t="inlineStr">
        <is>
          <t>黃思睿</t>
        </is>
      </c>
      <c r="C585" t="inlineStr">
        <is>
          <t>版位交換,已開發票對沖</t>
        </is>
      </c>
      <c r="D585" t="inlineStr">
        <is>
          <t>2125198</t>
        </is>
      </c>
      <c r="E585" t="inlineStr">
        <is>
          <t>2024.03.13</t>
        </is>
      </c>
      <c r="F585" t="inlineStr">
        <is>
          <t>2024-03-13</t>
        </is>
      </c>
      <c r="G585" t="inlineStr">
        <is>
          <t>ZD03661896</t>
        </is>
      </c>
      <c r="H585" t="inlineStr">
        <is>
          <t>cus_87cb4426ab9a</t>
        </is>
      </c>
      <c r="I585" t="inlineStr">
        <is>
          <t>觔斗雲聯網科技股份有限公司</t>
        </is>
      </c>
      <c r="J585" t="inlineStr">
        <is>
          <t>52621439</t>
        </is>
      </c>
      <c r="K585" t="n">
        <v>66667</v>
      </c>
      <c r="L585" t="n">
        <v>70000</v>
      </c>
      <c r="M585" t="inlineStr">
        <is>
          <t>發票載具APP版位</t>
        </is>
      </c>
      <c r="N585" t="inlineStr">
        <is>
          <t>吳宜庭 Ting</t>
        </is>
      </c>
      <c r="O585" t="inlineStr">
        <is>
          <t>臺北市松山區敦化北路168號7樓</t>
        </is>
      </c>
      <c r="P585" t="inlineStr">
        <is>
          <t>ting.wu@linego.me</t>
        </is>
      </c>
      <c r="Q585" t="inlineStr">
        <is>
          <t>0960-802-725</t>
        </is>
      </c>
      <c r="R585" t="inlineStr"/>
      <c r="S585" t="inlineStr">
        <is>
          <t>已收款</t>
        </is>
      </c>
      <c r="T585" t="inlineStr">
        <is>
          <t>Line Go
來源：單次型發票及收款紀錄 第 104 列</t>
        </is>
      </c>
      <c r="U585" t="inlineStr">
        <is>
          <t>Line GO 版位互換沖銷，需於2024/03開立發票
相關檔案連結</t>
        </is>
      </c>
      <c r="V585" t="inlineStr">
        <is>
          <t>2026-05-18</t>
        </is>
      </c>
    </row>
    <row r="586">
      <c r="A586" t="inlineStr">
        <is>
          <t>inv_00f260ceae2c</t>
        </is>
      </c>
      <c r="B586" t="inlineStr">
        <is>
          <t>Cobi</t>
        </is>
      </c>
      <c r="C586" t="inlineStr">
        <is>
          <t>2024-09-13</t>
        </is>
      </c>
      <c r="D586" t="inlineStr">
        <is>
          <t>2366419</t>
        </is>
      </c>
      <c r="E586" t="inlineStr"/>
      <c r="F586" t="inlineStr">
        <is>
          <t>2024-09-10</t>
        </is>
      </c>
      <c r="G586" t="inlineStr">
        <is>
          <t>FB03655649</t>
        </is>
      </c>
      <c r="H586" t="inlineStr">
        <is>
          <t>cus_3ccacb4db168</t>
        </is>
      </c>
      <c r="I586" t="inlineStr">
        <is>
          <t>蒔間有限公司</t>
        </is>
      </c>
      <c r="J586" t="inlineStr">
        <is>
          <t>52632766</t>
        </is>
      </c>
      <c r="K586" t="n">
        <v>11492</v>
      </c>
      <c r="L586" t="n">
        <v>12067</v>
      </c>
      <c r="M586" t="inlineStr">
        <is>
          <t>發票數據受眾包</t>
        </is>
      </c>
      <c r="N586" t="inlineStr">
        <is>
          <t>簡雪如Amanda</t>
        </is>
      </c>
      <c r="O586" t="inlineStr">
        <is>
          <t>台北市信義路四段96號9樓</t>
        </is>
      </c>
      <c r="P586" t="inlineStr">
        <is>
          <t>amanda.chien@timelimited.com.tw</t>
        </is>
      </c>
      <c r="Q586" t="inlineStr"/>
      <c r="R586" t="inlineStr"/>
      <c r="S586" t="inlineStr">
        <is>
          <t>已收款</t>
        </is>
      </c>
      <c r="T586" t="inlineStr">
        <is>
          <t>蒔間
來源：單次型發票及收款紀錄 第 105 列</t>
        </is>
      </c>
      <c r="U586" t="inlineStr">
        <is>
          <t>收到發票隔月起30天</t>
        </is>
      </c>
      <c r="V586" t="inlineStr">
        <is>
          <t>2026-05-18</t>
        </is>
      </c>
    </row>
    <row r="587">
      <c r="A587" t="inlineStr">
        <is>
          <t>inv_9685f58bf795</t>
        </is>
      </c>
      <c r="B587" t="inlineStr">
        <is>
          <t>Cobi</t>
        </is>
      </c>
      <c r="C587" t="inlineStr">
        <is>
          <t>2024-12-07</t>
        </is>
      </c>
      <c r="D587" t="inlineStr">
        <is>
          <t>2394027</t>
        </is>
      </c>
      <c r="E587" t="inlineStr"/>
      <c r="F587" t="inlineStr">
        <is>
          <t>2024-10-07</t>
        </is>
      </c>
      <c r="G587" t="inlineStr">
        <is>
          <t>FB03680870</t>
        </is>
      </c>
      <c r="H587" t="inlineStr">
        <is>
          <t>cus_3ccacb4db168</t>
        </is>
      </c>
      <c r="I587" t="inlineStr">
        <is>
          <t>蒔間有限公司</t>
        </is>
      </c>
      <c r="J587" t="inlineStr">
        <is>
          <t>52632766</t>
        </is>
      </c>
      <c r="K587" t="n">
        <v>20000</v>
      </c>
      <c r="L587" t="n">
        <v>21000</v>
      </c>
      <c r="M587" t="inlineStr">
        <is>
          <t>發票數據受眾包</t>
        </is>
      </c>
      <c r="N587" t="inlineStr">
        <is>
          <t>簡雪如Amanda</t>
        </is>
      </c>
      <c r="O587" t="inlineStr">
        <is>
          <t>台北市信義路四段96號9樓</t>
        </is>
      </c>
      <c r="P587" t="inlineStr">
        <is>
          <t>amanda.chien@timelimited.com.tw</t>
        </is>
      </c>
      <c r="Q587" t="inlineStr"/>
      <c r="R587" t="inlineStr"/>
      <c r="S587" t="inlineStr">
        <is>
          <t>已收款</t>
        </is>
      </c>
      <c r="T587" t="inlineStr">
        <is>
          <t>蒔間
來源：單次型發票及收款紀錄 第 106 列</t>
        </is>
      </c>
      <c r="U587" t="inlineStr">
        <is>
          <t>收到發票隔月起30天</t>
        </is>
      </c>
      <c r="V587" t="inlineStr">
        <is>
          <t>2026-05-18</t>
        </is>
      </c>
    </row>
    <row r="588">
      <c r="A588" t="inlineStr">
        <is>
          <t>inv_6f757bd2f353</t>
        </is>
      </c>
      <c r="B588" t="inlineStr">
        <is>
          <t>Cobi</t>
        </is>
      </c>
      <c r="C588" t="inlineStr">
        <is>
          <t>2025-05-26</t>
        </is>
      </c>
      <c r="D588" t="inlineStr">
        <is>
          <t>2554659</t>
        </is>
      </c>
      <c r="E588" t="inlineStr"/>
      <c r="F588" t="inlineStr">
        <is>
          <t>2025-03-05</t>
        </is>
      </c>
      <c r="G588" t="inlineStr">
        <is>
          <t>LY43825863</t>
        </is>
      </c>
      <c r="H588" t="inlineStr">
        <is>
          <t>cus_3ccacb4db168</t>
        </is>
      </c>
      <c r="I588" t="inlineStr">
        <is>
          <t>蒔間有限公司</t>
        </is>
      </c>
      <c r="J588" t="inlineStr">
        <is>
          <t>52632766</t>
        </is>
      </c>
      <c r="K588" t="n">
        <v>10000</v>
      </c>
      <c r="L588" t="n">
        <v>10500</v>
      </c>
      <c r="M588" t="inlineStr">
        <is>
          <t>發票數據受眾包</t>
        </is>
      </c>
      <c r="N588" t="inlineStr">
        <is>
          <t>簡雪如Amanda</t>
        </is>
      </c>
      <c r="O588" t="inlineStr">
        <is>
          <t>台北市信義路四段96號9樓</t>
        </is>
      </c>
      <c r="P588" t="inlineStr">
        <is>
          <t>amanda.chien@timelimited.com.tw</t>
        </is>
      </c>
      <c r="Q588" t="inlineStr"/>
      <c r="R588" t="inlineStr"/>
      <c r="S588" t="inlineStr">
        <is>
          <t>已收款</t>
        </is>
      </c>
      <c r="T588" t="inlineStr">
        <is>
          <t>蒔間
來源：單次型發票及收款紀錄 第 107 列</t>
        </is>
      </c>
      <c r="U588" t="inlineStr">
        <is>
          <t>收到發票隔月起30天</t>
        </is>
      </c>
      <c r="V588" t="inlineStr">
        <is>
          <t>2026-05-18</t>
        </is>
      </c>
    </row>
    <row r="589">
      <c r="A589" t="inlineStr">
        <is>
          <t>inv_e9be5c78a762</t>
        </is>
      </c>
      <c r="B589" t="inlineStr">
        <is>
          <t>Cobi</t>
        </is>
      </c>
      <c r="C589" t="inlineStr">
        <is>
          <t>2025-05-26</t>
        </is>
      </c>
      <c r="D589" t="inlineStr">
        <is>
          <t>2615791</t>
        </is>
      </c>
      <c r="E589" t="inlineStr"/>
      <c r="F589" t="inlineStr">
        <is>
          <t>2025-05-05</t>
        </is>
      </c>
      <c r="G589" t="inlineStr">
        <is>
          <t>NY43825508</t>
        </is>
      </c>
      <c r="H589" t="inlineStr">
        <is>
          <t>cus_3ccacb4db168</t>
        </is>
      </c>
      <c r="I589" t="inlineStr">
        <is>
          <t>蒔間有限公司</t>
        </is>
      </c>
      <c r="J589" t="inlineStr">
        <is>
          <t>52632766</t>
        </is>
      </c>
      <c r="K589" t="n">
        <v>20000</v>
      </c>
      <c r="L589" t="n">
        <v>21000</v>
      </c>
      <c r="M589" t="inlineStr">
        <is>
          <t>發票數據受眾包</t>
        </is>
      </c>
      <c r="N589" t="inlineStr">
        <is>
          <t>簡雪如Amanda</t>
        </is>
      </c>
      <c r="O589" t="inlineStr">
        <is>
          <t>台北市信義路四段96號9樓</t>
        </is>
      </c>
      <c r="P589" t="inlineStr">
        <is>
          <t>amanda.chien@timelimited.com.tw</t>
        </is>
      </c>
      <c r="Q589" t="inlineStr"/>
      <c r="R589" t="inlineStr"/>
      <c r="S589" t="inlineStr">
        <is>
          <t>已收款</t>
        </is>
      </c>
      <c r="T589" t="inlineStr">
        <is>
          <t>蒔間
來源：單次型發票及收款紀錄 第 108 列</t>
        </is>
      </c>
      <c r="U589" t="inlineStr">
        <is>
          <t>收到發票隔月起30天</t>
        </is>
      </c>
      <c r="V589" t="inlineStr">
        <is>
          <t>2026-05-18</t>
        </is>
      </c>
    </row>
    <row r="590">
      <c r="A590" t="inlineStr">
        <is>
          <t>inv_493dd9341be6</t>
        </is>
      </c>
      <c r="B590" t="inlineStr">
        <is>
          <t>Stanley</t>
        </is>
      </c>
      <c r="C590" t="inlineStr">
        <is>
          <t>2025-10-27</t>
        </is>
      </c>
      <c r="D590" t="inlineStr">
        <is>
          <t>2786522</t>
        </is>
      </c>
      <c r="E590" t="inlineStr"/>
      <c r="F590" t="inlineStr">
        <is>
          <t>2025-09-26</t>
        </is>
      </c>
      <c r="G590" t="inlineStr"/>
      <c r="H590" t="inlineStr">
        <is>
          <t>cus_3ad6cee6a2ff</t>
        </is>
      </c>
      <c r="I590" t="inlineStr">
        <is>
          <t>萬達寵物事業股份有限公司</t>
        </is>
      </c>
      <c r="J590" t="inlineStr">
        <is>
          <t>53416750</t>
        </is>
      </c>
      <c r="K590" t="n">
        <v>0</v>
      </c>
      <c r="L590" t="n">
        <v>105920</v>
      </c>
      <c r="M590" t="inlineStr">
        <is>
          <t>發票載具中獎放大</t>
        </is>
      </c>
      <c r="N590" t="inlineStr">
        <is>
          <t>Jack</t>
        </is>
      </c>
      <c r="O590" t="inlineStr">
        <is>
          <t>臺北市中山區長安東路1段23號4樓之3</t>
        </is>
      </c>
      <c r="P590" t="inlineStr">
        <is>
          <t>jack.teng@wonderpet.asia</t>
        </is>
      </c>
      <c r="Q590" t="inlineStr"/>
      <c r="R590" t="inlineStr"/>
      <c r="S590" t="inlineStr">
        <is>
          <t>已收款</t>
        </is>
      </c>
      <c r="T590" t="inlineStr">
        <is>
          <t>寵物公園
來源：單次型發票及收款紀錄 第 109 列</t>
        </is>
      </c>
      <c r="U590" t="inlineStr">
        <is>
          <t>收到發票隔月起30天</t>
        </is>
      </c>
      <c r="V590" t="inlineStr">
        <is>
          <t>2026-05-18</t>
        </is>
      </c>
    </row>
    <row r="591">
      <c r="A591" t="inlineStr">
        <is>
          <t>inv_a8990041cfc1</t>
        </is>
      </c>
      <c r="B591" t="inlineStr">
        <is>
          <t>Maggie</t>
        </is>
      </c>
      <c r="C591" t="inlineStr">
        <is>
          <t>2025-07-31</t>
        </is>
      </c>
      <c r="D591" t="inlineStr">
        <is>
          <t>2717911</t>
        </is>
      </c>
      <c r="E591" t="inlineStr"/>
      <c r="F591" t="inlineStr">
        <is>
          <t>2025-08-01</t>
        </is>
      </c>
      <c r="G591" t="inlineStr"/>
      <c r="H591" t="inlineStr">
        <is>
          <t>cus_2dcbf927e90b</t>
        </is>
      </c>
      <c r="I591" t="inlineStr">
        <is>
          <t>臺灣各種吧股份有限公司</t>
        </is>
      </c>
      <c r="J591" t="inlineStr">
        <is>
          <t>24765574</t>
        </is>
      </c>
      <c r="K591" t="n">
        <v>10000</v>
      </c>
      <c r="L591" t="n">
        <v>10500</v>
      </c>
      <c r="M591" t="inlineStr">
        <is>
          <t>發票數據受眾包</t>
        </is>
      </c>
      <c r="N591" t="inlineStr">
        <is>
          <t>張柏葦</t>
        </is>
      </c>
      <c r="O591" t="inlineStr">
        <is>
          <t>103台北市大同區承德路二段193號2樓</t>
        </is>
      </c>
      <c r="P591" t="inlineStr">
        <is>
          <t>bowei850817@gmail.com</t>
        </is>
      </c>
      <c r="Q591" t="inlineStr">
        <is>
          <t>0970647647</t>
        </is>
      </c>
      <c r="R591" t="inlineStr"/>
      <c r="S591" t="inlineStr">
        <is>
          <t>已收款</t>
        </is>
      </c>
      <c r="T591" t="inlineStr">
        <is>
          <t>燒賣合作主題受眾包
來源：單次型發票及收款紀錄 第 110 列</t>
        </is>
      </c>
      <c r="U591" t="inlineStr">
        <is>
          <t>預先收款，隔月10日前開立發票</t>
        </is>
      </c>
      <c r="V591" t="inlineStr">
        <is>
          <t>2026-05-18</t>
        </is>
      </c>
    </row>
    <row r="592">
      <c r="A592" t="inlineStr">
        <is>
          <t>inv_d29332e5d37c</t>
        </is>
      </c>
      <c r="B592" t="inlineStr">
        <is>
          <t>Peggy</t>
        </is>
      </c>
      <c r="C592" t="inlineStr">
        <is>
          <t>2025-08-29</t>
        </is>
      </c>
      <c r="D592" t="inlineStr">
        <is>
          <t>2761801</t>
        </is>
      </c>
      <c r="E592" t="inlineStr"/>
      <c r="F592" t="inlineStr">
        <is>
          <t>2025-09-05</t>
        </is>
      </c>
      <c r="G592" t="inlineStr"/>
      <c r="H592" t="inlineStr">
        <is>
          <t>cus_2dcbf927e90b</t>
        </is>
      </c>
      <c r="I592" t="inlineStr">
        <is>
          <t>臺灣各種吧股份有限公司</t>
        </is>
      </c>
      <c r="J592" t="inlineStr">
        <is>
          <t>24765574</t>
        </is>
      </c>
      <c r="K592" t="n">
        <v>40000</v>
      </c>
      <c r="L592" t="n">
        <v>42000</v>
      </c>
      <c r="M592" t="inlineStr">
        <is>
          <t>發票數據受眾包</t>
        </is>
      </c>
      <c r="N592" t="inlineStr">
        <is>
          <t>張柏葦</t>
        </is>
      </c>
      <c r="O592" t="inlineStr">
        <is>
          <t>103台北市大同區承德路二段193號2樓</t>
        </is>
      </c>
      <c r="P592" t="inlineStr">
        <is>
          <t>bowei850817@gmail.com</t>
        </is>
      </c>
      <c r="Q592" t="inlineStr">
        <is>
          <t>0970-647647</t>
        </is>
      </c>
      <c r="R592" t="inlineStr"/>
      <c r="S592" t="inlineStr">
        <is>
          <t>已收款</t>
        </is>
      </c>
      <c r="T592" t="inlineStr">
        <is>
          <t>臺灣吧
來源：單次型發票及收款紀錄 第 111 列</t>
        </is>
      </c>
      <c r="U592" t="inlineStr">
        <is>
          <t>預付</t>
        </is>
      </c>
      <c r="V592" t="inlineStr">
        <is>
          <t>2026-05-18</t>
        </is>
      </c>
    </row>
    <row r="593">
      <c r="A593" t="inlineStr">
        <is>
          <t>inv_b17122a91dd7</t>
        </is>
      </c>
      <c r="B593" t="inlineStr">
        <is>
          <t>Peggy</t>
        </is>
      </c>
      <c r="C593" t="inlineStr">
        <is>
          <t>2025-11-26</t>
        </is>
      </c>
      <c r="D593" t="inlineStr">
        <is>
          <t>2852116</t>
        </is>
      </c>
      <c r="E593" t="inlineStr"/>
      <c r="F593" t="inlineStr">
        <is>
          <t>2025-11-21</t>
        </is>
      </c>
      <c r="G593" t="inlineStr"/>
      <c r="H593" t="inlineStr">
        <is>
          <t>cus_2dcbf927e90b</t>
        </is>
      </c>
      <c r="I593" t="inlineStr">
        <is>
          <t>臺灣各種吧股份有限公司</t>
        </is>
      </c>
      <c r="J593" t="inlineStr">
        <is>
          <t>24765574</t>
        </is>
      </c>
      <c r="K593" t="n">
        <v>48600</v>
      </c>
      <c r="L593" t="n">
        <v>51030</v>
      </c>
      <c r="M593" t="inlineStr">
        <is>
          <t>發票數據受眾包</t>
        </is>
      </c>
      <c r="N593" t="inlineStr">
        <is>
          <t>張柏葦</t>
        </is>
      </c>
      <c r="O593" t="inlineStr">
        <is>
          <t>103台北市大同區承德路二段193號2樓</t>
        </is>
      </c>
      <c r="P593" t="inlineStr">
        <is>
          <t>bowei850817@gmail.com</t>
        </is>
      </c>
      <c r="Q593" t="inlineStr">
        <is>
          <t>0970-647647</t>
        </is>
      </c>
      <c r="R593" t="inlineStr"/>
      <c r="S593" t="inlineStr">
        <is>
          <t>已收款</t>
        </is>
      </c>
      <c r="T593" t="inlineStr">
        <is>
          <t>臺灣吧
來源：單次型發票及收款紀錄 第 112 列</t>
        </is>
      </c>
      <c r="U593" t="inlineStr">
        <is>
          <t>預計11/25付款</t>
        </is>
      </c>
      <c r="V593" t="inlineStr">
        <is>
          <t>2026-05-18</t>
        </is>
      </c>
    </row>
    <row r="594">
      <c r="A594" t="inlineStr">
        <is>
          <t>inv_49a4b86b0f95</t>
        </is>
      </c>
      <c r="B594" t="inlineStr">
        <is>
          <t>劉泳成</t>
        </is>
      </c>
      <c r="C594" t="inlineStr">
        <is>
          <t>2024-05-27</t>
        </is>
      </c>
      <c r="D594" t="inlineStr">
        <is>
          <t>2162848</t>
        </is>
      </c>
      <c r="E594" t="inlineStr"/>
      <c r="F594" t="inlineStr">
        <is>
          <t>2024-04-09</t>
        </is>
      </c>
      <c r="G594" t="inlineStr">
        <is>
          <t>ZD03694128</t>
        </is>
      </c>
      <c r="H594" t="inlineStr">
        <is>
          <t>cus_ee0cc57cfefa</t>
        </is>
      </c>
      <c r="I594" t="inlineStr">
        <is>
          <t>聖洋科技股份有限公司</t>
        </is>
      </c>
      <c r="J594" t="inlineStr">
        <is>
          <t>28112580</t>
        </is>
      </c>
      <c r="K594" t="n">
        <v>7761</v>
      </c>
      <c r="L594" t="n">
        <v>8149</v>
      </c>
      <c r="M594" t="inlineStr">
        <is>
          <t>發票數據</t>
        </is>
      </c>
      <c r="N594" t="inlineStr">
        <is>
          <t>蔡念瑾 Candie</t>
        </is>
      </c>
      <c r="O594" t="inlineStr">
        <is>
          <t>台北市大安區基隆路二段172-1號13樓</t>
        </is>
      </c>
      <c r="P594" t="inlineStr">
        <is>
          <t>candie@cacafly.com</t>
        </is>
      </c>
      <c r="Q594" t="inlineStr">
        <is>
          <t>(02)6631-5699 #991</t>
        </is>
      </c>
      <c r="R594" t="inlineStr"/>
      <c r="S594" t="inlineStr">
        <is>
          <t>已收款</t>
        </is>
      </c>
      <c r="T594" t="inlineStr">
        <is>
          <t>保健食品
來源：單次型發票及收款紀錄 第 113 列</t>
        </is>
      </c>
      <c r="U594" t="inlineStr"/>
      <c r="V594" t="inlineStr">
        <is>
          <t>2026-05-18</t>
        </is>
      </c>
    </row>
    <row r="595">
      <c r="A595" t="inlineStr">
        <is>
          <t>inv_f1645ec9d301</t>
        </is>
      </c>
      <c r="B595" t="inlineStr">
        <is>
          <t>劉泳成</t>
        </is>
      </c>
      <c r="C595" t="inlineStr">
        <is>
          <t>2024-08-27</t>
        </is>
      </c>
      <c r="D595" t="inlineStr">
        <is>
          <t>2287589</t>
        </is>
      </c>
      <c r="E595" t="inlineStr"/>
      <c r="F595" t="inlineStr">
        <is>
          <t>2024-07-05</t>
        </is>
      </c>
      <c r="G595" t="inlineStr">
        <is>
          <t>DC03652250</t>
        </is>
      </c>
      <c r="H595" t="inlineStr">
        <is>
          <t>cus_ee0cc57cfefa</t>
        </is>
      </c>
      <c r="I595" t="inlineStr">
        <is>
          <t>聖洋科技股份有限公司</t>
        </is>
      </c>
      <c r="J595" t="inlineStr">
        <is>
          <t>28112580</t>
        </is>
      </c>
      <c r="K595" t="n">
        <v>27192</v>
      </c>
      <c r="L595" t="n">
        <v>28552</v>
      </c>
      <c r="M595" t="inlineStr">
        <is>
          <t>MMS+ADID</t>
        </is>
      </c>
      <c r="N595" t="inlineStr">
        <is>
          <t>陳亭伶</t>
        </is>
      </c>
      <c r="O595" t="inlineStr">
        <is>
          <t>台北市大安區基隆路二段172-1號13樓</t>
        </is>
      </c>
      <c r="P595" t="inlineStr">
        <is>
          <t>amanda.chen@cacafly.com</t>
        </is>
      </c>
      <c r="Q595" t="inlineStr">
        <is>
          <t>02 6631 5725</t>
        </is>
      </c>
      <c r="R595" t="inlineStr"/>
      <c r="S595" t="inlineStr">
        <is>
          <t>已收款</t>
        </is>
      </c>
      <c r="T595" t="inlineStr">
        <is>
          <t>高雄_房產類客戶
來源：單次型發票及收款紀錄 第 114 列</t>
        </is>
      </c>
      <c r="U595" t="inlineStr"/>
      <c r="V595" t="inlineStr">
        <is>
          <t>2026-05-18</t>
        </is>
      </c>
    </row>
    <row r="596">
      <c r="A596" t="inlineStr">
        <is>
          <t>inv_2139fb666757</t>
        </is>
      </c>
      <c r="B596" t="inlineStr">
        <is>
          <t>劉泳成</t>
        </is>
      </c>
      <c r="C596" t="inlineStr">
        <is>
          <t>2024-09-27</t>
        </is>
      </c>
      <c r="D596" t="inlineStr">
        <is>
          <t>2320459</t>
        </is>
      </c>
      <c r="E596" t="inlineStr"/>
      <c r="F596" t="inlineStr">
        <is>
          <t>2024-08-01</t>
        </is>
      </c>
      <c r="G596" t="inlineStr">
        <is>
          <t>DC03680895</t>
        </is>
      </c>
      <c r="H596" t="inlineStr">
        <is>
          <t>cus_ee0cc57cfefa</t>
        </is>
      </c>
      <c r="I596" t="inlineStr">
        <is>
          <t>聖洋科技股份有限公司</t>
        </is>
      </c>
      <c r="J596" t="inlineStr">
        <is>
          <t>28112580</t>
        </is>
      </c>
      <c r="K596" t="n">
        <v>3807</v>
      </c>
      <c r="L596" t="n">
        <v>3997</v>
      </c>
      <c r="M596" t="inlineStr">
        <is>
          <t>發票數據受眾包</t>
        </is>
      </c>
      <c r="N596" t="inlineStr">
        <is>
          <t>蔡念瑾 Candie</t>
        </is>
      </c>
      <c r="O596" t="inlineStr">
        <is>
          <t>台北市大安區基隆路二段172-1號13樓</t>
        </is>
      </c>
      <c r="P596" t="inlineStr">
        <is>
          <t>candie@cacafly.com</t>
        </is>
      </c>
      <c r="Q596" t="inlineStr">
        <is>
          <t>(02)6631-5699 #991</t>
        </is>
      </c>
      <c r="R596" t="inlineStr"/>
      <c r="S596" t="inlineStr">
        <is>
          <t>已收款</t>
        </is>
      </c>
      <c r="T596" t="inlineStr">
        <is>
          <t>滴雞精
來源：單次型發票及收款紀錄 第 115 列</t>
        </is>
      </c>
      <c r="U596" t="inlineStr"/>
      <c r="V596" t="inlineStr">
        <is>
          <t>2026-05-18</t>
        </is>
      </c>
    </row>
    <row r="597">
      <c r="A597" t="inlineStr">
        <is>
          <t>inv_f73d6e4b07a8</t>
        </is>
      </c>
      <c r="B597" t="inlineStr">
        <is>
          <t>劉泳成</t>
        </is>
      </c>
      <c r="C597" t="inlineStr">
        <is>
          <t>2024-11-27</t>
        </is>
      </c>
      <c r="D597" t="inlineStr">
        <is>
          <t>2400306</t>
        </is>
      </c>
      <c r="E597" t="inlineStr"/>
      <c r="F597" t="inlineStr">
        <is>
          <t>2024-10-15</t>
        </is>
      </c>
      <c r="G597" t="inlineStr">
        <is>
          <t>FB03686573</t>
        </is>
      </c>
      <c r="H597" t="inlineStr">
        <is>
          <t>cus_ee0cc57cfefa</t>
        </is>
      </c>
      <c r="I597" t="inlineStr">
        <is>
          <t>聖洋科技股份有限公司</t>
        </is>
      </c>
      <c r="J597" t="inlineStr">
        <is>
          <t>28112580</t>
        </is>
      </c>
      <c r="K597" t="n">
        <v>51023</v>
      </c>
      <c r="L597" t="n">
        <v>53574</v>
      </c>
      <c r="M597" t="inlineStr">
        <is>
          <t>發票數據受眾包</t>
        </is>
      </c>
      <c r="N597" t="inlineStr">
        <is>
          <t>蔡念瑾 Candie</t>
        </is>
      </c>
      <c r="O597" t="inlineStr">
        <is>
          <t>台北市大安區基隆路二段172-1號13樓</t>
        </is>
      </c>
      <c r="P597" t="inlineStr">
        <is>
          <t>candie@cacafly.com</t>
        </is>
      </c>
      <c r="Q597" t="inlineStr">
        <is>
          <t>(02)6631-5699 #991</t>
        </is>
      </c>
      <c r="R597" t="inlineStr"/>
      <c r="S597" t="inlineStr">
        <is>
          <t>已收款</t>
        </is>
      </c>
      <c r="T597" t="inlineStr">
        <is>
          <t>大紅麴
來源：單次型發票及收款紀錄 第 116 列</t>
        </is>
      </c>
      <c r="U597" t="inlineStr"/>
      <c r="V597" t="inlineStr">
        <is>
          <t>2026-05-18</t>
        </is>
      </c>
    </row>
    <row r="598">
      <c r="A598" t="inlineStr">
        <is>
          <t>inv_95e8fa2cf2ba</t>
        </is>
      </c>
      <c r="B598" t="inlineStr">
        <is>
          <t>劉泳成</t>
        </is>
      </c>
      <c r="C598" t="inlineStr">
        <is>
          <t>2025-02-27</t>
        </is>
      </c>
      <c r="D598" t="inlineStr">
        <is>
          <t>2494099</t>
        </is>
      </c>
      <c r="E598" t="inlineStr"/>
      <c r="F598" t="inlineStr">
        <is>
          <t>2025-01-06</t>
        </is>
      </c>
      <c r="G598" t="inlineStr">
        <is>
          <t>JY43826895</t>
        </is>
      </c>
      <c r="H598" t="inlineStr">
        <is>
          <t>cus_ee0cc57cfefa</t>
        </is>
      </c>
      <c r="I598" t="inlineStr">
        <is>
          <t>聖洋科技股份有限公司</t>
        </is>
      </c>
      <c r="J598" t="inlineStr">
        <is>
          <t>28112580</t>
        </is>
      </c>
      <c r="K598" t="n">
        <v>25278</v>
      </c>
      <c r="L598" t="n">
        <v>26542</v>
      </c>
      <c r="M598" t="inlineStr">
        <is>
          <t>發票數據受眾包</t>
        </is>
      </c>
      <c r="N598" t="inlineStr">
        <is>
          <t>蔡念瑾 Candie</t>
        </is>
      </c>
      <c r="O598" t="inlineStr">
        <is>
          <t>台北市大安區基隆路二段172-1號13樓</t>
        </is>
      </c>
      <c r="P598" t="inlineStr">
        <is>
          <t>candie@cacafly.com</t>
        </is>
      </c>
      <c r="Q598" t="inlineStr">
        <is>
          <t>(02)6631-5699 #991</t>
        </is>
      </c>
      <c r="R598" t="inlineStr"/>
      <c r="S598" t="inlineStr">
        <is>
          <t>已收款</t>
        </is>
      </c>
      <c r="T598" t="inlineStr">
        <is>
          <t>滴雞精與美妍飲
來源：單次型發票及收款紀錄 第 117 列</t>
        </is>
      </c>
      <c r="U598" t="inlineStr"/>
      <c r="V598" t="inlineStr">
        <is>
          <t>2026-05-18</t>
        </is>
      </c>
    </row>
    <row r="599">
      <c r="A599" t="inlineStr">
        <is>
          <t>inv_c8603b6d11df</t>
        </is>
      </c>
      <c r="B599" t="inlineStr">
        <is>
          <t>Erin</t>
        </is>
      </c>
      <c r="C599" t="inlineStr">
        <is>
          <t>2025-05-27</t>
        </is>
      </c>
      <c r="D599" t="inlineStr">
        <is>
          <t>2588202</t>
        </is>
      </c>
      <c r="E599" t="inlineStr"/>
      <c r="F599" t="inlineStr">
        <is>
          <t>2025-04-07</t>
        </is>
      </c>
      <c r="G599" t="inlineStr">
        <is>
          <t>LY43855897</t>
        </is>
      </c>
      <c r="H599" t="inlineStr">
        <is>
          <t>cus_ee0cc57cfefa</t>
        </is>
      </c>
      <c r="I599" t="inlineStr">
        <is>
          <t>聖洋科技股份有限公司</t>
        </is>
      </c>
      <c r="J599" t="inlineStr">
        <is>
          <t>28112580</t>
        </is>
      </c>
      <c r="K599" t="n">
        <v>80000</v>
      </c>
      <c r="L599" t="n">
        <v>84000</v>
      </c>
      <c r="M599" t="inlineStr">
        <is>
          <t>發票數據受眾包</t>
        </is>
      </c>
      <c r="N599" t="inlineStr">
        <is>
          <t>蔡念瑾 Candie</t>
        </is>
      </c>
      <c r="O599" t="inlineStr">
        <is>
          <t>台北市大安區基隆路二段172-1號13樓</t>
        </is>
      </c>
      <c r="P599" t="inlineStr">
        <is>
          <t>candie@cacafly.com</t>
        </is>
      </c>
      <c r="Q599" t="inlineStr">
        <is>
          <t>(02)6631-5699 #991</t>
        </is>
      </c>
      <c r="R599" t="inlineStr"/>
      <c r="S599" t="inlineStr">
        <is>
          <t>已收款</t>
        </is>
      </c>
      <c r="T599" t="inlineStr">
        <is>
          <t>海外旅遊
來源：單次型發票及收款紀錄 第 118 列</t>
        </is>
      </c>
      <c r="U599" t="inlineStr">
        <is>
          <t>月結45天</t>
        </is>
      </c>
      <c r="V599" t="inlineStr">
        <is>
          <t>2026-05-18</t>
        </is>
      </c>
    </row>
    <row r="600">
      <c r="A600" t="inlineStr">
        <is>
          <t>inv_6b093185881f</t>
        </is>
      </c>
      <c r="B600" t="inlineStr">
        <is>
          <t>Kate</t>
        </is>
      </c>
      <c r="C600" t="inlineStr">
        <is>
          <t>10/7折讓</t>
        </is>
      </c>
      <c r="D600" t="inlineStr">
        <is>
          <t>2687009</t>
        </is>
      </c>
      <c r="E600" t="inlineStr"/>
      <c r="F600" t="inlineStr">
        <is>
          <t>2025-07-04</t>
        </is>
      </c>
      <c r="G600" t="inlineStr">
        <is>
          <t>QY43825314</t>
        </is>
      </c>
      <c r="H600" t="inlineStr">
        <is>
          <t>cus_ee0cc57cfefa</t>
        </is>
      </c>
      <c r="I600" t="inlineStr">
        <is>
          <t>聖洋科技股份有限公司</t>
        </is>
      </c>
      <c r="J600" t="inlineStr">
        <is>
          <t>28112580</t>
        </is>
      </c>
      <c r="K600" t="n">
        <v>15000</v>
      </c>
      <c r="L600" t="n">
        <v>15750</v>
      </c>
      <c r="M600" t="inlineStr">
        <is>
          <t>發票數據受眾包</t>
        </is>
      </c>
      <c r="N600" t="inlineStr">
        <is>
          <t>Aaron Lee  李子賢</t>
        </is>
      </c>
      <c r="O600" t="inlineStr">
        <is>
          <t>台北市大安區基隆路二段172-1號13樓</t>
        </is>
      </c>
      <c r="P600" t="inlineStr">
        <is>
          <t>aaron.lee@cacafly.com</t>
        </is>
      </c>
      <c r="Q600" t="inlineStr">
        <is>
          <t>(02)6631-5699 #954</t>
        </is>
      </c>
      <c r="R600" t="inlineStr"/>
      <c r="S600" t="inlineStr">
        <is>
          <t>已收款</t>
        </is>
      </c>
      <c r="T600" t="inlineStr">
        <is>
          <t>來源：單次型發票及收款紀錄 第 119 列</t>
        </is>
      </c>
      <c r="U600" t="inlineStr">
        <is>
          <t>月結45天</t>
        </is>
      </c>
      <c r="V600" t="inlineStr">
        <is>
          <t>2026-05-18</t>
        </is>
      </c>
    </row>
    <row r="601">
      <c r="A601" t="inlineStr">
        <is>
          <t>inv_b66308abe1cd</t>
        </is>
      </c>
      <c r="B601" t="inlineStr">
        <is>
          <t>Kate</t>
        </is>
      </c>
      <c r="C601" t="inlineStr">
        <is>
          <t>2025-10-27</t>
        </is>
      </c>
      <c r="D601" t="inlineStr">
        <is>
          <t>2761797</t>
        </is>
      </c>
      <c r="E601" t="inlineStr"/>
      <c r="F601" t="inlineStr">
        <is>
          <t>2025-09-05</t>
        </is>
      </c>
      <c r="G601" t="inlineStr"/>
      <c r="H601" t="inlineStr">
        <is>
          <t>cus_ee0cc57cfefa</t>
        </is>
      </c>
      <c r="I601" t="inlineStr">
        <is>
          <t>聖洋科技股份有限公司</t>
        </is>
      </c>
      <c r="J601" t="inlineStr">
        <is>
          <t>28112580</t>
        </is>
      </c>
      <c r="K601" t="n">
        <v>51000</v>
      </c>
      <c r="L601" t="n">
        <v>53550</v>
      </c>
      <c r="M601" t="inlineStr">
        <is>
          <t>發票數據受眾包</t>
        </is>
      </c>
      <c r="N601" t="inlineStr">
        <is>
          <t>蔡念瑾 Candie</t>
        </is>
      </c>
      <c r="O601" t="inlineStr">
        <is>
          <t>台北市大安區基隆路二段172-1號13樓</t>
        </is>
      </c>
      <c r="P601" t="inlineStr">
        <is>
          <t>candie@cacafly.com</t>
        </is>
      </c>
      <c r="Q601" t="inlineStr">
        <is>
          <t>(02)6631-5699 #991</t>
        </is>
      </c>
      <c r="R601" t="inlineStr"/>
      <c r="S601" t="inlineStr">
        <is>
          <t>已收款</t>
        </is>
      </c>
      <c r="T601" t="inlineStr">
        <is>
          <t>cacafly
來源：單次型發票及收款紀錄 第 120 列</t>
        </is>
      </c>
      <c r="U601" t="inlineStr">
        <is>
          <t>月結45天</t>
        </is>
      </c>
      <c r="V601" t="inlineStr">
        <is>
          <t>2026-05-18</t>
        </is>
      </c>
    </row>
    <row r="602">
      <c r="A602" t="inlineStr">
        <is>
          <t>inv_bff507d37a13</t>
        </is>
      </c>
      <c r="B602" t="inlineStr">
        <is>
          <t>Kate</t>
        </is>
      </c>
      <c r="C602" t="inlineStr">
        <is>
          <t>2025-11-12</t>
        </is>
      </c>
      <c r="D602" t="inlineStr">
        <is>
          <t>2800498</t>
        </is>
      </c>
      <c r="E602" t="inlineStr"/>
      <c r="F602" t="inlineStr">
        <is>
          <t>2025-10-09</t>
        </is>
      </c>
      <c r="G602" t="inlineStr">
        <is>
          <t>折讓QY43825314重開</t>
        </is>
      </c>
      <c r="H602" t="inlineStr">
        <is>
          <t>cus_ee0cc57cfefa</t>
        </is>
      </c>
      <c r="I602" t="inlineStr">
        <is>
          <t>聖洋科技股份有限公司</t>
        </is>
      </c>
      <c r="J602" t="inlineStr">
        <is>
          <t>28112580</t>
        </is>
      </c>
      <c r="K602" t="n">
        <v>15000</v>
      </c>
      <c r="L602" t="n">
        <v>15750</v>
      </c>
      <c r="M602" t="inlineStr">
        <is>
          <t>發票數據受眾包</t>
        </is>
      </c>
      <c r="N602" t="inlineStr">
        <is>
          <t>Aaron Lee  李子賢</t>
        </is>
      </c>
      <c r="O602" t="inlineStr">
        <is>
          <t>台北市大安區基隆路二段172-1號13樓</t>
        </is>
      </c>
      <c r="P602" t="inlineStr">
        <is>
          <t>aaron.lee@cacafly.com</t>
        </is>
      </c>
      <c r="Q602" t="inlineStr">
        <is>
          <t>(02)6631-5699 #954</t>
        </is>
      </c>
      <c r="R602" t="inlineStr"/>
      <c r="S602" t="inlineStr">
        <is>
          <t>已收款</t>
        </is>
      </c>
      <c r="T602" t="inlineStr">
        <is>
          <t>汽車用戶
來源：單次型發票及收款紀錄 第 121 列</t>
        </is>
      </c>
      <c r="U602" t="inlineStr">
        <is>
          <t>月結45天</t>
        </is>
      </c>
      <c r="V602" t="inlineStr">
        <is>
          <t>2026-05-18</t>
        </is>
      </c>
    </row>
    <row r="603">
      <c r="A603" t="inlineStr">
        <is>
          <t>inv_5f7c8bbcdd72</t>
        </is>
      </c>
      <c r="B603" t="inlineStr">
        <is>
          <t>Erin</t>
        </is>
      </c>
      <c r="C603" t="inlineStr"/>
      <c r="D603" t="inlineStr">
        <is>
          <t>2615794</t>
        </is>
      </c>
      <c r="E603" t="inlineStr"/>
      <c r="F603" t="inlineStr">
        <is>
          <t>2025-05-05</t>
        </is>
      </c>
      <c r="G603" t="inlineStr">
        <is>
          <t>NY43825510</t>
        </is>
      </c>
      <c r="H603" t="inlineStr">
        <is>
          <t>cus_271b47ae9966</t>
        </is>
      </c>
      <c r="I603" t="inlineStr">
        <is>
          <t>翡麗嘉鉑精品有限公司</t>
        </is>
      </c>
      <c r="J603" t="inlineStr">
        <is>
          <t>00174574</t>
        </is>
      </c>
      <c r="K603" t="n">
        <v>5000</v>
      </c>
      <c r="L603" t="n">
        <v>5250</v>
      </c>
      <c r="M603" t="inlineStr">
        <is>
          <t>發票數據受眾包</t>
        </is>
      </c>
      <c r="N603" t="inlineStr">
        <is>
          <t>Crystal lee</t>
        </is>
      </c>
      <c r="O603" t="inlineStr">
        <is>
          <t>臺北市大安區忠孝東路3段211號5樓</t>
        </is>
      </c>
      <c r="P603" t="inlineStr">
        <is>
          <t>Crystallee0312@gmail.com</t>
        </is>
      </c>
      <c r="Q603" t="inlineStr">
        <is>
          <t>0916-828-707</t>
        </is>
      </c>
      <c r="R603" t="inlineStr"/>
      <c r="S603" t="inlineStr">
        <is>
          <t>未收款</t>
        </is>
      </c>
      <c r="T603" t="inlineStr">
        <is>
          <t>來源：單次型發票及收款紀錄 第 122 列</t>
        </is>
      </c>
      <c r="U603" t="inlineStr">
        <is>
          <t>收到發票隔月起30天</t>
        </is>
      </c>
      <c r="V603" t="inlineStr">
        <is>
          <t>2026-05-18</t>
        </is>
      </c>
    </row>
    <row r="604">
      <c r="A604" t="inlineStr">
        <is>
          <t>inv_a83518340a4b</t>
        </is>
      </c>
      <c r="B604" t="inlineStr">
        <is>
          <t>Kate</t>
        </is>
      </c>
      <c r="C604" t="inlineStr">
        <is>
          <t>2025-06-23</t>
        </is>
      </c>
      <c r="D604" t="inlineStr">
        <is>
          <t>2620515</t>
        </is>
      </c>
      <c r="E604" t="inlineStr"/>
      <c r="F604" t="inlineStr">
        <is>
          <t>2025-05-10</t>
        </is>
      </c>
      <c r="G604" t="inlineStr">
        <is>
          <t>NY43830506</t>
        </is>
      </c>
      <c r="H604" t="inlineStr">
        <is>
          <t>cus_817b2a2daf0f</t>
        </is>
      </c>
      <c r="I604" t="inlineStr">
        <is>
          <t>網讚策略有限公司</t>
        </is>
      </c>
      <c r="J604" t="inlineStr">
        <is>
          <t>54878456</t>
        </is>
      </c>
      <c r="K604" t="n">
        <v>50000</v>
      </c>
      <c r="L604" t="n">
        <v>52500</v>
      </c>
      <c r="M604" t="inlineStr">
        <is>
          <t>發票數據受眾包</t>
        </is>
      </c>
      <c r="N604" t="inlineStr">
        <is>
          <t>張芳齊 Scarlett</t>
        </is>
      </c>
      <c r="O604" t="inlineStr">
        <is>
          <t>220066 新北市板橋區四川路一段23號8樓</t>
        </is>
      </c>
      <c r="P604" t="inlineStr">
        <is>
          <t>scarlett@bestnet.com.tw</t>
        </is>
      </c>
      <c r="Q604" t="inlineStr">
        <is>
          <t>0975168181</t>
        </is>
      </c>
      <c r="R604" t="inlineStr"/>
      <c r="S604" t="inlineStr">
        <is>
          <t>已收款</t>
        </is>
      </c>
      <c r="T604" t="inlineStr">
        <is>
          <t>網讚
來源：單次型發票及收款紀錄 第 123 列</t>
        </is>
      </c>
      <c r="U604" t="inlineStr">
        <is>
          <t>月結60天</t>
        </is>
      </c>
      <c r="V604" t="inlineStr">
        <is>
          <t>2026-05-18</t>
        </is>
      </c>
    </row>
    <row r="605">
      <c r="A605" t="inlineStr">
        <is>
          <t>inv_4f1b9e48755f</t>
        </is>
      </c>
      <c r="B605" t="inlineStr">
        <is>
          <t>劉泳成</t>
        </is>
      </c>
      <c r="C605" t="inlineStr">
        <is>
          <t>2025-02-27</t>
        </is>
      </c>
      <c r="D605" t="inlineStr">
        <is>
          <t>2462688</t>
        </is>
      </c>
      <c r="E605" t="inlineStr"/>
      <c r="F605" t="inlineStr">
        <is>
          <t>2024-12-09</t>
        </is>
      </c>
      <c r="G605" t="inlineStr">
        <is>
          <t>HA03686686</t>
        </is>
      </c>
      <c r="H605" t="inlineStr">
        <is>
          <t>cus_83f1490839fe</t>
        </is>
      </c>
      <c r="I605" t="inlineStr">
        <is>
          <t>綠藤生物科技股份有限公司</t>
        </is>
      </c>
      <c r="J605" t="inlineStr">
        <is>
          <t>29142083</t>
        </is>
      </c>
      <c r="K605" t="n">
        <v>15000</v>
      </c>
      <c r="L605" t="n">
        <v>15750</v>
      </c>
      <c r="M605" t="inlineStr">
        <is>
          <t>發票數據受眾包</t>
        </is>
      </c>
      <c r="N605" t="inlineStr">
        <is>
          <t>Zina Cheng</t>
        </is>
      </c>
      <c r="O605" t="inlineStr">
        <is>
          <t>臺北市大安區敦化南路2段77號10樓之1</t>
        </is>
      </c>
      <c r="P605" t="inlineStr">
        <is>
          <t>zina.cheng@greenvines.com.tw</t>
        </is>
      </c>
      <c r="Q605" t="inlineStr">
        <is>
          <t>02-27076788</t>
        </is>
      </c>
      <c r="R605" t="inlineStr"/>
      <c r="S605" t="inlineStr">
        <is>
          <t>已收款</t>
        </is>
      </c>
      <c r="T605" t="inlineStr">
        <is>
          <t>十二月
來源：單次型發票及收款紀錄 第 124 列</t>
        </is>
      </c>
      <c r="U605" t="inlineStr">
        <is>
          <t>收到發票隔月起30天</t>
        </is>
      </c>
      <c r="V605" t="inlineStr">
        <is>
          <t>2026-05-18</t>
        </is>
      </c>
    </row>
    <row r="606">
      <c r="A606" t="inlineStr">
        <is>
          <t>inv_7206f724dd5c</t>
        </is>
      </c>
      <c r="B606" t="inlineStr">
        <is>
          <t>Cobi</t>
        </is>
      </c>
      <c r="C606" t="inlineStr">
        <is>
          <t>2025-04-30</t>
        </is>
      </c>
      <c r="D606" t="inlineStr">
        <is>
          <t>2523757</t>
        </is>
      </c>
      <c r="E606" t="inlineStr"/>
      <c r="F606" t="inlineStr">
        <is>
          <t>2025-02-04</t>
        </is>
      </c>
      <c r="G606" t="inlineStr">
        <is>
          <t>JY43853383</t>
        </is>
      </c>
      <c r="H606" t="inlineStr">
        <is>
          <t>cus_83f1490839fe</t>
        </is>
      </c>
      <c r="I606" t="inlineStr">
        <is>
          <t>綠藤生物科技股份有限公司</t>
        </is>
      </c>
      <c r="J606" t="inlineStr">
        <is>
          <t>29142083</t>
        </is>
      </c>
      <c r="K606" t="n">
        <v>6632</v>
      </c>
      <c r="L606" t="n">
        <v>6964</v>
      </c>
      <c r="M606" t="inlineStr">
        <is>
          <t>發票數據受眾包</t>
        </is>
      </c>
      <c r="N606" t="inlineStr">
        <is>
          <t>Amber Su 蘇祐瑩</t>
        </is>
      </c>
      <c r="O606" t="inlineStr">
        <is>
          <t>臺北市大安區敦化南路2段77號10樓之1</t>
        </is>
      </c>
      <c r="P606" t="inlineStr">
        <is>
          <t>amber.su@greenvines.com.tw</t>
        </is>
      </c>
      <c r="Q606" t="inlineStr">
        <is>
          <t>02-27076788</t>
        </is>
      </c>
      <c r="R606" t="inlineStr"/>
      <c r="S606" t="inlineStr">
        <is>
          <t>已收款</t>
        </is>
      </c>
      <c r="T606" t="inlineStr">
        <is>
          <t>一月
來源：單次型發票及收款紀錄 第 125 列</t>
        </is>
      </c>
      <c r="U606" t="inlineStr">
        <is>
          <t>收到發票隔月起30天</t>
        </is>
      </c>
      <c r="V606" t="inlineStr">
        <is>
          <t>2026-05-18</t>
        </is>
      </c>
    </row>
    <row r="607">
      <c r="A607" t="inlineStr">
        <is>
          <t>inv_f7b5c68eba1c</t>
        </is>
      </c>
      <c r="B607" t="inlineStr">
        <is>
          <t>Peggy</t>
        </is>
      </c>
      <c r="C607" t="inlineStr">
        <is>
          <t>2025-09-09</t>
        </is>
      </c>
      <c r="D607" t="inlineStr">
        <is>
          <t>2761813</t>
        </is>
      </c>
      <c r="E607" t="inlineStr"/>
      <c r="F607" t="inlineStr">
        <is>
          <t>2025-09-05</t>
        </is>
      </c>
      <c r="G607" t="inlineStr"/>
      <c r="H607" t="inlineStr">
        <is>
          <t>cus_b2d0dc459739</t>
        </is>
      </c>
      <c r="I607" t="inlineStr">
        <is>
          <t>米蘭時尚診所</t>
        </is>
      </c>
      <c r="J607" t="inlineStr">
        <is>
          <t>10903344</t>
        </is>
      </c>
      <c r="K607" t="n">
        <v>50000</v>
      </c>
      <c r="L607" t="n">
        <v>52500</v>
      </c>
      <c r="M607" t="inlineStr">
        <is>
          <t>發票數據受眾包</t>
        </is>
      </c>
      <c r="N607" t="inlineStr">
        <is>
          <t>白佩靈</t>
        </is>
      </c>
      <c r="O607" t="inlineStr">
        <is>
          <t>台中市西屯區惠中六街1號</t>
        </is>
      </c>
      <c r="P607" t="inlineStr">
        <is>
          <t>milanopaipai@gmail.com</t>
        </is>
      </c>
      <c r="Q607" t="inlineStr">
        <is>
          <t>04-22589222</t>
        </is>
      </c>
      <c r="R607" t="inlineStr"/>
      <c r="S607" t="inlineStr">
        <is>
          <t>已收款</t>
        </is>
      </c>
      <c r="T607" t="inlineStr">
        <is>
          <t>受眾包買斷
來源：單次型發票及收款紀錄 第 126 列</t>
        </is>
      </c>
      <c r="U607" t="inlineStr">
        <is>
          <t>預付</t>
        </is>
      </c>
      <c r="V607" t="inlineStr">
        <is>
          <t>2026-05-18</t>
        </is>
      </c>
    </row>
    <row r="608">
      <c r="A608" t="inlineStr">
        <is>
          <t>inv_ec93ef9236eb</t>
        </is>
      </c>
      <c r="B608" t="inlineStr">
        <is>
          <t>Cobi</t>
        </is>
      </c>
      <c r="C608" t="inlineStr">
        <is>
          <t>2024-12-25</t>
        </is>
      </c>
      <c r="D608" t="inlineStr">
        <is>
          <t>2462689</t>
        </is>
      </c>
      <c r="E608" t="inlineStr"/>
      <c r="F608" t="inlineStr">
        <is>
          <t>2024-12-09</t>
        </is>
      </c>
      <c r="G608" t="inlineStr">
        <is>
          <t>HA03686687</t>
        </is>
      </c>
      <c r="H608" t="inlineStr">
        <is>
          <t>cus_a63074f217c0</t>
        </is>
      </c>
      <c r="I608" t="inlineStr">
        <is>
          <t>第一電商有限公司</t>
        </is>
      </c>
      <c r="J608" t="inlineStr">
        <is>
          <t>12963120</t>
        </is>
      </c>
      <c r="K608" t="n">
        <v>0</v>
      </c>
      <c r="L608" t="n">
        <v>110000</v>
      </c>
      <c r="M608" t="inlineStr">
        <is>
          <t>發票API月租</t>
        </is>
      </c>
      <c r="N608" t="inlineStr">
        <is>
          <t>謝佩芳</t>
        </is>
      </c>
      <c r="O608" t="inlineStr">
        <is>
          <t>台北市士林區忠誠路一段63號7樓</t>
        </is>
      </c>
      <c r="P608" t="inlineStr">
        <is>
          <t>nicky.hsieh@gmail.com</t>
        </is>
      </c>
      <c r="Q608" t="inlineStr"/>
      <c r="R608" t="inlineStr"/>
      <c r="S608" t="inlineStr">
        <is>
          <t>已收款</t>
        </is>
      </c>
      <c r="T608" t="inlineStr">
        <is>
          <t>9-12月
來源：單次型發票及收款紀錄 第 127 列</t>
        </is>
      </c>
      <c r="U608" t="inlineStr">
        <is>
          <t>收到發票隔月起30天</t>
        </is>
      </c>
      <c r="V608" t="inlineStr">
        <is>
          <t>2026-05-18</t>
        </is>
      </c>
    </row>
    <row r="609">
      <c r="A609" t="inlineStr">
        <is>
          <t>inv_408e90bbe2f4</t>
        </is>
      </c>
      <c r="B609" t="inlineStr">
        <is>
          <t>Cobi</t>
        </is>
      </c>
      <c r="C609" t="inlineStr">
        <is>
          <t>2025-07-09</t>
        </is>
      </c>
      <c r="D609" t="inlineStr">
        <is>
          <t>2615789</t>
        </is>
      </c>
      <c r="E609" t="inlineStr"/>
      <c r="F609" t="inlineStr">
        <is>
          <t>2025-05-05</t>
        </is>
      </c>
      <c r="G609" t="inlineStr">
        <is>
          <t>NY43825505</t>
        </is>
      </c>
      <c r="H609" t="inlineStr">
        <is>
          <t>cus_a63074f217c0</t>
        </is>
      </c>
      <c r="I609" t="inlineStr">
        <is>
          <t>第一電商有限公司</t>
        </is>
      </c>
      <c r="J609" t="inlineStr">
        <is>
          <t>12963120</t>
        </is>
      </c>
      <c r="K609" t="n">
        <v>0</v>
      </c>
      <c r="L609" t="n">
        <v>75000</v>
      </c>
      <c r="M609" t="inlineStr">
        <is>
          <t>發票API月租</t>
        </is>
      </c>
      <c r="N609" t="inlineStr">
        <is>
          <t>謝佩芳</t>
        </is>
      </c>
      <c r="O609" t="inlineStr">
        <is>
          <t>台北市士林區忠誠路一段63號7樓</t>
        </is>
      </c>
      <c r="P609" t="inlineStr">
        <is>
          <t>nicky.hsieh@gmail.com</t>
        </is>
      </c>
      <c r="Q609" t="inlineStr"/>
      <c r="R609" t="inlineStr"/>
      <c r="S609" t="inlineStr">
        <is>
          <t>已收款</t>
        </is>
      </c>
      <c r="T609" t="inlineStr">
        <is>
          <t>9-12月
來源：單次型發票及收款紀錄 第 128 列</t>
        </is>
      </c>
      <c r="U609" t="inlineStr">
        <is>
          <t>收到發票隔月起30天</t>
        </is>
      </c>
      <c r="V609" t="inlineStr">
        <is>
          <t>2026-05-18</t>
        </is>
      </c>
    </row>
    <row r="610">
      <c r="A610" t="inlineStr">
        <is>
          <t>inv_8234be00b205</t>
        </is>
      </c>
      <c r="B610" t="inlineStr">
        <is>
          <t>Cobi</t>
        </is>
      </c>
      <c r="C610" t="inlineStr">
        <is>
          <t>2025-07-09</t>
        </is>
      </c>
      <c r="D610" t="inlineStr">
        <is>
          <t>2690445</t>
        </is>
      </c>
      <c r="E610" t="inlineStr"/>
      <c r="F610" t="inlineStr">
        <is>
          <t>2025-07-08</t>
        </is>
      </c>
      <c r="G610" t="inlineStr">
        <is>
          <t>QY43829160</t>
        </is>
      </c>
      <c r="H610" t="inlineStr">
        <is>
          <t>cus_a63074f217c0</t>
        </is>
      </c>
      <c r="I610" t="inlineStr">
        <is>
          <t>第一電商有限公司</t>
        </is>
      </c>
      <c r="J610" t="inlineStr">
        <is>
          <t>12963120</t>
        </is>
      </c>
      <c r="K610" t="n">
        <v>0</v>
      </c>
      <c r="L610" t="n">
        <v>75000</v>
      </c>
      <c r="M610" t="inlineStr">
        <is>
          <t>發票API月租</t>
        </is>
      </c>
      <c r="N610" t="inlineStr">
        <is>
          <t>謝佩芳</t>
        </is>
      </c>
      <c r="O610" t="inlineStr">
        <is>
          <t>台北市士林區忠誠路一段63號7樓</t>
        </is>
      </c>
      <c r="P610" t="inlineStr">
        <is>
          <t>nicky.hsieh@gmail.com</t>
        </is>
      </c>
      <c r="Q610" t="inlineStr"/>
      <c r="R610" t="inlineStr"/>
      <c r="S610" t="inlineStr">
        <is>
          <t>已收款</t>
        </is>
      </c>
      <c r="T610" t="inlineStr">
        <is>
          <t>4-6月
來源：單次型發票及收款紀錄 第 129 列</t>
        </is>
      </c>
      <c r="U610" t="inlineStr">
        <is>
          <t>收到發票隔月起30天</t>
        </is>
      </c>
      <c r="V610" t="inlineStr">
        <is>
          <t>2026-05-18</t>
        </is>
      </c>
    </row>
    <row r="611">
      <c r="A611" t="inlineStr">
        <is>
          <t>inv_e4e19450b18d</t>
        </is>
      </c>
      <c r="B611" t="inlineStr">
        <is>
          <t>Cobi</t>
        </is>
      </c>
      <c r="C611" t="inlineStr">
        <is>
          <t>2025-07-23</t>
        </is>
      </c>
      <c r="D611" t="inlineStr">
        <is>
          <t>2708461</t>
        </is>
      </c>
      <c r="E611" t="inlineStr"/>
      <c r="F611" t="inlineStr">
        <is>
          <t>2025-07-24</t>
        </is>
      </c>
      <c r="G611" t="inlineStr"/>
      <c r="H611" t="inlineStr">
        <is>
          <t>cus_a63074f217c0</t>
        </is>
      </c>
      <c r="I611" t="inlineStr">
        <is>
          <t>第一電商有限公司</t>
        </is>
      </c>
      <c r="J611" t="inlineStr">
        <is>
          <t>12963120</t>
        </is>
      </c>
      <c r="K611" t="n">
        <v>0</v>
      </c>
      <c r="L611" t="n">
        <v>156000</v>
      </c>
      <c r="M611" t="inlineStr">
        <is>
          <t>發票API月租</t>
        </is>
      </c>
      <c r="N611" t="inlineStr">
        <is>
          <t>謝佩芳</t>
        </is>
      </c>
      <c r="O611" t="inlineStr">
        <is>
          <t>台北市士林區忠誠路一段63號7樓</t>
        </is>
      </c>
      <c r="P611" t="inlineStr">
        <is>
          <t>nicky.hsieh@gmail.com</t>
        </is>
      </c>
      <c r="Q611" t="inlineStr"/>
      <c r="R611" t="inlineStr"/>
      <c r="S611" t="inlineStr">
        <is>
          <t>已收款</t>
        </is>
      </c>
      <c r="T611" t="inlineStr">
        <is>
          <t>07-12月
來源：單次型發票及收款紀錄 第 130 列</t>
        </is>
      </c>
      <c r="U611" t="inlineStr">
        <is>
          <t>收到發票隔月起30天</t>
        </is>
      </c>
      <c r="V611" t="inlineStr">
        <is>
          <t>2026-05-18</t>
        </is>
      </c>
    </row>
    <row r="612">
      <c r="A612" t="inlineStr">
        <is>
          <t>inv_478c5827f213</t>
        </is>
      </c>
      <c r="B612" t="inlineStr">
        <is>
          <t>Kate</t>
        </is>
      </c>
      <c r="C612" t="inlineStr">
        <is>
          <t>2025-09-30</t>
        </is>
      </c>
      <c r="D612" t="inlineStr">
        <is>
          <t>2720595</t>
        </is>
      </c>
      <c r="E612" t="inlineStr"/>
      <c r="F612" t="inlineStr">
        <is>
          <t>2025-08-04</t>
        </is>
      </c>
      <c r="G612" t="inlineStr"/>
      <c r="H612" t="inlineStr">
        <is>
          <t>cus_4a584ce53c9f</t>
        </is>
      </c>
      <c r="I612" t="inlineStr">
        <is>
          <t>立視科技股份有限公司</t>
        </is>
      </c>
      <c r="J612" t="inlineStr">
        <is>
          <t>28715392</t>
        </is>
      </c>
      <c r="K612" t="n">
        <v>60000</v>
      </c>
      <c r="L612" t="n">
        <v>63000</v>
      </c>
      <c r="M612" t="inlineStr">
        <is>
          <t>投後分析X2</t>
        </is>
      </c>
      <c r="N612" t="inlineStr">
        <is>
          <t>Evelyn Lin</t>
        </is>
      </c>
      <c r="O612" t="inlineStr">
        <is>
          <t>台北市松山區八德路四段760號6樓</t>
        </is>
      </c>
      <c r="P612" t="inlineStr">
        <is>
          <t>evelyn.lin@tgc-taiwan.com.tw</t>
        </is>
      </c>
      <c r="Q612" t="inlineStr">
        <is>
          <t>02-2769-0188#333</t>
        </is>
      </c>
      <c r="R612" t="inlineStr"/>
      <c r="S612" t="inlineStr">
        <is>
          <t>已收款</t>
        </is>
      </c>
      <c r="T612" t="inlineStr">
        <is>
          <t>litv投後分析(啟賦、得意的一天)
來源：單次型發票及收款紀錄 第 131 列</t>
        </is>
      </c>
      <c r="U612" t="inlineStr"/>
      <c r="V612" t="inlineStr">
        <is>
          <t>2026-05-18</t>
        </is>
      </c>
    </row>
    <row r="613">
      <c r="A613" t="inlineStr">
        <is>
          <t>inv_49f579efb911</t>
        </is>
      </c>
      <c r="B613" t="inlineStr">
        <is>
          <t>Kate</t>
        </is>
      </c>
      <c r="C613" t="inlineStr">
        <is>
          <t>2026-01-30</t>
        </is>
      </c>
      <c r="D613" t="inlineStr">
        <is>
          <t>2829113</t>
        </is>
      </c>
      <c r="E613" t="inlineStr"/>
      <c r="F613" t="inlineStr">
        <is>
          <t>2025-11-05</t>
        </is>
      </c>
      <c r="G613" t="inlineStr"/>
      <c r="H613" t="inlineStr">
        <is>
          <t>cus_4a584ce53c9f</t>
        </is>
      </c>
      <c r="I613" t="inlineStr">
        <is>
          <t>立視科技股份有限公司</t>
        </is>
      </c>
      <c r="J613" t="inlineStr">
        <is>
          <t>28715392</t>
        </is>
      </c>
      <c r="K613" t="n">
        <v>30000</v>
      </c>
      <c r="L613" t="n">
        <v>31500</v>
      </c>
      <c r="M613" t="inlineStr">
        <is>
          <t>投後分析</t>
        </is>
      </c>
      <c r="N613" t="inlineStr">
        <is>
          <t>Evelyn Lin</t>
        </is>
      </c>
      <c r="O613" t="inlineStr">
        <is>
          <t>台北市松山區八德路四段760號6樓</t>
        </is>
      </c>
      <c r="P613" t="inlineStr">
        <is>
          <t>evelyn.lin@tgc-taiwan.com.tw</t>
        </is>
      </c>
      <c r="Q613" t="inlineStr">
        <is>
          <t>02-2769-0188#333</t>
        </is>
      </c>
      <c r="R613" t="inlineStr"/>
      <c r="S613" t="inlineStr">
        <is>
          <t>已收款</t>
        </is>
      </c>
      <c r="T613" t="inlineStr">
        <is>
          <t>litv投後分析(妮維雅)
來源：單次型發票及收款紀錄 第 132 列</t>
        </is>
      </c>
      <c r="U613" t="inlineStr">
        <is>
          <t>2026一月底付款</t>
        </is>
      </c>
      <c r="V613" t="inlineStr">
        <is>
          <t>2026-05-18</t>
        </is>
      </c>
    </row>
    <row r="614">
      <c r="A614" t="inlineStr">
        <is>
          <t>inv_99676164dc2a</t>
        </is>
      </c>
      <c r="B614" t="inlineStr">
        <is>
          <t>黃思睿</t>
        </is>
      </c>
      <c r="C614" t="inlineStr">
        <is>
          <t>2024-01-25</t>
        </is>
      </c>
      <c r="D614" t="inlineStr">
        <is>
          <t>2046050</t>
        </is>
      </c>
      <c r="E614" t="inlineStr">
        <is>
          <t>2024.01.04</t>
        </is>
      </c>
      <c r="F614" t="inlineStr">
        <is>
          <t>2024-01-10</t>
        </is>
      </c>
      <c r="G614" t="inlineStr">
        <is>
          <t>XE03656426</t>
        </is>
      </c>
      <c r="H614" t="inlineStr">
        <is>
          <t>cus_2397e7849eba</t>
        </is>
      </c>
      <c r="I614" t="inlineStr">
        <is>
          <t>睿鼎數位股份有限公司</t>
        </is>
      </c>
      <c r="J614" t="inlineStr">
        <is>
          <t>42837620</t>
        </is>
      </c>
      <c r="K614" t="n">
        <v>19048</v>
      </c>
      <c r="L614" t="n">
        <v>20000</v>
      </c>
      <c r="M614" t="inlineStr">
        <is>
          <t>發票API月租</t>
        </is>
      </c>
      <c r="N614" t="inlineStr">
        <is>
          <t>羅聖耀</t>
        </is>
      </c>
      <c r="O614" t="inlineStr">
        <is>
          <t>台北市大安區信義路四段89-1號8樓</t>
        </is>
      </c>
      <c r="P614" t="inlineStr">
        <is>
          <t>davidlo@12cm.com.tw</t>
        </is>
      </c>
      <c r="Q614" t="inlineStr"/>
      <c r="R614" t="inlineStr"/>
      <c r="S614" t="inlineStr">
        <is>
          <t>已收款</t>
        </is>
      </c>
      <c r="T614" t="inlineStr">
        <is>
          <t>雀巢
來源：單次型發票及收款紀錄 第 133 列</t>
        </is>
      </c>
      <c r="U614" t="inlineStr">
        <is>
          <t>收到發票隔月起30天</t>
        </is>
      </c>
      <c r="V614" t="inlineStr">
        <is>
          <t>2026-05-18</t>
        </is>
      </c>
    </row>
    <row r="615">
      <c r="A615" t="inlineStr">
        <is>
          <t>inv_aa8a6392e540</t>
        </is>
      </c>
      <c r="B615" t="inlineStr">
        <is>
          <t>黃思睿</t>
        </is>
      </c>
      <c r="C615" t="inlineStr">
        <is>
          <t>2024-03-25</t>
        </is>
      </c>
      <c r="D615" t="inlineStr">
        <is>
          <t>2117280</t>
        </is>
      </c>
      <c r="E615" t="inlineStr">
        <is>
          <t>2024.02.19</t>
        </is>
      </c>
      <c r="F615" t="inlineStr">
        <is>
          <t>2024-03-08</t>
        </is>
      </c>
      <c r="G615" t="inlineStr">
        <is>
          <t>ZD03656432</t>
        </is>
      </c>
      <c r="H615" t="inlineStr">
        <is>
          <t>cus_2397e7849eba</t>
        </is>
      </c>
      <c r="I615" t="inlineStr">
        <is>
          <t>睿鼎數位股份有限公司</t>
        </is>
      </c>
      <c r="J615" t="inlineStr">
        <is>
          <t>42837620</t>
        </is>
      </c>
      <c r="K615" t="n">
        <v>19048</v>
      </c>
      <c r="L615" t="n">
        <v>20000</v>
      </c>
      <c r="M615" t="inlineStr">
        <is>
          <t>發票API月租</t>
        </is>
      </c>
      <c r="N615" t="inlineStr">
        <is>
          <t>羅聖耀</t>
        </is>
      </c>
      <c r="O615" t="inlineStr">
        <is>
          <t>台北市大安區信義路四段89-1號8樓</t>
        </is>
      </c>
      <c r="P615" t="inlineStr">
        <is>
          <t>davidlo@12cm.com.tw</t>
        </is>
      </c>
      <c r="Q615" t="inlineStr"/>
      <c r="R615" t="inlineStr"/>
      <c r="S615" t="inlineStr">
        <is>
          <t>已收款</t>
        </is>
      </c>
      <c r="T615" t="inlineStr">
        <is>
          <t>雀巢
來源：單次型發票及收款紀錄 第 134 列</t>
        </is>
      </c>
      <c r="U615" t="inlineStr">
        <is>
          <t>收到發票隔月起30天</t>
        </is>
      </c>
      <c r="V615" t="inlineStr">
        <is>
          <t>2026-05-18</t>
        </is>
      </c>
    </row>
    <row r="616">
      <c r="A616" t="inlineStr">
        <is>
          <t>inv_c2d8b312691f</t>
        </is>
      </c>
      <c r="B616" t="inlineStr">
        <is>
          <t>黃思睿</t>
        </is>
      </c>
      <c r="C616" t="inlineStr">
        <is>
          <t>2024-03-25</t>
        </is>
      </c>
      <c r="D616" t="inlineStr">
        <is>
          <t>2117283</t>
        </is>
      </c>
      <c r="E616" t="inlineStr">
        <is>
          <t>2024.03.08</t>
        </is>
      </c>
      <c r="F616" t="inlineStr">
        <is>
          <t>2024-03-08</t>
        </is>
      </c>
      <c r="G616" t="inlineStr">
        <is>
          <t>ZD03656435</t>
        </is>
      </c>
      <c r="H616" t="inlineStr">
        <is>
          <t>cus_2397e7849eba</t>
        </is>
      </c>
      <c r="I616" t="inlineStr">
        <is>
          <t>睿鼎數位股份有限公司</t>
        </is>
      </c>
      <c r="J616" t="inlineStr">
        <is>
          <t>42837620</t>
        </is>
      </c>
      <c r="K616" t="n">
        <v>19048</v>
      </c>
      <c r="L616" t="n">
        <v>20000</v>
      </c>
      <c r="M616" t="inlineStr">
        <is>
          <t>發票API月租</t>
        </is>
      </c>
      <c r="N616" t="inlineStr">
        <is>
          <t>羅聖耀</t>
        </is>
      </c>
      <c r="O616" t="inlineStr">
        <is>
          <t>台北市大安區信義路四段89-1號8樓</t>
        </is>
      </c>
      <c r="P616" t="inlineStr">
        <is>
          <t>davidlo@12cm.com.tw</t>
        </is>
      </c>
      <c r="Q616" t="inlineStr"/>
      <c r="R616" t="inlineStr"/>
      <c r="S616" t="inlineStr">
        <is>
          <t>已收款</t>
        </is>
      </c>
      <c r="T616" t="inlineStr">
        <is>
          <t>雀巢
來源：單次型發票及收款紀錄 第 135 列</t>
        </is>
      </c>
      <c r="U616" t="inlineStr">
        <is>
          <t>收到發票隔月起30天</t>
        </is>
      </c>
      <c r="V616" t="inlineStr">
        <is>
          <t>2026-05-18</t>
        </is>
      </c>
    </row>
    <row r="617">
      <c r="A617" t="inlineStr">
        <is>
          <t>inv_e7e6ef38ee65</t>
        </is>
      </c>
      <c r="B617" t="inlineStr">
        <is>
          <t>黃思睿</t>
        </is>
      </c>
      <c r="C617" t="inlineStr">
        <is>
          <t>2024-04-25</t>
        </is>
      </c>
      <c r="D617" t="inlineStr">
        <is>
          <t>2165977</t>
        </is>
      </c>
      <c r="E617" t="inlineStr"/>
      <c r="F617" t="inlineStr">
        <is>
          <t>2024-04-11</t>
        </is>
      </c>
      <c r="G617" t="inlineStr">
        <is>
          <t>ZD03696459</t>
        </is>
      </c>
      <c r="H617" t="inlineStr">
        <is>
          <t>cus_2397e7849eba</t>
        </is>
      </c>
      <c r="I617" t="inlineStr">
        <is>
          <t>睿鼎數位股份有限公司</t>
        </is>
      </c>
      <c r="J617" t="inlineStr">
        <is>
          <t>42837620</t>
        </is>
      </c>
      <c r="K617" t="n">
        <v>19048</v>
      </c>
      <c r="L617" t="n">
        <v>20000</v>
      </c>
      <c r="M617" t="inlineStr">
        <is>
          <t>發票API月租</t>
        </is>
      </c>
      <c r="N617" t="inlineStr">
        <is>
          <t>羅聖耀</t>
        </is>
      </c>
      <c r="O617" t="inlineStr">
        <is>
          <t>台北市大安區信義路四段89-1號8樓</t>
        </is>
      </c>
      <c r="P617" t="inlineStr">
        <is>
          <t>davidlo@12cm.com.tw</t>
        </is>
      </c>
      <c r="Q617" t="inlineStr"/>
      <c r="R617" t="inlineStr"/>
      <c r="S617" t="inlineStr">
        <is>
          <t>已收款</t>
        </is>
      </c>
      <c r="T617" t="inlineStr">
        <is>
          <t>雀巢
來源：單次型發票及收款紀錄 第 136 列</t>
        </is>
      </c>
      <c r="U617" t="inlineStr">
        <is>
          <t>收到發票隔月起30天</t>
        </is>
      </c>
      <c r="V617" t="inlineStr">
        <is>
          <t>2026-05-18</t>
        </is>
      </c>
    </row>
    <row r="618">
      <c r="A618" t="inlineStr">
        <is>
          <t>inv_0b5429314831</t>
        </is>
      </c>
      <c r="B618" t="inlineStr">
        <is>
          <t>黃思睿</t>
        </is>
      </c>
      <c r="C618" t="inlineStr">
        <is>
          <t>2024-05-25</t>
        </is>
      </c>
      <c r="D618" t="inlineStr">
        <is>
          <t>2200386</t>
        </is>
      </c>
      <c r="E618" t="inlineStr"/>
      <c r="F618" t="inlineStr">
        <is>
          <t>2024-05-07</t>
        </is>
      </c>
      <c r="G618" t="inlineStr">
        <is>
          <t>BD03653735</t>
        </is>
      </c>
      <c r="H618" t="inlineStr">
        <is>
          <t>cus_2397e7849eba</t>
        </is>
      </c>
      <c r="I618" t="inlineStr">
        <is>
          <t>睿鼎數位股份有限公司</t>
        </is>
      </c>
      <c r="J618" t="inlineStr">
        <is>
          <t>42837620</t>
        </is>
      </c>
      <c r="K618" t="n">
        <v>19048</v>
      </c>
      <c r="L618" t="n">
        <v>20000</v>
      </c>
      <c r="M618" t="inlineStr">
        <is>
          <t>發票API月租</t>
        </is>
      </c>
      <c r="N618" t="inlineStr">
        <is>
          <t>羅聖耀</t>
        </is>
      </c>
      <c r="O618" t="inlineStr">
        <is>
          <t>台北市大安區信義路四段89-1號8樓</t>
        </is>
      </c>
      <c r="P618" t="inlineStr">
        <is>
          <t>davidlo@12cm.com.tw</t>
        </is>
      </c>
      <c r="Q618" t="inlineStr"/>
      <c r="R618" t="inlineStr"/>
      <c r="S618" t="inlineStr">
        <is>
          <t>已收款</t>
        </is>
      </c>
      <c r="T618" t="inlineStr">
        <is>
          <t>雀巢
來源：單次型發票及收款紀錄 第 137 列</t>
        </is>
      </c>
      <c r="U618" t="inlineStr">
        <is>
          <t>收到發票隔月起30天</t>
        </is>
      </c>
      <c r="V618" t="inlineStr">
        <is>
          <t>2026-05-18</t>
        </is>
      </c>
    </row>
    <row r="619">
      <c r="A619" t="inlineStr">
        <is>
          <t>inv_7b0598203a3d</t>
        </is>
      </c>
      <c r="B619" t="inlineStr">
        <is>
          <t>黃思睿</t>
        </is>
      </c>
      <c r="C619" t="inlineStr">
        <is>
          <t>2024-06-25</t>
        </is>
      </c>
      <c r="D619" t="inlineStr">
        <is>
          <t>2246860</t>
        </is>
      </c>
      <c r="E619" t="inlineStr"/>
      <c r="F619" t="inlineStr">
        <is>
          <t>2024-06-06</t>
        </is>
      </c>
      <c r="G619" t="inlineStr">
        <is>
          <t>BD03695140</t>
        </is>
      </c>
      <c r="H619" t="inlineStr">
        <is>
          <t>cus_2397e7849eba</t>
        </is>
      </c>
      <c r="I619" t="inlineStr">
        <is>
          <t>睿鼎數位股份有限公司</t>
        </is>
      </c>
      <c r="J619" t="inlineStr">
        <is>
          <t>42837620</t>
        </is>
      </c>
      <c r="K619" t="n">
        <v>19048</v>
      </c>
      <c r="L619" t="n">
        <v>20000</v>
      </c>
      <c r="M619" t="inlineStr">
        <is>
          <t>發票API月租</t>
        </is>
      </c>
      <c r="N619" t="inlineStr">
        <is>
          <t>羅聖耀</t>
        </is>
      </c>
      <c r="O619" t="inlineStr">
        <is>
          <t>台北市大安區信義路四段89-1號8樓</t>
        </is>
      </c>
      <c r="P619" t="inlineStr">
        <is>
          <t>davidlo@12cm.com.tw</t>
        </is>
      </c>
      <c r="Q619" t="inlineStr"/>
      <c r="R619" t="inlineStr"/>
      <c r="S619" t="inlineStr">
        <is>
          <t>已收款</t>
        </is>
      </c>
      <c r="T619" t="inlineStr">
        <is>
          <t>雀巢
來源：單次型發票及收款紀錄 第 138 列</t>
        </is>
      </c>
      <c r="U619" t="inlineStr">
        <is>
          <t>收到發票隔月起30天</t>
        </is>
      </c>
      <c r="V619" t="inlineStr">
        <is>
          <t>2026-05-18</t>
        </is>
      </c>
    </row>
    <row r="620">
      <c r="A620" t="inlineStr">
        <is>
          <t>inv_e783b2a11c20</t>
        </is>
      </c>
      <c r="B620" t="inlineStr">
        <is>
          <t>黃思睿</t>
        </is>
      </c>
      <c r="C620" t="inlineStr">
        <is>
          <t>2024-06-25</t>
        </is>
      </c>
      <c r="D620" t="inlineStr">
        <is>
          <t>2246861</t>
        </is>
      </c>
      <c r="E620" t="inlineStr"/>
      <c r="F620" t="inlineStr">
        <is>
          <t>2024-06-06</t>
        </is>
      </c>
      <c r="G620" t="inlineStr">
        <is>
          <t>BD03695141</t>
        </is>
      </c>
      <c r="H620" t="inlineStr">
        <is>
          <t>cus_2397e7849eba</t>
        </is>
      </c>
      <c r="I620" t="inlineStr">
        <is>
          <t>睿鼎數位股份有限公司</t>
        </is>
      </c>
      <c r="J620" t="inlineStr">
        <is>
          <t>42837620</t>
        </is>
      </c>
      <c r="K620" t="n">
        <v>2857</v>
      </c>
      <c r="L620" t="n">
        <v>3000</v>
      </c>
      <c r="M620" t="inlineStr">
        <is>
          <t>發票數據受眾包</t>
        </is>
      </c>
      <c r="N620" t="inlineStr">
        <is>
          <t>羅聖耀</t>
        </is>
      </c>
      <c r="O620" t="inlineStr">
        <is>
          <t>台北市大安區信義路四段89-1號8樓</t>
        </is>
      </c>
      <c r="P620" t="inlineStr">
        <is>
          <t>davidlo@12cm.com.tw</t>
        </is>
      </c>
      <c r="Q620" t="inlineStr"/>
      <c r="R620" t="inlineStr"/>
      <c r="S620" t="inlineStr">
        <is>
          <t>已收款</t>
        </is>
      </c>
      <c r="T620" t="inlineStr">
        <is>
          <t>12CM受眾包
來源：單次型發票及收款紀錄 第 139 列</t>
        </is>
      </c>
      <c r="U620" t="inlineStr">
        <is>
          <t>收到發票隔月起30天</t>
        </is>
      </c>
      <c r="V620" t="inlineStr">
        <is>
          <t>2026-05-18</t>
        </is>
      </c>
    </row>
    <row r="621">
      <c r="A621" t="inlineStr">
        <is>
          <t>inv_d134bbca46fa</t>
        </is>
      </c>
      <c r="B621" t="inlineStr">
        <is>
          <t>黃思睿</t>
        </is>
      </c>
      <c r="C621" t="inlineStr">
        <is>
          <t>2024-07-26</t>
        </is>
      </c>
      <c r="D621" t="inlineStr">
        <is>
          <t>2287585</t>
        </is>
      </c>
      <c r="E621" t="inlineStr"/>
      <c r="F621" t="inlineStr">
        <is>
          <t>2024-07-05</t>
        </is>
      </c>
      <c r="G621" t="inlineStr">
        <is>
          <t>DC03652246</t>
        </is>
      </c>
      <c r="H621" t="inlineStr">
        <is>
          <t>cus_2397e7849eba</t>
        </is>
      </c>
      <c r="I621" t="inlineStr">
        <is>
          <t>睿鼎數位股份有限公司</t>
        </is>
      </c>
      <c r="J621" t="inlineStr">
        <is>
          <t>42837620</t>
        </is>
      </c>
      <c r="K621" t="n">
        <v>19048</v>
      </c>
      <c r="L621" t="n">
        <v>20000</v>
      </c>
      <c r="M621" t="inlineStr">
        <is>
          <t>發票API月租</t>
        </is>
      </c>
      <c r="N621" t="inlineStr">
        <is>
          <t>羅聖耀</t>
        </is>
      </c>
      <c r="O621" t="inlineStr">
        <is>
          <t>台北市大安區信義路四段89-1號8樓</t>
        </is>
      </c>
      <c r="P621" t="inlineStr">
        <is>
          <t>davidlo@12cm.com.tw</t>
        </is>
      </c>
      <c r="Q621" t="inlineStr"/>
      <c r="R621" t="inlineStr"/>
      <c r="S621" t="inlineStr">
        <is>
          <t>已收款</t>
        </is>
      </c>
      <c r="T621" t="inlineStr">
        <is>
          <t>雀巢
來源：單次型發票及收款紀錄 第 140 列</t>
        </is>
      </c>
      <c r="U621" t="inlineStr">
        <is>
          <t>收到發票隔月起30天</t>
        </is>
      </c>
      <c r="V621" t="inlineStr">
        <is>
          <t>2026-05-18</t>
        </is>
      </c>
    </row>
    <row r="622">
      <c r="A622" t="inlineStr">
        <is>
          <t>inv_d40f17309724</t>
        </is>
      </c>
      <c r="B622" t="inlineStr">
        <is>
          <t>Cobi</t>
        </is>
      </c>
      <c r="C622" t="inlineStr">
        <is>
          <t>2024-08-26</t>
        </is>
      </c>
      <c r="D622" t="inlineStr">
        <is>
          <t>2332374</t>
        </is>
      </c>
      <c r="E622" t="inlineStr"/>
      <c r="F622" t="inlineStr">
        <is>
          <t>2024-08-12</t>
        </is>
      </c>
      <c r="G622" t="inlineStr">
        <is>
          <t>DC03692359</t>
        </is>
      </c>
      <c r="H622" t="inlineStr">
        <is>
          <t>cus_2397e7849eba</t>
        </is>
      </c>
      <c r="I622" t="inlineStr">
        <is>
          <t>睿鼎數位股份有限公司</t>
        </is>
      </c>
      <c r="J622" t="inlineStr">
        <is>
          <t>42837620</t>
        </is>
      </c>
      <c r="K622" t="n">
        <v>19048</v>
      </c>
      <c r="L622" t="n">
        <v>20000</v>
      </c>
      <c r="M622" t="inlineStr">
        <is>
          <t>發票API月租</t>
        </is>
      </c>
      <c r="N622" t="inlineStr">
        <is>
          <t>羅聖耀</t>
        </is>
      </c>
      <c r="O622" t="inlineStr">
        <is>
          <t>台北市大安區信義路四段89-1號8樓</t>
        </is>
      </c>
      <c r="P622" t="inlineStr">
        <is>
          <t>davidlo@12cm.com.tw</t>
        </is>
      </c>
      <c r="Q622" t="inlineStr"/>
      <c r="R622" t="inlineStr"/>
      <c r="S622" t="inlineStr">
        <is>
          <t>已收款</t>
        </is>
      </c>
      <c r="T622" t="inlineStr">
        <is>
          <t>雀巢
來源：單次型發票及收款紀錄 第 141 列</t>
        </is>
      </c>
      <c r="U622" t="inlineStr">
        <is>
          <t>收到發票隔月起30天</t>
        </is>
      </c>
      <c r="V622" t="inlineStr">
        <is>
          <t>2026-05-18</t>
        </is>
      </c>
    </row>
    <row r="623">
      <c r="A623" t="inlineStr">
        <is>
          <t>inv_96090fc1c689</t>
        </is>
      </c>
      <c r="B623" t="inlineStr">
        <is>
          <t>Cobi</t>
        </is>
      </c>
      <c r="C623" t="inlineStr">
        <is>
          <t>2024-09-25</t>
        </is>
      </c>
      <c r="D623" t="inlineStr">
        <is>
          <t>2366416</t>
        </is>
      </c>
      <c r="E623" t="inlineStr"/>
      <c r="F623" t="inlineStr">
        <is>
          <t>2024-09-10</t>
        </is>
      </c>
      <c r="G623" t="inlineStr">
        <is>
          <t>FB03655646</t>
        </is>
      </c>
      <c r="H623" t="inlineStr">
        <is>
          <t>cus_2397e7849eba</t>
        </is>
      </c>
      <c r="I623" t="inlineStr">
        <is>
          <t>睿鼎數位股份有限公司</t>
        </is>
      </c>
      <c r="J623" t="inlineStr">
        <is>
          <t>42837620</t>
        </is>
      </c>
      <c r="K623" t="n">
        <v>19048</v>
      </c>
      <c r="L623" t="n">
        <v>20000</v>
      </c>
      <c r="M623" t="inlineStr">
        <is>
          <t>發票API月租</t>
        </is>
      </c>
      <c r="N623" t="inlineStr">
        <is>
          <t>羅聖耀</t>
        </is>
      </c>
      <c r="O623" t="inlineStr">
        <is>
          <t>台北市大安區信義路四段89-1號8樓</t>
        </is>
      </c>
      <c r="P623" t="inlineStr">
        <is>
          <t>davidlo@12cm.com.tw</t>
        </is>
      </c>
      <c r="Q623" t="inlineStr"/>
      <c r="R623" t="inlineStr"/>
      <c r="S623" t="inlineStr">
        <is>
          <t>已收款</t>
        </is>
      </c>
      <c r="T623" t="inlineStr">
        <is>
          <t>雀巢
來源：單次型發票及收款紀錄 第 142 列</t>
        </is>
      </c>
      <c r="U623" t="inlineStr">
        <is>
          <t>收到發票隔月起30天</t>
        </is>
      </c>
      <c r="V623" t="inlineStr">
        <is>
          <t>2026-05-18</t>
        </is>
      </c>
    </row>
    <row r="624">
      <c r="A624" t="inlineStr">
        <is>
          <t>inv_25c0e4f15ee9</t>
        </is>
      </c>
      <c r="B624" t="inlineStr">
        <is>
          <t>Cobi</t>
        </is>
      </c>
      <c r="C624" t="inlineStr">
        <is>
          <t>2024-10-25</t>
        </is>
      </c>
      <c r="D624" t="inlineStr">
        <is>
          <t>2394023</t>
        </is>
      </c>
      <c r="E624" t="inlineStr"/>
      <c r="F624" t="inlineStr">
        <is>
          <t>2024-10-07</t>
        </is>
      </c>
      <c r="G624" t="inlineStr">
        <is>
          <t>FB03680866</t>
        </is>
      </c>
      <c r="H624" t="inlineStr">
        <is>
          <t>cus_2397e7849eba</t>
        </is>
      </c>
      <c r="I624" t="inlineStr">
        <is>
          <t>睿鼎數位股份有限公司</t>
        </is>
      </c>
      <c r="J624" t="inlineStr">
        <is>
          <t>42837620</t>
        </is>
      </c>
      <c r="K624" t="n">
        <v>19048</v>
      </c>
      <c r="L624" t="n">
        <v>20000</v>
      </c>
      <c r="M624" t="inlineStr">
        <is>
          <t>發票API月租</t>
        </is>
      </c>
      <c r="N624" t="inlineStr">
        <is>
          <t>羅聖耀</t>
        </is>
      </c>
      <c r="O624" t="inlineStr">
        <is>
          <t>台北市大安區信義路四段89-1號8樓</t>
        </is>
      </c>
      <c r="P624" t="inlineStr">
        <is>
          <t>davidlo@12cm.com.tw</t>
        </is>
      </c>
      <c r="Q624" t="inlineStr"/>
      <c r="R624" t="inlineStr"/>
      <c r="S624" t="inlineStr">
        <is>
          <t>已收款</t>
        </is>
      </c>
      <c r="T624" t="inlineStr">
        <is>
          <t>雀巢
來源：單次型發票及收款紀錄 第 143 列</t>
        </is>
      </c>
      <c r="U624" t="inlineStr">
        <is>
          <t>收到發票隔月起30天</t>
        </is>
      </c>
      <c r="V624" t="inlineStr">
        <is>
          <t>2026-05-18</t>
        </is>
      </c>
    </row>
    <row r="625">
      <c r="A625" t="inlineStr">
        <is>
          <t>inv_cd1060f47f77</t>
        </is>
      </c>
      <c r="B625" t="inlineStr">
        <is>
          <t>Cobi</t>
        </is>
      </c>
      <c r="C625" t="inlineStr">
        <is>
          <t>2024-11-25</t>
        </is>
      </c>
      <c r="D625" t="inlineStr">
        <is>
          <t>2426312</t>
        </is>
      </c>
      <c r="E625" t="inlineStr"/>
      <c r="F625" t="inlineStr">
        <is>
          <t>2024-11-07</t>
        </is>
      </c>
      <c r="G625" t="inlineStr">
        <is>
          <t>HA03653199</t>
        </is>
      </c>
      <c r="H625" t="inlineStr">
        <is>
          <t>cus_2397e7849eba</t>
        </is>
      </c>
      <c r="I625" t="inlineStr">
        <is>
          <t>睿鼎數位股份有限公司</t>
        </is>
      </c>
      <c r="J625" t="inlineStr">
        <is>
          <t>42837620</t>
        </is>
      </c>
      <c r="K625" t="n">
        <v>19048</v>
      </c>
      <c r="L625" t="n">
        <v>20000</v>
      </c>
      <c r="M625" t="inlineStr">
        <is>
          <t>發票API月租</t>
        </is>
      </c>
      <c r="N625" t="inlineStr">
        <is>
          <t>羅聖耀</t>
        </is>
      </c>
      <c r="O625" t="inlineStr">
        <is>
          <t>台北市大安區信義路四段89-1號8樓</t>
        </is>
      </c>
      <c r="P625" t="inlineStr">
        <is>
          <t>davidlo@12cm.com.tw</t>
        </is>
      </c>
      <c r="Q625" t="inlineStr"/>
      <c r="R625" t="inlineStr"/>
      <c r="S625" t="inlineStr">
        <is>
          <t>已收款</t>
        </is>
      </c>
      <c r="T625" t="inlineStr">
        <is>
          <t>雀巢
來源：單次型發票及收款紀錄 第 144 列</t>
        </is>
      </c>
      <c r="U625" t="inlineStr">
        <is>
          <t>收到發票隔月起30天</t>
        </is>
      </c>
      <c r="V625" t="inlineStr">
        <is>
          <t>2026-05-18</t>
        </is>
      </c>
    </row>
    <row r="626">
      <c r="A626" t="inlineStr">
        <is>
          <t>inv_69d3481e67b7</t>
        </is>
      </c>
      <c r="B626" t="inlineStr">
        <is>
          <t>Cobi</t>
        </is>
      </c>
      <c r="C626" t="inlineStr">
        <is>
          <t>2024-12-25</t>
        </is>
      </c>
      <c r="D626" t="inlineStr">
        <is>
          <t>2459598</t>
        </is>
      </c>
      <c r="E626" t="inlineStr"/>
      <c r="F626" t="inlineStr">
        <is>
          <t>2024-12-05</t>
        </is>
      </c>
      <c r="G626" t="inlineStr">
        <is>
          <t>HA03683236</t>
        </is>
      </c>
      <c r="H626" t="inlineStr">
        <is>
          <t>cus_2397e7849eba</t>
        </is>
      </c>
      <c r="I626" t="inlineStr">
        <is>
          <t>睿鼎數位股份有限公司</t>
        </is>
      </c>
      <c r="J626" t="inlineStr">
        <is>
          <t>42837620</t>
        </is>
      </c>
      <c r="K626" t="n">
        <v>19048</v>
      </c>
      <c r="L626" t="n">
        <v>20000</v>
      </c>
      <c r="M626" t="inlineStr">
        <is>
          <t>發票API月租</t>
        </is>
      </c>
      <c r="N626" t="inlineStr">
        <is>
          <t>羅聖耀</t>
        </is>
      </c>
      <c r="O626" t="inlineStr">
        <is>
          <t>台北市大安區信義路四段89-1號8樓</t>
        </is>
      </c>
      <c r="P626" t="inlineStr">
        <is>
          <t>davidlo@12cm.com.tw</t>
        </is>
      </c>
      <c r="Q626" t="inlineStr"/>
      <c r="R626" t="inlineStr"/>
      <c r="S626" t="inlineStr">
        <is>
          <t>已收款</t>
        </is>
      </c>
      <c r="T626" t="inlineStr">
        <is>
          <t>雀巢
來源：單次型發票及收款紀錄 第 145 列</t>
        </is>
      </c>
      <c r="U626" t="inlineStr">
        <is>
          <t>收到發票隔月起30天</t>
        </is>
      </c>
      <c r="V626" t="inlineStr">
        <is>
          <t>2026-05-18</t>
        </is>
      </c>
    </row>
    <row r="627">
      <c r="A627" t="inlineStr">
        <is>
          <t>inv_fab51d6747b0</t>
        </is>
      </c>
      <c r="B627" t="inlineStr">
        <is>
          <t>Cobi</t>
        </is>
      </c>
      <c r="C627" t="inlineStr">
        <is>
          <t>2025-03-25</t>
        </is>
      </c>
      <c r="D627" t="inlineStr">
        <is>
          <t>2494093</t>
        </is>
      </c>
      <c r="E627" t="inlineStr"/>
      <c r="F627" t="inlineStr">
        <is>
          <t>2025-01-06</t>
        </is>
      </c>
      <c r="G627" t="inlineStr">
        <is>
          <t>JY43826889</t>
        </is>
      </c>
      <c r="H627" t="inlineStr">
        <is>
          <t>cus_2397e7849eba</t>
        </is>
      </c>
      <c r="I627" t="inlineStr">
        <is>
          <t>睿鼎數位股份有限公司</t>
        </is>
      </c>
      <c r="J627" t="inlineStr">
        <is>
          <t>42837620</t>
        </is>
      </c>
      <c r="K627" t="n">
        <v>19048</v>
      </c>
      <c r="L627" t="n">
        <v>20000</v>
      </c>
      <c r="M627" t="inlineStr">
        <is>
          <t>發票API月租</t>
        </is>
      </c>
      <c r="N627" t="inlineStr">
        <is>
          <t>羅聖耀</t>
        </is>
      </c>
      <c r="O627" t="inlineStr">
        <is>
          <t>台北市大安區信義路四段89-1號8樓</t>
        </is>
      </c>
      <c r="P627" t="inlineStr">
        <is>
          <t>davidlo@12cm.com.tw</t>
        </is>
      </c>
      <c r="Q627" t="inlineStr"/>
      <c r="R627" t="inlineStr"/>
      <c r="S627" t="inlineStr">
        <is>
          <t>已收款</t>
        </is>
      </c>
      <c r="T627" t="inlineStr">
        <is>
          <t>雀巢
來源：單次型發票及收款紀錄 第 146 列</t>
        </is>
      </c>
      <c r="U627" t="inlineStr">
        <is>
          <t>收到發票隔月起30天</t>
        </is>
      </c>
      <c r="V627" t="inlineStr">
        <is>
          <t>2026-05-18</t>
        </is>
      </c>
    </row>
    <row r="628">
      <c r="A628" t="inlineStr">
        <is>
          <t>inv_190d9d09cd85</t>
        </is>
      </c>
      <c r="B628" t="inlineStr">
        <is>
          <t>Cobi</t>
        </is>
      </c>
      <c r="C628" t="inlineStr">
        <is>
          <t>2025-02-25</t>
        </is>
      </c>
      <c r="D628" t="inlineStr">
        <is>
          <t>2523758</t>
        </is>
      </c>
      <c r="E628" t="inlineStr"/>
      <c r="F628" t="inlineStr">
        <is>
          <t>2025-02-04</t>
        </is>
      </c>
      <c r="G628" t="inlineStr">
        <is>
          <t>JY43853384</t>
        </is>
      </c>
      <c r="H628" t="inlineStr">
        <is>
          <t>cus_2397e7849eba</t>
        </is>
      </c>
      <c r="I628" t="inlineStr">
        <is>
          <t>睿鼎數位股份有限公司</t>
        </is>
      </c>
      <c r="J628" t="inlineStr">
        <is>
          <t>42837620</t>
        </is>
      </c>
      <c r="K628" t="n">
        <v>19048</v>
      </c>
      <c r="L628" t="n">
        <v>20000</v>
      </c>
      <c r="M628" t="inlineStr">
        <is>
          <t>發票API月租</t>
        </is>
      </c>
      <c r="N628" t="inlineStr">
        <is>
          <t>羅聖耀</t>
        </is>
      </c>
      <c r="O628" t="inlineStr">
        <is>
          <t>台北市大安區信義路四段89-1號8樓</t>
        </is>
      </c>
      <c r="P628" t="inlineStr">
        <is>
          <t>davidlo@12cm.com.tw</t>
        </is>
      </c>
      <c r="Q628" t="inlineStr"/>
      <c r="R628" t="inlineStr"/>
      <c r="S628" t="inlineStr">
        <is>
          <t>已收款</t>
        </is>
      </c>
      <c r="T628" t="inlineStr">
        <is>
          <t>雀巢
來源：單次型發票及收款紀錄 第 147 列</t>
        </is>
      </c>
      <c r="U628" t="inlineStr">
        <is>
          <t>收到發票隔月起30天</t>
        </is>
      </c>
      <c r="V628" t="inlineStr">
        <is>
          <t>2026-05-18</t>
        </is>
      </c>
    </row>
    <row r="629">
      <c r="A629" t="inlineStr">
        <is>
          <t>inv_15b785e3a208</t>
        </is>
      </c>
      <c r="B629" t="inlineStr">
        <is>
          <t>Cobi</t>
        </is>
      </c>
      <c r="C629" t="inlineStr">
        <is>
          <t>2025-03-25</t>
        </is>
      </c>
      <c r="D629" t="inlineStr">
        <is>
          <t>2554657</t>
        </is>
      </c>
      <c r="E629" t="inlineStr"/>
      <c r="F629" t="inlineStr">
        <is>
          <t>2025-03-05</t>
        </is>
      </c>
      <c r="G629" t="inlineStr">
        <is>
          <t>LY43825861</t>
        </is>
      </c>
      <c r="H629" t="inlineStr">
        <is>
          <t>cus_2397e7849eba</t>
        </is>
      </c>
      <c r="I629" t="inlineStr">
        <is>
          <t>睿鼎數位股份有限公司</t>
        </is>
      </c>
      <c r="J629" t="inlineStr">
        <is>
          <t>42837620</t>
        </is>
      </c>
      <c r="K629" t="n">
        <v>19048</v>
      </c>
      <c r="L629" t="n">
        <v>20000</v>
      </c>
      <c r="M629" t="inlineStr">
        <is>
          <t>發票API月租</t>
        </is>
      </c>
      <c r="N629" t="inlineStr">
        <is>
          <t>羅聖耀</t>
        </is>
      </c>
      <c r="O629" t="inlineStr">
        <is>
          <t>台北市大安區信義路四段89-1號8樓</t>
        </is>
      </c>
      <c r="P629" t="inlineStr">
        <is>
          <t>davidlo@12cm.com.tw</t>
        </is>
      </c>
      <c r="Q629" t="inlineStr"/>
      <c r="R629" t="inlineStr"/>
      <c r="S629" t="inlineStr">
        <is>
          <t>已收款</t>
        </is>
      </c>
      <c r="T629" t="inlineStr">
        <is>
          <t>雀巢
來源：單次型發票及收款紀錄 第 148 列</t>
        </is>
      </c>
      <c r="U629" t="inlineStr">
        <is>
          <t>收到發票隔月起30天</t>
        </is>
      </c>
      <c r="V629" t="inlineStr">
        <is>
          <t>2026-05-18</t>
        </is>
      </c>
    </row>
    <row r="630">
      <c r="A630" t="inlineStr">
        <is>
          <t>inv_9f65cb7c76c2</t>
        </is>
      </c>
      <c r="B630" t="inlineStr">
        <is>
          <t>Cobi</t>
        </is>
      </c>
      <c r="C630" t="inlineStr">
        <is>
          <t>2025-04-25</t>
        </is>
      </c>
      <c r="D630" t="inlineStr">
        <is>
          <t>2588198</t>
        </is>
      </c>
      <c r="E630" t="inlineStr"/>
      <c r="F630" t="inlineStr">
        <is>
          <t>2025-04-07</t>
        </is>
      </c>
      <c r="G630" t="inlineStr">
        <is>
          <t>LY43855893</t>
        </is>
      </c>
      <c r="H630" t="inlineStr">
        <is>
          <t>cus_2397e7849eba</t>
        </is>
      </c>
      <c r="I630" t="inlineStr">
        <is>
          <t>睿鼎數位股份有限公司</t>
        </is>
      </c>
      <c r="J630" t="inlineStr">
        <is>
          <t>42837620</t>
        </is>
      </c>
      <c r="K630" t="n">
        <v>19048</v>
      </c>
      <c r="L630" t="n">
        <v>20000</v>
      </c>
      <c r="M630" t="inlineStr">
        <is>
          <t>發票API月租</t>
        </is>
      </c>
      <c r="N630" t="inlineStr">
        <is>
          <t>羅聖耀</t>
        </is>
      </c>
      <c r="O630" t="inlineStr">
        <is>
          <t>台北市大安區信義路四段89-1號8樓</t>
        </is>
      </c>
      <c r="P630" t="inlineStr">
        <is>
          <t>davidlo@12cm.com.tw</t>
        </is>
      </c>
      <c r="Q630" t="inlineStr"/>
      <c r="R630" t="inlineStr"/>
      <c r="S630" t="inlineStr">
        <is>
          <t>已收款</t>
        </is>
      </c>
      <c r="T630" t="inlineStr">
        <is>
          <t>雀巢
來源：單次型發票及收款紀錄 第 149 列</t>
        </is>
      </c>
      <c r="U630" t="inlineStr">
        <is>
          <t>收到發票隔月起30天</t>
        </is>
      </c>
      <c r="V630" t="inlineStr">
        <is>
          <t>2026-05-18</t>
        </is>
      </c>
    </row>
    <row r="631">
      <c r="A631" t="inlineStr">
        <is>
          <t>inv_7aa81d4e3230</t>
        </is>
      </c>
      <c r="B631" t="inlineStr">
        <is>
          <t>Cobi</t>
        </is>
      </c>
      <c r="C631" t="inlineStr">
        <is>
          <t>2025-06-25</t>
        </is>
      </c>
      <c r="D631" t="inlineStr">
        <is>
          <t>2651934</t>
        </is>
      </c>
      <c r="E631" t="inlineStr"/>
      <c r="F631" t="inlineStr">
        <is>
          <t>2025-06-05</t>
        </is>
      </c>
      <c r="G631" t="inlineStr">
        <is>
          <t>NY43857815</t>
        </is>
      </c>
      <c r="H631" t="inlineStr">
        <is>
          <t>cus_2397e7849eba</t>
        </is>
      </c>
      <c r="I631" t="inlineStr">
        <is>
          <t>睿鼎數位股份有限公司</t>
        </is>
      </c>
      <c r="J631" t="inlineStr">
        <is>
          <t>42837620</t>
        </is>
      </c>
      <c r="K631" t="n">
        <v>38095</v>
      </c>
      <c r="L631" t="n">
        <v>40000</v>
      </c>
      <c r="M631" t="inlineStr">
        <is>
          <t>發票API月租</t>
        </is>
      </c>
      <c r="N631" t="inlineStr">
        <is>
          <t>羅聖耀</t>
        </is>
      </c>
      <c r="O631" t="inlineStr">
        <is>
          <t>台北市大安區信義路四段89-1號8樓</t>
        </is>
      </c>
      <c r="P631" t="inlineStr">
        <is>
          <t>davidlo@12cm.com.tw</t>
        </is>
      </c>
      <c r="Q631" t="inlineStr"/>
      <c r="R631" t="inlineStr"/>
      <c r="S631" t="inlineStr">
        <is>
          <t>已收款</t>
        </is>
      </c>
      <c r="T631" t="inlineStr">
        <is>
          <t>雀巢
來源：單次型發票及收款紀錄 第 150 列</t>
        </is>
      </c>
      <c r="U631" t="inlineStr">
        <is>
          <t>收到發票隔月起30天</t>
        </is>
      </c>
      <c r="V631" t="inlineStr">
        <is>
          <t>2026-05-18</t>
        </is>
      </c>
    </row>
    <row r="632">
      <c r="A632" t="inlineStr">
        <is>
          <t>inv_1db56fa31774</t>
        </is>
      </c>
      <c r="B632" t="inlineStr">
        <is>
          <t>Cobi</t>
        </is>
      </c>
      <c r="C632" t="inlineStr">
        <is>
          <t>2025-06-25</t>
        </is>
      </c>
      <c r="D632" t="inlineStr">
        <is>
          <t>2651935</t>
        </is>
      </c>
      <c r="E632" t="inlineStr"/>
      <c r="F632" t="inlineStr">
        <is>
          <t>2025-06-05</t>
        </is>
      </c>
      <c r="G632" t="inlineStr">
        <is>
          <t>NY43857816</t>
        </is>
      </c>
      <c r="H632" t="inlineStr">
        <is>
          <t>cus_2397e7849eba</t>
        </is>
      </c>
      <c r="I632" t="inlineStr">
        <is>
          <t>睿鼎數位股份有限公司</t>
        </is>
      </c>
      <c r="J632" t="inlineStr">
        <is>
          <t>42837620</t>
        </is>
      </c>
      <c r="K632" t="n">
        <v>240000</v>
      </c>
      <c r="L632" t="n">
        <v>252000</v>
      </c>
      <c r="M632" t="inlineStr">
        <is>
          <t>雀巢專案</t>
        </is>
      </c>
      <c r="N632" t="inlineStr">
        <is>
          <t>羅聖耀</t>
        </is>
      </c>
      <c r="O632" t="inlineStr">
        <is>
          <t>台北市大安區信義路四段89-1號8樓</t>
        </is>
      </c>
      <c r="P632" t="inlineStr">
        <is>
          <t>davidlo@12cm.com.tw</t>
        </is>
      </c>
      <c r="Q632" t="inlineStr"/>
      <c r="R632" t="inlineStr"/>
      <c r="S632" t="inlineStr">
        <is>
          <t>已收款</t>
        </is>
      </c>
      <c r="T632" t="inlineStr">
        <is>
          <t>雀巢
來源：單次型發票及收款紀錄 第 151 列</t>
        </is>
      </c>
      <c r="U632" t="inlineStr">
        <is>
          <t>收到發票隔月起30天</t>
        </is>
      </c>
      <c r="V632" t="inlineStr">
        <is>
          <t>2026-05-18</t>
        </is>
      </c>
    </row>
    <row r="633">
      <c r="A633" t="inlineStr">
        <is>
          <t>inv_a81a649c9bd2</t>
        </is>
      </c>
      <c r="B633" t="inlineStr">
        <is>
          <t>Cobi</t>
        </is>
      </c>
      <c r="C633" t="inlineStr">
        <is>
          <t>2025-07-25</t>
        </is>
      </c>
      <c r="D633" t="inlineStr">
        <is>
          <t>2687011</t>
        </is>
      </c>
      <c r="E633" t="inlineStr"/>
      <c r="F633" t="inlineStr">
        <is>
          <t>2025-07-04</t>
        </is>
      </c>
      <c r="G633" t="inlineStr">
        <is>
          <t>QY43825316</t>
        </is>
      </c>
      <c r="H633" t="inlineStr">
        <is>
          <t>cus_2397e7849eba</t>
        </is>
      </c>
      <c r="I633" t="inlineStr">
        <is>
          <t>睿鼎數位股份有限公司</t>
        </is>
      </c>
      <c r="J633" t="inlineStr">
        <is>
          <t>42837620</t>
        </is>
      </c>
      <c r="K633" t="n">
        <v>38095</v>
      </c>
      <c r="L633" t="n">
        <v>40000</v>
      </c>
      <c r="M633" t="inlineStr">
        <is>
          <t>發票API月租</t>
        </is>
      </c>
      <c r="N633" t="inlineStr">
        <is>
          <t>羅聖耀</t>
        </is>
      </c>
      <c r="O633" t="inlineStr">
        <is>
          <t>台北市大安區信義路四段89-1號8樓</t>
        </is>
      </c>
      <c r="P633" t="inlineStr">
        <is>
          <t>davidlo@12cm.com.tw</t>
        </is>
      </c>
      <c r="Q633" t="inlineStr"/>
      <c r="R633" t="inlineStr"/>
      <c r="S633" t="inlineStr">
        <is>
          <t>已收款</t>
        </is>
      </c>
      <c r="T633" t="inlineStr">
        <is>
          <t>來源：單次型發票及收款紀錄 第 152 列</t>
        </is>
      </c>
      <c r="U633" t="inlineStr">
        <is>
          <t>收到發票隔月起30天</t>
        </is>
      </c>
      <c r="V633" t="inlineStr">
        <is>
          <t>2026-05-18</t>
        </is>
      </c>
    </row>
    <row r="634">
      <c r="A634" t="inlineStr">
        <is>
          <t>inv_74f51bce21d4</t>
        </is>
      </c>
      <c r="B634" t="inlineStr">
        <is>
          <t>Cobi</t>
        </is>
      </c>
      <c r="C634" t="inlineStr">
        <is>
          <t>2025-08-25</t>
        </is>
      </c>
      <c r="D634" t="inlineStr">
        <is>
          <t>2717917</t>
        </is>
      </c>
      <c r="E634" t="inlineStr"/>
      <c r="F634" t="inlineStr">
        <is>
          <t>2025-08-01</t>
        </is>
      </c>
      <c r="G634" t="inlineStr"/>
      <c r="H634" t="inlineStr">
        <is>
          <t>cus_2397e7849eba</t>
        </is>
      </c>
      <c r="I634" t="inlineStr">
        <is>
          <t>睿鼎數位股份有限公司</t>
        </is>
      </c>
      <c r="J634" t="inlineStr">
        <is>
          <t>42837620</t>
        </is>
      </c>
      <c r="K634" t="n">
        <v>0</v>
      </c>
      <c r="L634" t="n">
        <v>60000</v>
      </c>
      <c r="M634" t="inlineStr">
        <is>
          <t>發票API月租</t>
        </is>
      </c>
      <c r="N634" t="inlineStr">
        <is>
          <t>羅聖耀</t>
        </is>
      </c>
      <c r="O634" t="inlineStr">
        <is>
          <t>台北市大安區信義路四段89-1號8樓</t>
        </is>
      </c>
      <c r="P634" t="inlineStr">
        <is>
          <t>davidlo@12cm.com.tw</t>
        </is>
      </c>
      <c r="Q634" t="inlineStr"/>
      <c r="R634" t="inlineStr"/>
      <c r="S634" t="inlineStr">
        <is>
          <t>已收款</t>
        </is>
      </c>
      <c r="T634" t="inlineStr">
        <is>
          <t>雀巢
來源：單次型發票及收款紀錄 第 153 列</t>
        </is>
      </c>
      <c r="U634" t="inlineStr">
        <is>
          <t>收到發票隔月起30天</t>
        </is>
      </c>
      <c r="V634" t="inlineStr">
        <is>
          <t>2026-05-18</t>
        </is>
      </c>
    </row>
    <row r="635">
      <c r="A635" t="inlineStr">
        <is>
          <t>inv_12e0c86eb4fe</t>
        </is>
      </c>
      <c r="B635" t="inlineStr">
        <is>
          <t>Cobi</t>
        </is>
      </c>
      <c r="C635" t="inlineStr">
        <is>
          <t>2025-09-25</t>
        </is>
      </c>
      <c r="D635" t="inlineStr">
        <is>
          <t>2761802</t>
        </is>
      </c>
      <c r="E635" t="inlineStr"/>
      <c r="F635" t="inlineStr">
        <is>
          <t>2025-09-05</t>
        </is>
      </c>
      <c r="G635" t="inlineStr"/>
      <c r="H635" t="inlineStr">
        <is>
          <t>cus_2397e7849eba</t>
        </is>
      </c>
      <c r="I635" t="inlineStr">
        <is>
          <t>睿鼎數位股份有限公司</t>
        </is>
      </c>
      <c r="J635" t="inlineStr">
        <is>
          <t>42837620</t>
        </is>
      </c>
      <c r="K635" t="n">
        <v>0</v>
      </c>
      <c r="L635" t="n">
        <v>60000</v>
      </c>
      <c r="M635" t="inlineStr">
        <is>
          <t>發票API月租</t>
        </is>
      </c>
      <c r="N635" t="inlineStr">
        <is>
          <t>羅聖耀</t>
        </is>
      </c>
      <c r="O635" t="inlineStr">
        <is>
          <t>台北市大安區信義路四段89-1號8樓</t>
        </is>
      </c>
      <c r="P635" t="inlineStr">
        <is>
          <t>davidlo@12cm.com.tw</t>
        </is>
      </c>
      <c r="Q635" t="inlineStr"/>
      <c r="R635" t="inlineStr"/>
      <c r="S635" t="inlineStr">
        <is>
          <t>已收款</t>
        </is>
      </c>
      <c r="T635" t="inlineStr">
        <is>
          <t>雀巢
來源：單次型發票及收款紀錄 第 154 列</t>
        </is>
      </c>
      <c r="U635" t="inlineStr">
        <is>
          <t>收到發票隔月起30天</t>
        </is>
      </c>
      <c r="V635" t="inlineStr">
        <is>
          <t>2026-05-18</t>
        </is>
      </c>
    </row>
    <row r="636">
      <c r="A636" t="inlineStr">
        <is>
          <t>inv_58849a94c016</t>
        </is>
      </c>
      <c r="B636" t="inlineStr">
        <is>
          <t>Cobi</t>
        </is>
      </c>
      <c r="C636" t="inlineStr">
        <is>
          <t>2025-10-27</t>
        </is>
      </c>
      <c r="D636" t="inlineStr">
        <is>
          <t>2793686</t>
        </is>
      </c>
      <c r="E636" t="inlineStr"/>
      <c r="F636" t="inlineStr">
        <is>
          <t>2025-10-03</t>
        </is>
      </c>
      <c r="G636" t="inlineStr"/>
      <c r="H636" t="inlineStr">
        <is>
          <t>cus_2397e7849eba</t>
        </is>
      </c>
      <c r="I636" t="inlineStr">
        <is>
          <t>睿鼎數位股份有限公司</t>
        </is>
      </c>
      <c r="J636" t="inlineStr">
        <is>
          <t>42837620</t>
        </is>
      </c>
      <c r="K636" t="n">
        <v>0</v>
      </c>
      <c r="L636" t="n">
        <v>60000</v>
      </c>
      <c r="M636" t="inlineStr">
        <is>
          <t>發票API月租</t>
        </is>
      </c>
      <c r="N636" t="inlineStr">
        <is>
          <t>羅聖耀</t>
        </is>
      </c>
      <c r="O636" t="inlineStr">
        <is>
          <t>台北市大安區信義路四段89-1號8樓</t>
        </is>
      </c>
      <c r="P636" t="inlineStr">
        <is>
          <t>davidlo@12cm.com.tw</t>
        </is>
      </c>
      <c r="Q636" t="inlineStr"/>
      <c r="R636" t="inlineStr"/>
      <c r="S636" t="inlineStr">
        <is>
          <t>已收款</t>
        </is>
      </c>
      <c r="T636" t="inlineStr">
        <is>
          <t>來源：單次型發票及收款紀錄 第 155 列</t>
        </is>
      </c>
      <c r="U636" t="inlineStr">
        <is>
          <t>收到發票隔月起30天</t>
        </is>
      </c>
      <c r="V636" t="inlineStr">
        <is>
          <t>2026-05-18</t>
        </is>
      </c>
    </row>
    <row r="637">
      <c r="A637" t="inlineStr">
        <is>
          <t>inv_892a2d767c80</t>
        </is>
      </c>
      <c r="B637" t="inlineStr">
        <is>
          <t>Cobi</t>
        </is>
      </c>
      <c r="C637" t="inlineStr">
        <is>
          <t>2025-11-25</t>
        </is>
      </c>
      <c r="D637" t="inlineStr">
        <is>
          <t>2829115</t>
        </is>
      </c>
      <c r="E637" t="inlineStr"/>
      <c r="F637" t="inlineStr">
        <is>
          <t>2025-11-05</t>
        </is>
      </c>
      <c r="G637" t="inlineStr"/>
      <c r="H637" t="inlineStr">
        <is>
          <t>cus_2397e7849eba</t>
        </is>
      </c>
      <c r="I637" t="inlineStr">
        <is>
          <t>睿鼎數位股份有限公司</t>
        </is>
      </c>
      <c r="J637" t="inlineStr">
        <is>
          <t>42837620</t>
        </is>
      </c>
      <c r="K637" t="n">
        <v>0</v>
      </c>
      <c r="L637" t="n">
        <v>60000</v>
      </c>
      <c r="M637" t="inlineStr">
        <is>
          <t>發票API月租</t>
        </is>
      </c>
      <c r="N637" t="inlineStr">
        <is>
          <t>羅聖耀</t>
        </is>
      </c>
      <c r="O637" t="inlineStr">
        <is>
          <t>台北市大安區信義路四段89-1號8樓</t>
        </is>
      </c>
      <c r="P637" t="inlineStr">
        <is>
          <t>davidlo@12cm.com.tw</t>
        </is>
      </c>
      <c r="Q637" t="inlineStr"/>
      <c r="R637" t="inlineStr"/>
      <c r="S637" t="inlineStr">
        <is>
          <t>已收款</t>
        </is>
      </c>
      <c r="T637" t="inlineStr">
        <is>
          <t>來源：單次型發票及收款紀錄 第 156 列</t>
        </is>
      </c>
      <c r="U637" t="inlineStr">
        <is>
          <t>收到發票隔月起30天</t>
        </is>
      </c>
      <c r="V637" t="inlineStr">
        <is>
          <t>2026-05-18</t>
        </is>
      </c>
    </row>
    <row r="638">
      <c r="A638" t="inlineStr">
        <is>
          <t>inv_a493c815595f</t>
        </is>
      </c>
      <c r="B638" t="inlineStr">
        <is>
          <t>Peggy</t>
        </is>
      </c>
      <c r="C638" t="inlineStr">
        <is>
          <t>2025-10-21</t>
        </is>
      </c>
      <c r="D638" t="inlineStr">
        <is>
          <t>2800502</t>
        </is>
      </c>
      <c r="E638" t="inlineStr"/>
      <c r="F638" t="inlineStr">
        <is>
          <t>2025-10-09</t>
        </is>
      </c>
      <c r="G638" t="inlineStr"/>
      <c r="H638" t="inlineStr">
        <is>
          <t>cus_9131c5f11930</t>
        </is>
      </c>
      <c r="I638" t="inlineStr">
        <is>
          <t>盛禾生醫國際事業有限公司</t>
        </is>
      </c>
      <c r="J638" t="inlineStr">
        <is>
          <t>83537675</t>
        </is>
      </c>
      <c r="K638" t="n">
        <v>40000</v>
      </c>
      <c r="L638" t="n">
        <v>42000</v>
      </c>
      <c r="M638" t="inlineStr">
        <is>
          <t>發票數據受眾包</t>
        </is>
      </c>
      <c r="N638" t="inlineStr">
        <is>
          <t>簡嘉宏</t>
        </is>
      </c>
      <c r="O638" t="inlineStr">
        <is>
          <t>臺中市北屯區仁和里梅川東路五段398號
4樓之2</t>
        </is>
      </c>
      <c r="P638" t="inlineStr">
        <is>
          <t>george@worthbio.com.tw</t>
        </is>
      </c>
      <c r="Q638" t="inlineStr">
        <is>
          <t>04-2422-0355 #16</t>
        </is>
      </c>
      <c r="R638" t="inlineStr"/>
      <c r="S638" t="inlineStr">
        <is>
          <t>已收款</t>
        </is>
      </c>
      <c r="T638" t="inlineStr">
        <is>
          <t>沃爾司
受眾共享
來源：單次型發票及收款紀錄 第 157 列</t>
        </is>
      </c>
      <c r="U638" t="inlineStr">
        <is>
          <t>預付</t>
        </is>
      </c>
      <c r="V638" t="inlineStr">
        <is>
          <t>2026-05-18</t>
        </is>
      </c>
    </row>
    <row r="639">
      <c r="A639" t="inlineStr">
        <is>
          <t>inv_336f27881efd</t>
        </is>
      </c>
      <c r="B639" t="inlineStr">
        <is>
          <t>劉泳成</t>
        </is>
      </c>
      <c r="C639" t="inlineStr">
        <is>
          <t>2024-04-30</t>
        </is>
      </c>
      <c r="D639" t="inlineStr">
        <is>
          <t>2086497</t>
        </is>
      </c>
      <c r="E639" t="inlineStr">
        <is>
          <t>2024.02.16</t>
        </is>
      </c>
      <c r="F639" t="inlineStr">
        <is>
          <t>2024-02-16</t>
        </is>
      </c>
      <c r="G639" t="inlineStr">
        <is>
          <t>XE03693703</t>
        </is>
      </c>
      <c r="H639" t="inlineStr">
        <is>
          <t>cus_d42739550cb8</t>
        </is>
      </c>
      <c r="I639" t="inlineStr">
        <is>
          <t>益普索市場研究股份有限公司</t>
        </is>
      </c>
      <c r="J639" t="inlineStr">
        <is>
          <t>80506608</t>
        </is>
      </c>
      <c r="K639" t="n">
        <v>113071</v>
      </c>
      <c r="L639" t="n">
        <v>118725</v>
      </c>
      <c r="M639" t="inlineStr">
        <is>
          <t>受眾簡訊代發</t>
        </is>
      </c>
      <c r="N639" t="inlineStr">
        <is>
          <t>邱佳明</t>
        </is>
      </c>
      <c r="O639" t="inlineStr">
        <is>
          <t>臺北市大安區敦化南路2段105號25樓</t>
        </is>
      </c>
      <c r="P639" t="inlineStr">
        <is>
          <t>Jimmy.chiu@ipsos.com</t>
        </is>
      </c>
      <c r="Q639" t="inlineStr">
        <is>
          <t>02-27017278#226</t>
        </is>
      </c>
      <c r="R639" t="inlineStr"/>
      <c r="S639" t="inlineStr">
        <is>
          <t>已收款</t>
        </is>
      </c>
      <c r="T639" t="inlineStr">
        <is>
          <t>APP平台消費行為研究調查
來源：單次型發票及收款紀錄 第 158 列</t>
        </is>
      </c>
      <c r="U639" t="inlineStr"/>
      <c r="V639" t="inlineStr">
        <is>
          <t>2026-05-18</t>
        </is>
      </c>
    </row>
    <row r="640">
      <c r="A640" t="inlineStr">
        <is>
          <t>inv_fed1f994315b</t>
        </is>
      </c>
      <c r="B640" t="inlineStr">
        <is>
          <t>劉泳成</t>
        </is>
      </c>
      <c r="C640" t="inlineStr">
        <is>
          <t>2024-04-30</t>
        </is>
      </c>
      <c r="D640" t="inlineStr">
        <is>
          <t>2086498</t>
        </is>
      </c>
      <c r="E640" t="inlineStr">
        <is>
          <t>2024.02.16</t>
        </is>
      </c>
      <c r="F640" t="inlineStr">
        <is>
          <t>2024-02-16</t>
        </is>
      </c>
      <c r="G640" t="inlineStr">
        <is>
          <t>XE03693704</t>
        </is>
      </c>
      <c r="H640" t="inlineStr">
        <is>
          <t>cus_d42739550cb8</t>
        </is>
      </c>
      <c r="I640" t="inlineStr">
        <is>
          <t>益普索市場研究股份有限公司</t>
        </is>
      </c>
      <c r="J640" t="inlineStr">
        <is>
          <t>80506608</t>
        </is>
      </c>
      <c r="K640" t="n">
        <v>1910</v>
      </c>
      <c r="L640" t="n">
        <v>2006</v>
      </c>
      <c r="M640" t="inlineStr">
        <is>
          <t>受眾簡訊代發</t>
        </is>
      </c>
      <c r="N640" t="inlineStr">
        <is>
          <t>邱佳明</t>
        </is>
      </c>
      <c r="O640" t="inlineStr">
        <is>
          <t>臺北市大安區敦化南路2段105號25樓</t>
        </is>
      </c>
      <c r="P640" t="inlineStr">
        <is>
          <t>Jimmy.chiu@ipsos.com</t>
        </is>
      </c>
      <c r="Q640" t="inlineStr">
        <is>
          <t>02-27017278#226</t>
        </is>
      </c>
      <c r="R640" t="inlineStr"/>
      <c r="S640" t="inlineStr">
        <is>
          <t>已收款</t>
        </is>
      </c>
      <c r="T640" t="inlineStr">
        <is>
          <t>頂級汽車
來源：單次型發票及收款紀錄 第 159 列</t>
        </is>
      </c>
      <c r="U640" t="inlineStr"/>
      <c r="V640" t="inlineStr">
        <is>
          <t>2026-05-18</t>
        </is>
      </c>
    </row>
    <row r="641">
      <c r="A641" t="inlineStr">
        <is>
          <t>inv_dbd2e1930d68</t>
        </is>
      </c>
      <c r="B641" t="inlineStr">
        <is>
          <t>劉泳成</t>
        </is>
      </c>
      <c r="C641" t="inlineStr">
        <is>
          <t>2024-07-02</t>
        </is>
      </c>
      <c r="D641" t="inlineStr">
        <is>
          <t>2162847</t>
        </is>
      </c>
      <c r="E641" t="inlineStr"/>
      <c r="F641" t="inlineStr">
        <is>
          <t>2024-04-09</t>
        </is>
      </c>
      <c r="G641" t="inlineStr">
        <is>
          <t>ZD03694127</t>
        </is>
      </c>
      <c r="H641" t="inlineStr">
        <is>
          <t>cus_d42739550cb8</t>
        </is>
      </c>
      <c r="I641" t="inlineStr">
        <is>
          <t>益普索市場研究股份有限公司</t>
        </is>
      </c>
      <c r="J641" t="inlineStr">
        <is>
          <t>80506608</t>
        </is>
      </c>
      <c r="K641" t="n">
        <v>177840</v>
      </c>
      <c r="L641" t="n">
        <v>186732</v>
      </c>
      <c r="M641" t="inlineStr">
        <is>
          <t>受眾簡訊代發</t>
        </is>
      </c>
      <c r="N641" t="inlineStr">
        <is>
          <t>邱佳明</t>
        </is>
      </c>
      <c r="O641" t="inlineStr">
        <is>
          <t>臺北市大安區敦化南路2段105號25樓</t>
        </is>
      </c>
      <c r="P641" t="inlineStr">
        <is>
          <t>Jimmy.chiu@ipsos.com</t>
        </is>
      </c>
      <c r="Q641" t="inlineStr">
        <is>
          <t>02-27017278#226</t>
        </is>
      </c>
      <c r="R641" t="inlineStr"/>
      <c r="S641" t="inlineStr">
        <is>
          <t>已收款</t>
        </is>
      </c>
      <c r="T641" t="inlineStr">
        <is>
          <t>APP平台消費行為研究調查
來源：單次型發票及收款紀錄 第 160 列</t>
        </is>
      </c>
      <c r="U641" t="inlineStr"/>
      <c r="V641" t="inlineStr">
        <is>
          <t>2026-05-18</t>
        </is>
      </c>
    </row>
    <row r="642">
      <c r="A642" t="inlineStr">
        <is>
          <t>inv_2886a8923c19</t>
        </is>
      </c>
      <c r="B642" t="inlineStr">
        <is>
          <t>劉泳成</t>
        </is>
      </c>
      <c r="C642" t="inlineStr">
        <is>
          <t>2024-07-31</t>
        </is>
      </c>
      <c r="D642" t="inlineStr">
        <is>
          <t>2225404</t>
        </is>
      </c>
      <c r="E642" t="inlineStr"/>
      <c r="F642" t="inlineStr">
        <is>
          <t>2024-05-24</t>
        </is>
      </c>
      <c r="G642" t="inlineStr">
        <is>
          <t>BD03676635</t>
        </is>
      </c>
      <c r="H642" t="inlineStr">
        <is>
          <t>cus_d42739550cb8</t>
        </is>
      </c>
      <c r="I642" t="inlineStr">
        <is>
          <t>益普索市場研究股份有限公司</t>
        </is>
      </c>
      <c r="J642" t="inlineStr">
        <is>
          <t>80506608</t>
        </is>
      </c>
      <c r="K642" t="n">
        <v>15000</v>
      </c>
      <c r="L642" t="n">
        <v>15750</v>
      </c>
      <c r="M642" t="inlineStr">
        <is>
          <t>受眾簡訊代發</t>
        </is>
      </c>
      <c r="N642" t="inlineStr">
        <is>
          <t>邱佳明</t>
        </is>
      </c>
      <c r="O642" t="inlineStr">
        <is>
          <t>臺北市大安區敦化南路2段105號25樓</t>
        </is>
      </c>
      <c r="P642" t="inlineStr">
        <is>
          <t>Jimmy.chiu@ipsos.com</t>
        </is>
      </c>
      <c r="Q642" t="inlineStr">
        <is>
          <t>02-27017278#226</t>
        </is>
      </c>
      <c r="R642" t="inlineStr"/>
      <c r="S642" t="inlineStr">
        <is>
          <t>已收款</t>
        </is>
      </c>
      <c r="T642" t="inlineStr">
        <is>
          <t>汽車車主研究調查
來源：單次型發票及收款紀錄 第 161 列</t>
        </is>
      </c>
      <c r="U642" t="inlineStr"/>
      <c r="V642" t="inlineStr">
        <is>
          <t>2026-05-18</t>
        </is>
      </c>
    </row>
    <row r="643">
      <c r="A643" t="inlineStr">
        <is>
          <t>inv_829f49ef8b89</t>
        </is>
      </c>
      <c r="B643" t="inlineStr">
        <is>
          <t>劉泳成</t>
        </is>
      </c>
      <c r="C643" t="inlineStr">
        <is>
          <t>2024-10-01</t>
        </is>
      </c>
      <c r="D643" t="inlineStr">
        <is>
          <t>2287590</t>
        </is>
      </c>
      <c r="E643" t="inlineStr"/>
      <c r="F643" t="inlineStr">
        <is>
          <t>2024-07-05</t>
        </is>
      </c>
      <c r="G643" t="inlineStr">
        <is>
          <t>DC03652251</t>
        </is>
      </c>
      <c r="H643" t="inlineStr">
        <is>
          <t>cus_d42739550cb8</t>
        </is>
      </c>
      <c r="I643" t="inlineStr">
        <is>
          <t>益普索市場研究股份有限公司</t>
        </is>
      </c>
      <c r="J643" t="inlineStr">
        <is>
          <t>80506608</t>
        </is>
      </c>
      <c r="K643" t="n">
        <v>5380</v>
      </c>
      <c r="L643" t="n">
        <v>5649</v>
      </c>
      <c r="M643" t="inlineStr">
        <is>
          <t>受眾簡訊代發</t>
        </is>
      </c>
      <c r="N643" t="inlineStr">
        <is>
          <t>邱佳明</t>
        </is>
      </c>
      <c r="O643" t="inlineStr">
        <is>
          <t>臺北市大安區敦化南路2段105號25樓</t>
        </is>
      </c>
      <c r="P643" t="inlineStr">
        <is>
          <t>Jimmy.chiu@ipsos.com</t>
        </is>
      </c>
      <c r="Q643" t="inlineStr">
        <is>
          <t>02-27017278#226</t>
        </is>
      </c>
      <c r="R643" t="inlineStr"/>
      <c r="S643" t="inlineStr">
        <is>
          <t>已收款</t>
        </is>
      </c>
      <c r="T643" t="inlineStr">
        <is>
          <t>高級酒類問券
來源：單次型發票及收款紀錄 第 162 列</t>
        </is>
      </c>
      <c r="U643" t="inlineStr"/>
      <c r="V643" t="inlineStr">
        <is>
          <t>2026-05-18</t>
        </is>
      </c>
    </row>
    <row r="644">
      <c r="A644" t="inlineStr">
        <is>
          <t>inv_7396e8a3b5ea</t>
        </is>
      </c>
      <c r="B644" t="inlineStr">
        <is>
          <t>劉泳成</t>
        </is>
      </c>
      <c r="C644" t="inlineStr">
        <is>
          <t>2024-10-01</t>
        </is>
      </c>
      <c r="D644" t="inlineStr">
        <is>
          <t>2287591</t>
        </is>
      </c>
      <c r="E644" t="inlineStr"/>
      <c r="F644" t="inlineStr">
        <is>
          <t>2024-07-05</t>
        </is>
      </c>
      <c r="G644" t="inlineStr">
        <is>
          <t>DC03652252</t>
        </is>
      </c>
      <c r="H644" t="inlineStr">
        <is>
          <t>cus_d42739550cb8</t>
        </is>
      </c>
      <c r="I644" t="inlineStr">
        <is>
          <t>益普索市場研究股份有限公司</t>
        </is>
      </c>
      <c r="J644" t="inlineStr">
        <is>
          <t>80506608</t>
        </is>
      </c>
      <c r="K644" t="n">
        <v>3230</v>
      </c>
      <c r="L644" t="n">
        <v>3392</v>
      </c>
      <c r="M644" t="inlineStr">
        <is>
          <t>受眾簡訊代發</t>
        </is>
      </c>
      <c r="N644" t="inlineStr">
        <is>
          <t>邱佳明</t>
        </is>
      </c>
      <c r="O644" t="inlineStr">
        <is>
          <t>臺北市大安區敦化南路2段105號25樓</t>
        </is>
      </c>
      <c r="P644" t="inlineStr">
        <is>
          <t>Jimmy.chiu@ipsos.com</t>
        </is>
      </c>
      <c r="Q644" t="inlineStr">
        <is>
          <t>02-27017278#226</t>
        </is>
      </c>
      <c r="R644" t="inlineStr"/>
      <c r="S644" t="inlineStr">
        <is>
          <t>已收款</t>
        </is>
      </c>
      <c r="T644" t="inlineStr">
        <is>
          <t>時尚精品品牌
來源：單次型發票及收款紀錄 第 163 列</t>
        </is>
      </c>
      <c r="U644" t="inlineStr"/>
      <c r="V644" t="inlineStr">
        <is>
          <t>2026-05-18</t>
        </is>
      </c>
    </row>
    <row r="645">
      <c r="A645" t="inlineStr">
        <is>
          <t>inv_d0085a6f44cd</t>
        </is>
      </c>
      <c r="B645" t="inlineStr">
        <is>
          <t>Cobi</t>
        </is>
      </c>
      <c r="C645" t="inlineStr">
        <is>
          <t>2025-06-02</t>
        </is>
      </c>
      <c r="D645" t="inlineStr">
        <is>
          <t>2554655</t>
        </is>
      </c>
      <c r="E645" t="inlineStr">
        <is>
          <t>2024.02.16</t>
        </is>
      </c>
      <c r="F645" t="inlineStr">
        <is>
          <t>2025-03-05</t>
        </is>
      </c>
      <c r="G645" t="inlineStr">
        <is>
          <t>LY43825859</t>
        </is>
      </c>
      <c r="H645" t="inlineStr">
        <is>
          <t>cus_d42739550cb8</t>
        </is>
      </c>
      <c r="I645" t="inlineStr">
        <is>
          <t>益普索市場研究股份有限公司</t>
        </is>
      </c>
      <c r="J645" t="inlineStr">
        <is>
          <t>80506608</t>
        </is>
      </c>
      <c r="K645" t="n">
        <v>6120</v>
      </c>
      <c r="L645" t="n">
        <v>6426</v>
      </c>
      <c r="M645" t="inlineStr">
        <is>
          <t>受眾簡訊代發</t>
        </is>
      </c>
      <c r="N645" t="inlineStr">
        <is>
          <t>邱佳明</t>
        </is>
      </c>
      <c r="O645" t="inlineStr">
        <is>
          <t>臺北市大安區敦化南路2段105號25樓</t>
        </is>
      </c>
      <c r="P645" t="inlineStr">
        <is>
          <t>Jimmy.chiu@ipsos.com</t>
        </is>
      </c>
      <c r="Q645" t="inlineStr">
        <is>
          <t>02-27017278#226</t>
        </is>
      </c>
      <c r="R645" t="inlineStr"/>
      <c r="S645" t="inlineStr">
        <is>
          <t>已收款</t>
        </is>
      </c>
      <c r="T645" t="inlineStr">
        <is>
          <t>女性臉部保養品
來源：單次型發票及收款紀錄 第 164 列</t>
        </is>
      </c>
      <c r="U645" t="inlineStr">
        <is>
          <t>收到發票隔月起60天</t>
        </is>
      </c>
      <c r="V645" t="inlineStr">
        <is>
          <t>2026-05-18</t>
        </is>
      </c>
    </row>
    <row r="646">
      <c r="A646" t="inlineStr">
        <is>
          <t>inv_ff7eec035a54</t>
        </is>
      </c>
      <c r="B646" t="inlineStr">
        <is>
          <t>Cobi</t>
        </is>
      </c>
      <c r="C646" t="inlineStr">
        <is>
          <t>2025-09-25</t>
        </is>
      </c>
      <c r="D646" t="inlineStr">
        <is>
          <t>2751684</t>
        </is>
      </c>
      <c r="E646" t="inlineStr"/>
      <c r="F646" t="inlineStr">
        <is>
          <t>2025-08-28</t>
        </is>
      </c>
      <c r="G646" t="inlineStr"/>
      <c r="H646" t="inlineStr">
        <is>
          <t>cus_41298eb9466b</t>
        </is>
      </c>
      <c r="I646" t="inlineStr">
        <is>
          <t>王品餐飲股份有限公司</t>
        </is>
      </c>
      <c r="J646" t="inlineStr">
        <is>
          <t>84630426</t>
        </is>
      </c>
      <c r="K646" t="n">
        <v>0</v>
      </c>
      <c r="L646" t="n">
        <v>50000</v>
      </c>
      <c r="M646" t="inlineStr">
        <is>
          <t>CMoney市場銷售分析戰情室</t>
        </is>
      </c>
      <c r="N646" t="inlineStr">
        <is>
          <t>王香淇 Katie</t>
        </is>
      </c>
      <c r="O646" t="inlineStr">
        <is>
          <t>台中市西區臺灣大道二段218號25樓</t>
        </is>
      </c>
      <c r="P646" t="inlineStr">
        <is>
          <t>kate.wang@wowprime.com</t>
        </is>
      </c>
      <c r="Q646" t="inlineStr">
        <is>
          <t>04-2322-1868  EXT: 1181</t>
        </is>
      </c>
      <c r="R646" t="inlineStr"/>
      <c r="S646" t="inlineStr">
        <is>
          <t>已收款</t>
        </is>
      </c>
      <c r="T646" t="inlineStr">
        <is>
          <t>CMoney市場銷售分析戰情室
來源：單次型發票及收款紀錄 第 165 列</t>
        </is>
      </c>
      <c r="U646" t="inlineStr">
        <is>
          <t>收到發票隔月30號</t>
        </is>
      </c>
      <c r="V646" t="inlineStr">
        <is>
          <t>2026-05-18</t>
        </is>
      </c>
    </row>
    <row r="647">
      <c r="A647" t="inlineStr">
        <is>
          <t>inv_38431f533f10</t>
        </is>
      </c>
      <c r="B647" t="inlineStr">
        <is>
          <t>梁芫菁</t>
        </is>
      </c>
      <c r="C647" t="inlineStr">
        <is>
          <t>2023-12-15</t>
        </is>
      </c>
      <c r="D647" t="inlineStr">
        <is>
          <t>三聯手開</t>
        </is>
      </c>
      <c r="E647" t="inlineStr"/>
      <c r="F647" t="inlineStr">
        <is>
          <t>2023-10-01</t>
        </is>
      </c>
      <c r="G647" t="inlineStr">
        <is>
          <t>RY28671738</t>
        </is>
      </c>
      <c r="H647" t="inlineStr">
        <is>
          <t>cus_71849f516d67</t>
        </is>
      </c>
      <c r="I647" t="inlineStr">
        <is>
          <t>爭鮮股份有限公司</t>
        </is>
      </c>
      <c r="J647" t="inlineStr">
        <is>
          <t>97286918</t>
        </is>
      </c>
      <c r="K647" t="n">
        <v>47619</v>
      </c>
      <c r="L647" t="n">
        <v>50000</v>
      </c>
      <c r="M647" t="inlineStr">
        <is>
          <t>廣告費</t>
        </is>
      </c>
      <c r="N647" t="inlineStr">
        <is>
          <t>林映莉</t>
        </is>
      </c>
      <c r="O647" t="inlineStr">
        <is>
          <t>110058 台北市忠孝東路四段559巷16弄21號1F</t>
        </is>
      </c>
      <c r="P647" t="inlineStr"/>
      <c r="Q647" t="inlineStr">
        <is>
          <t>02-2760-2200 ext. 1803</t>
        </is>
      </c>
      <c r="R647" t="inlineStr"/>
      <c r="S647" t="inlineStr">
        <is>
          <t>已收款</t>
        </is>
      </c>
      <c r="T647" t="inlineStr">
        <is>
          <t>來源：單次型發票及收款紀錄 第 166 列</t>
        </is>
      </c>
      <c r="U647" t="inlineStr"/>
      <c r="V647" t="inlineStr">
        <is>
          <t>2026-05-18</t>
        </is>
      </c>
    </row>
    <row r="648">
      <c r="A648" t="inlineStr">
        <is>
          <t>inv_9a76d0c9015f</t>
        </is>
      </c>
      <c r="B648" t="inlineStr">
        <is>
          <t>Cobi</t>
        </is>
      </c>
      <c r="C648" t="inlineStr">
        <is>
          <t>2025-04-15</t>
        </is>
      </c>
      <c r="D648" t="inlineStr">
        <is>
          <t>2559444</t>
        </is>
      </c>
      <c r="E648" t="inlineStr"/>
      <c r="F648" t="inlineStr">
        <is>
          <t>2025-03-10</t>
        </is>
      </c>
      <c r="G648" t="inlineStr">
        <is>
          <t>LY43830123</t>
        </is>
      </c>
      <c r="H648" t="inlineStr">
        <is>
          <t>cus_1fcec1c737d4</t>
        </is>
      </c>
      <c r="I648" t="inlineStr">
        <is>
          <t>沛星互動科技股份有限公司.</t>
        </is>
      </c>
      <c r="J648" t="inlineStr">
        <is>
          <t>53102168</t>
        </is>
      </c>
      <c r="K648" t="n">
        <v>108000</v>
      </c>
      <c r="L648" t="n">
        <v>113400</v>
      </c>
      <c r="M648" t="inlineStr">
        <is>
          <t>發票數據受眾包</t>
        </is>
      </c>
      <c r="N648" t="inlineStr">
        <is>
          <t>Eddie Chen</t>
        </is>
      </c>
      <c r="O648" t="inlineStr">
        <is>
          <t>110 台北市信義區松仁路123號6樓</t>
        </is>
      </c>
      <c r="P648" t="inlineStr">
        <is>
          <t>billing@appier.com; eddie.chen@appier.com ; melody.shen@appier.com</t>
        </is>
      </c>
      <c r="Q648" t="inlineStr">
        <is>
          <t>02-87802880</t>
        </is>
      </c>
      <c r="R648" t="inlineStr"/>
      <c r="S648" t="inlineStr">
        <is>
          <t>已收款</t>
        </is>
      </c>
      <c r="T648" t="inlineStr">
        <is>
          <t>Appier
來源：單次型發票及收款紀錄 第 167 列</t>
        </is>
      </c>
      <c r="U648" t="inlineStr">
        <is>
          <t>收到發票隔月底前</t>
        </is>
      </c>
      <c r="V648" t="inlineStr">
        <is>
          <t>2026-05-18</t>
        </is>
      </c>
    </row>
    <row r="649">
      <c r="A649" t="inlineStr">
        <is>
          <t>inv_f688f606c0d5</t>
        </is>
      </c>
      <c r="B649" t="inlineStr">
        <is>
          <t>黃思睿</t>
        </is>
      </c>
      <c r="C649" t="inlineStr">
        <is>
          <t>2023-11-15</t>
        </is>
      </c>
      <c r="D649" t="inlineStr">
        <is>
          <t>1934478</t>
        </is>
      </c>
      <c r="E649" t="inlineStr">
        <is>
          <t>2023.10.12</t>
        </is>
      </c>
      <c r="F649" t="inlineStr">
        <is>
          <t>2023-10-12</t>
        </is>
      </c>
      <c r="G649" t="inlineStr">
        <is>
          <t>TC44755158</t>
        </is>
      </c>
      <c r="H649" t="inlineStr">
        <is>
          <t>cus_c5dc9d1310ce</t>
        </is>
      </c>
      <c r="I649" t="inlineStr">
        <is>
          <t>沛星互動科技股份有限公司</t>
        </is>
      </c>
      <c r="J649" t="inlineStr">
        <is>
          <t>53102168</t>
        </is>
      </c>
      <c r="K649" t="n">
        <v>60000</v>
      </c>
      <c r="L649" t="n">
        <v>63000</v>
      </c>
      <c r="M649" t="inlineStr">
        <is>
          <t>發票數據受眾包</t>
        </is>
      </c>
      <c r="N649" t="inlineStr">
        <is>
          <t>Eddie Chen</t>
        </is>
      </c>
      <c r="O649" t="inlineStr"/>
      <c r="P649" t="inlineStr">
        <is>
          <t>eddie.chen@appier.com</t>
        </is>
      </c>
      <c r="Q649" t="inlineStr">
        <is>
          <t>02-87802880</t>
        </is>
      </c>
      <c r="R649" t="inlineStr"/>
      <c r="S649" t="inlineStr">
        <is>
          <t>已收款</t>
        </is>
      </c>
      <c r="T649" t="inlineStr">
        <is>
          <t>Appier
來源：單次型發票及收款紀錄 第 168 列</t>
        </is>
      </c>
      <c r="U649" t="inlineStr">
        <is>
          <t>收到發票隔月底前</t>
        </is>
      </c>
      <c r="V649" t="inlineStr">
        <is>
          <t>2026-05-18</t>
        </is>
      </c>
    </row>
    <row r="650">
      <c r="A650" t="inlineStr">
        <is>
          <t>inv_7186bfb05ca0</t>
        </is>
      </c>
      <c r="B650" t="inlineStr">
        <is>
          <t>黃思睿</t>
        </is>
      </c>
      <c r="C650" t="inlineStr">
        <is>
          <t>2024-03-01</t>
        </is>
      </c>
      <c r="D650" t="inlineStr">
        <is>
          <t>1965203</t>
        </is>
      </c>
      <c r="E650" t="inlineStr">
        <is>
          <t>2023.11.08</t>
        </is>
      </c>
      <c r="F650" t="inlineStr">
        <is>
          <t>2023-11-08</t>
        </is>
      </c>
      <c r="G650" t="inlineStr">
        <is>
          <t>VC44723851</t>
        </is>
      </c>
      <c r="H650" t="inlineStr">
        <is>
          <t>cus_c5dc9d1310ce</t>
        </is>
      </c>
      <c r="I650" t="inlineStr">
        <is>
          <t>沛星互動科技股份有限公司</t>
        </is>
      </c>
      <c r="J650" t="inlineStr">
        <is>
          <t>53102168</t>
        </is>
      </c>
      <c r="K650" t="n">
        <v>57850</v>
      </c>
      <c r="L650" t="n">
        <v>60742</v>
      </c>
      <c r="M650" t="inlineStr">
        <is>
          <t>發票數據受眾包</t>
        </is>
      </c>
      <c r="N650" t="inlineStr">
        <is>
          <t>Eddie Chen</t>
        </is>
      </c>
      <c r="O650" t="inlineStr">
        <is>
          <t>110 台北市信義區松仁路123號6樓</t>
        </is>
      </c>
      <c r="P650" t="inlineStr">
        <is>
          <t>eddie.chen@appier.com</t>
        </is>
      </c>
      <c r="Q650" t="inlineStr">
        <is>
          <t>02-87802880</t>
        </is>
      </c>
      <c r="R650" t="inlineStr"/>
      <c r="S650" t="inlineStr">
        <is>
          <t>已收款</t>
        </is>
      </c>
      <c r="T650" t="inlineStr">
        <is>
          <t>Appier
來源：單次型發票及收款紀錄 第 169 列</t>
        </is>
      </c>
      <c r="U650" t="inlineStr">
        <is>
          <t>收到發票隔月底前</t>
        </is>
      </c>
      <c r="V650" t="inlineStr">
        <is>
          <t>2026-05-18</t>
        </is>
      </c>
    </row>
    <row r="651">
      <c r="A651" t="inlineStr">
        <is>
          <t>inv_120de26f43eb</t>
        </is>
      </c>
      <c r="B651" t="inlineStr">
        <is>
          <t>黃思睿</t>
        </is>
      </c>
      <c r="C651" t="inlineStr">
        <is>
          <t>2024-03-01</t>
        </is>
      </c>
      <c r="D651" t="inlineStr">
        <is>
          <t>2004789</t>
        </is>
      </c>
      <c r="E651" t="inlineStr">
        <is>
          <t>2023.12.06</t>
        </is>
      </c>
      <c r="F651" t="inlineStr">
        <is>
          <t>2023-12-06</t>
        </is>
      </c>
      <c r="G651" t="inlineStr">
        <is>
          <t>VC44759558</t>
        </is>
      </c>
      <c r="H651" t="inlineStr">
        <is>
          <t>cus_c5dc9d1310ce</t>
        </is>
      </c>
      <c r="I651" t="inlineStr">
        <is>
          <t>沛星互動科技股份有限公司</t>
        </is>
      </c>
      <c r="J651" t="inlineStr">
        <is>
          <t>53102168</t>
        </is>
      </c>
      <c r="K651" t="n">
        <v>15000</v>
      </c>
      <c r="L651" t="n">
        <v>15750</v>
      </c>
      <c r="M651" t="inlineStr">
        <is>
          <t>發票數據受眾包</t>
        </is>
      </c>
      <c r="N651" t="inlineStr">
        <is>
          <t>Eddie Chen</t>
        </is>
      </c>
      <c r="O651" t="inlineStr">
        <is>
          <t>110 台北市信義區松仁路123號6樓</t>
        </is>
      </c>
      <c r="P651" t="inlineStr">
        <is>
          <t>eddie.chen@appier.com</t>
        </is>
      </c>
      <c r="Q651" t="inlineStr">
        <is>
          <t>02-87802880</t>
        </is>
      </c>
      <c r="R651" t="inlineStr"/>
      <c r="S651" t="inlineStr">
        <is>
          <t>已收款</t>
        </is>
      </c>
      <c r="T651" t="inlineStr">
        <is>
          <t>Appier
來源：單次型發票及收款紀錄 第 170 列</t>
        </is>
      </c>
      <c r="U651" t="inlineStr">
        <is>
          <t>收到發票隔月底前</t>
        </is>
      </c>
      <c r="V651" t="inlineStr">
        <is>
          <t>2026-05-18</t>
        </is>
      </c>
    </row>
    <row r="652">
      <c r="A652" t="inlineStr">
        <is>
          <t>inv_00bc5900eded</t>
        </is>
      </c>
      <c r="B652" t="inlineStr">
        <is>
          <t>黃思睿</t>
        </is>
      </c>
      <c r="C652" t="inlineStr">
        <is>
          <t>2024-04-30</t>
        </is>
      </c>
      <c r="D652" t="inlineStr">
        <is>
          <t>2076187</t>
        </is>
      </c>
      <c r="E652" t="inlineStr">
        <is>
          <t>2024.02.05</t>
        </is>
      </c>
      <c r="F652" t="inlineStr">
        <is>
          <t>2024-02-05</t>
        </is>
      </c>
      <c r="G652" t="inlineStr">
        <is>
          <t>XE03684430</t>
        </is>
      </c>
      <c r="H652" t="inlineStr">
        <is>
          <t>cus_c5dc9d1310ce</t>
        </is>
      </c>
      <c r="I652" t="inlineStr">
        <is>
          <t>沛星互動科技股份有限公司</t>
        </is>
      </c>
      <c r="J652" t="inlineStr">
        <is>
          <t>53102168</t>
        </is>
      </c>
      <c r="K652" t="n">
        <v>53246</v>
      </c>
      <c r="L652" t="n">
        <v>55908</v>
      </c>
      <c r="M652" t="inlineStr">
        <is>
          <t>發票數據受眾包</t>
        </is>
      </c>
      <c r="N652" t="inlineStr">
        <is>
          <t>Eddie Chen</t>
        </is>
      </c>
      <c r="O652" t="inlineStr">
        <is>
          <t>110 台北市信義區松仁路123號6樓</t>
        </is>
      </c>
      <c r="P652" t="inlineStr">
        <is>
          <t>eddie.chen@appier.com</t>
        </is>
      </c>
      <c r="Q652" t="inlineStr">
        <is>
          <t>02-87802880</t>
        </is>
      </c>
      <c r="R652" t="inlineStr"/>
      <c r="S652" t="inlineStr">
        <is>
          <t>已收款</t>
        </is>
      </c>
      <c r="T652" t="inlineStr">
        <is>
          <t>Appier
來源：單次型發票及收款紀錄 第 171 列</t>
        </is>
      </c>
      <c r="U652" t="inlineStr">
        <is>
          <t>收到發票隔月底前</t>
        </is>
      </c>
      <c r="V652" t="inlineStr">
        <is>
          <t>2026-05-18</t>
        </is>
      </c>
    </row>
    <row r="653">
      <c r="A653" t="inlineStr">
        <is>
          <t>inv_325d2cf24a85</t>
        </is>
      </c>
      <c r="B653" t="inlineStr">
        <is>
          <t>黃思睿</t>
        </is>
      </c>
      <c r="C653" t="inlineStr">
        <is>
          <t>2024-04-30</t>
        </is>
      </c>
      <c r="D653" t="inlineStr">
        <is>
          <t>2117281</t>
        </is>
      </c>
      <c r="E653" t="inlineStr">
        <is>
          <t>2024.03.08</t>
        </is>
      </c>
      <c r="F653" t="inlineStr">
        <is>
          <t>2024-03-08</t>
        </is>
      </c>
      <c r="G653" t="inlineStr">
        <is>
          <t>ZD03656433</t>
        </is>
      </c>
      <c r="H653" t="inlineStr">
        <is>
          <t>cus_c5dc9d1310ce</t>
        </is>
      </c>
      <c r="I653" t="inlineStr">
        <is>
          <t>沛星互動科技股份有限公司</t>
        </is>
      </c>
      <c r="J653" t="inlineStr">
        <is>
          <t>53102168</t>
        </is>
      </c>
      <c r="K653" t="n">
        <v>40000</v>
      </c>
      <c r="L653" t="n">
        <v>42000</v>
      </c>
      <c r="M653" t="inlineStr">
        <is>
          <t>發票數據受眾包</t>
        </is>
      </c>
      <c r="N653" t="inlineStr">
        <is>
          <t>Eddie Chen</t>
        </is>
      </c>
      <c r="O653" t="inlineStr">
        <is>
          <t>110 台北市信義區松仁路123號6樓</t>
        </is>
      </c>
      <c r="P653" t="inlineStr">
        <is>
          <t>eddie.chen@appier.com</t>
        </is>
      </c>
      <c r="Q653" t="inlineStr">
        <is>
          <t>02-87802880</t>
        </is>
      </c>
      <c r="R653" t="inlineStr"/>
      <c r="S653" t="inlineStr">
        <is>
          <t>已收款</t>
        </is>
      </c>
      <c r="T653" t="inlineStr">
        <is>
          <t>Appier
來源：單次型發票及收款紀錄 第 172 列</t>
        </is>
      </c>
      <c r="U653" t="inlineStr">
        <is>
          <t>收到發票隔月底前</t>
        </is>
      </c>
      <c r="V653" t="inlineStr">
        <is>
          <t>2026-05-18</t>
        </is>
      </c>
    </row>
    <row r="654">
      <c r="A654" t="inlineStr">
        <is>
          <t>inv_3af719bb813a</t>
        </is>
      </c>
      <c r="B654" t="inlineStr">
        <is>
          <t>黃思睿</t>
        </is>
      </c>
      <c r="C654" t="inlineStr">
        <is>
          <t>2024-05-15</t>
        </is>
      </c>
      <c r="D654" t="inlineStr">
        <is>
          <t>2165975</t>
        </is>
      </c>
      <c r="E654" t="inlineStr"/>
      <c r="F654" t="inlineStr">
        <is>
          <t>2024-04-12</t>
        </is>
      </c>
      <c r="G654" t="inlineStr">
        <is>
          <t>ZD03696547</t>
        </is>
      </c>
      <c r="H654" t="inlineStr">
        <is>
          <t>cus_c5dc9d1310ce</t>
        </is>
      </c>
      <c r="I654" t="inlineStr">
        <is>
          <t>沛星互動科技股份有限公司</t>
        </is>
      </c>
      <c r="J654" t="inlineStr">
        <is>
          <t>53102168</t>
        </is>
      </c>
      <c r="K654" t="n">
        <v>52310</v>
      </c>
      <c r="L654" t="n">
        <v>54926</v>
      </c>
      <c r="M654" t="inlineStr">
        <is>
          <t>發票數據受眾包</t>
        </is>
      </c>
      <c r="N654" t="inlineStr">
        <is>
          <t>Eddie Chen</t>
        </is>
      </c>
      <c r="O654" t="inlineStr">
        <is>
          <t>110 台北市信義區松仁路123號6樓</t>
        </is>
      </c>
      <c r="P654" t="inlineStr">
        <is>
          <t>billing@appier.com; eddie.chen@appier.com ; melody.shen@appier.com</t>
        </is>
      </c>
      <c r="Q654" t="inlineStr">
        <is>
          <t>02-87802880</t>
        </is>
      </c>
      <c r="R654" t="inlineStr"/>
      <c r="S654" t="inlineStr">
        <is>
          <t>已收款</t>
        </is>
      </c>
      <c r="T654" t="inlineStr">
        <is>
          <t>Appier
來源：單次型發票及收款紀錄 第 173 列</t>
        </is>
      </c>
      <c r="U654" t="inlineStr">
        <is>
          <t>收到發票隔月底前</t>
        </is>
      </c>
      <c r="V654" t="inlineStr">
        <is>
          <t>2026-05-18</t>
        </is>
      </c>
    </row>
    <row r="655">
      <c r="A655" t="inlineStr">
        <is>
          <t>inv_07139d7027f8</t>
        </is>
      </c>
      <c r="B655" t="inlineStr">
        <is>
          <t>黃思睿</t>
        </is>
      </c>
      <c r="C655" t="inlineStr">
        <is>
          <t>2024-09-16</t>
        </is>
      </c>
      <c r="D655" t="inlineStr">
        <is>
          <t>2200388</t>
        </is>
      </c>
      <c r="E655" t="inlineStr"/>
      <c r="F655" t="inlineStr">
        <is>
          <t>2024-05-07</t>
        </is>
      </c>
      <c r="G655" t="inlineStr">
        <is>
          <t>BD03653737</t>
        </is>
      </c>
      <c r="H655" t="inlineStr">
        <is>
          <t>cus_c5dc9d1310ce</t>
        </is>
      </c>
      <c r="I655" t="inlineStr">
        <is>
          <t>沛星互動科技股份有限公司</t>
        </is>
      </c>
      <c r="J655" t="inlineStr">
        <is>
          <t>53102168</t>
        </is>
      </c>
      <c r="K655" t="n">
        <v>43699</v>
      </c>
      <c r="L655" t="n">
        <v>45884</v>
      </c>
      <c r="M655" t="inlineStr">
        <is>
          <t>發票數據受眾包</t>
        </is>
      </c>
      <c r="N655" t="inlineStr">
        <is>
          <t>Eddie Chen</t>
        </is>
      </c>
      <c r="O655" t="inlineStr">
        <is>
          <t>110 台北市信義區松仁路123號6樓</t>
        </is>
      </c>
      <c r="P655" t="inlineStr">
        <is>
          <t>billing@appier.com; eddie.chen@appier.com ; melody.shen@appier.com</t>
        </is>
      </c>
      <c r="Q655" t="inlineStr">
        <is>
          <t>02-87802880</t>
        </is>
      </c>
      <c r="R655" t="inlineStr"/>
      <c r="S655" t="inlineStr">
        <is>
          <t>已收款</t>
        </is>
      </c>
      <c r="T655" t="inlineStr">
        <is>
          <t>Appier
來源：單次型發票及收款紀錄 第 174 列</t>
        </is>
      </c>
      <c r="U655" t="inlineStr">
        <is>
          <t>收到發票隔月底前</t>
        </is>
      </c>
      <c r="V655" t="inlineStr">
        <is>
          <t>2026-05-18</t>
        </is>
      </c>
    </row>
    <row r="656">
      <c r="A656" t="inlineStr">
        <is>
          <t>inv_f6b5858d02fa</t>
        </is>
      </c>
      <c r="B656" t="inlineStr">
        <is>
          <t>黃思睿</t>
        </is>
      </c>
      <c r="C656" t="inlineStr">
        <is>
          <t>2024-09-16</t>
        </is>
      </c>
      <c r="D656" t="inlineStr">
        <is>
          <t>2246859</t>
        </is>
      </c>
      <c r="E656" t="inlineStr"/>
      <c r="F656" t="inlineStr">
        <is>
          <t>2024-06-06</t>
        </is>
      </c>
      <c r="G656" t="inlineStr">
        <is>
          <t>BD03695139</t>
        </is>
      </c>
      <c r="H656" t="inlineStr">
        <is>
          <t>cus_c5dc9d1310ce</t>
        </is>
      </c>
      <c r="I656" t="inlineStr">
        <is>
          <t>沛星互動科技股份有限公司</t>
        </is>
      </c>
      <c r="J656" t="inlineStr">
        <is>
          <t>53102168</t>
        </is>
      </c>
      <c r="K656" t="n">
        <v>82874</v>
      </c>
      <c r="L656" t="n">
        <v>87018</v>
      </c>
      <c r="M656" t="inlineStr">
        <is>
          <t>發票數據受眾包</t>
        </is>
      </c>
      <c r="N656" t="inlineStr">
        <is>
          <t>Eddie Chen</t>
        </is>
      </c>
      <c r="O656" t="inlineStr">
        <is>
          <t>110 台北市信義區松仁路123號6樓</t>
        </is>
      </c>
      <c r="P656" t="inlineStr">
        <is>
          <t>billing@appier.com; eddie.chen@appier.com ; melody.shen@appier.com</t>
        </is>
      </c>
      <c r="Q656" t="inlineStr">
        <is>
          <t>02-87802880</t>
        </is>
      </c>
      <c r="R656" t="inlineStr"/>
      <c r="S656" t="inlineStr">
        <is>
          <t>已收款</t>
        </is>
      </c>
      <c r="T656" t="inlineStr">
        <is>
          <t>Appier
來源：單次型發票及收款紀錄 第 175 列</t>
        </is>
      </c>
      <c r="U656" t="inlineStr">
        <is>
          <t>收到發票隔月底前</t>
        </is>
      </c>
      <c r="V656" t="inlineStr">
        <is>
          <t>2026-05-18</t>
        </is>
      </c>
    </row>
    <row r="657">
      <c r="A657" t="inlineStr">
        <is>
          <t>inv_1b5382c71c97</t>
        </is>
      </c>
      <c r="B657" t="inlineStr">
        <is>
          <t>黃思睿</t>
        </is>
      </c>
      <c r="C657" t="inlineStr">
        <is>
          <t>2024-09-16</t>
        </is>
      </c>
      <c r="D657" t="inlineStr">
        <is>
          <t>2287584</t>
        </is>
      </c>
      <c r="E657" t="inlineStr"/>
      <c r="F657" t="inlineStr">
        <is>
          <t>2024-07-05</t>
        </is>
      </c>
      <c r="G657" t="inlineStr">
        <is>
          <t>DC03652245</t>
        </is>
      </c>
      <c r="H657" t="inlineStr">
        <is>
          <t>cus_c5dc9d1310ce</t>
        </is>
      </c>
      <c r="I657" t="inlineStr">
        <is>
          <t>沛星互動科技股份有限公司</t>
        </is>
      </c>
      <c r="J657" t="inlineStr">
        <is>
          <t>53102168</t>
        </is>
      </c>
      <c r="K657" t="n">
        <v>100000</v>
      </c>
      <c r="L657" t="n">
        <v>105000</v>
      </c>
      <c r="M657" t="inlineStr">
        <is>
          <t>發票數據受眾包</t>
        </is>
      </c>
      <c r="N657" t="inlineStr">
        <is>
          <t>Eddie Chen</t>
        </is>
      </c>
      <c r="O657" t="inlineStr">
        <is>
          <t>110 台北市信義區松仁路123號6樓</t>
        </is>
      </c>
      <c r="P657" t="inlineStr">
        <is>
          <t>billing@appier.com; eddie.chen@appier.com ; melody.shen@appier.com</t>
        </is>
      </c>
      <c r="Q657" t="inlineStr">
        <is>
          <t>02-87802880</t>
        </is>
      </c>
      <c r="R657" t="inlineStr"/>
      <c r="S657" t="inlineStr">
        <is>
          <t>已收款</t>
        </is>
      </c>
      <c r="T657" t="inlineStr">
        <is>
          <t>Appier
來源：單次型發票及收款紀錄 第 176 列</t>
        </is>
      </c>
      <c r="U657" t="inlineStr">
        <is>
          <t>收到發票隔月底前</t>
        </is>
      </c>
      <c r="V657" t="inlineStr">
        <is>
          <t>2026-05-18</t>
        </is>
      </c>
    </row>
    <row r="658">
      <c r="A658" t="inlineStr">
        <is>
          <t>inv_6f250be5c4f0</t>
        </is>
      </c>
      <c r="B658" t="inlineStr">
        <is>
          <t>Cobi</t>
        </is>
      </c>
      <c r="C658" t="inlineStr">
        <is>
          <t>2024-11-05</t>
        </is>
      </c>
      <c r="D658" t="inlineStr">
        <is>
          <t>2332373</t>
        </is>
      </c>
      <c r="E658" t="inlineStr"/>
      <c r="F658" t="inlineStr">
        <is>
          <t>2024-08-12</t>
        </is>
      </c>
      <c r="G658" t="inlineStr">
        <is>
          <t>DC03692358</t>
        </is>
      </c>
      <c r="H658" t="inlineStr">
        <is>
          <t>cus_c5dc9d1310ce</t>
        </is>
      </c>
      <c r="I658" t="inlineStr">
        <is>
          <t>沛星互動科技股份有限公司</t>
        </is>
      </c>
      <c r="J658" t="inlineStr">
        <is>
          <t>53102168</t>
        </is>
      </c>
      <c r="K658" t="n">
        <v>140000</v>
      </c>
      <c r="L658" t="n">
        <v>147000</v>
      </c>
      <c r="M658" t="inlineStr">
        <is>
          <t>發票數據受眾包</t>
        </is>
      </c>
      <c r="N658" t="inlineStr">
        <is>
          <t>Eddie Chen</t>
        </is>
      </c>
      <c r="O658" t="inlineStr">
        <is>
          <t>110 台北市信義區松仁路123號6樓</t>
        </is>
      </c>
      <c r="P658" t="inlineStr">
        <is>
          <t>billing@appier.com; eddie.chen@appier.com ; melody.shen@appier.com</t>
        </is>
      </c>
      <c r="Q658" t="inlineStr">
        <is>
          <t>02-87802880</t>
        </is>
      </c>
      <c r="R658" t="inlineStr"/>
      <c r="S658" t="inlineStr">
        <is>
          <t>已收款</t>
        </is>
      </c>
      <c r="T658" t="inlineStr">
        <is>
          <t>Appier
來源：單次型發票及收款紀錄 第 177 列</t>
        </is>
      </c>
      <c r="U658" t="inlineStr">
        <is>
          <t>收到發票隔月底前</t>
        </is>
      </c>
      <c r="V658" t="inlineStr">
        <is>
          <t>2026-05-18</t>
        </is>
      </c>
    </row>
    <row r="659">
      <c r="A659" t="inlineStr">
        <is>
          <t>inv_f850be06d06e</t>
        </is>
      </c>
      <c r="B659" t="inlineStr">
        <is>
          <t>Cobi</t>
        </is>
      </c>
      <c r="C659" t="inlineStr">
        <is>
          <t>2024-11-15</t>
        </is>
      </c>
      <c r="D659" t="inlineStr">
        <is>
          <t>2366415</t>
        </is>
      </c>
      <c r="E659" t="inlineStr"/>
      <c r="F659" t="inlineStr">
        <is>
          <t>2024-09-10</t>
        </is>
      </c>
      <c r="G659" t="inlineStr">
        <is>
          <t>FB03655645</t>
        </is>
      </c>
      <c r="H659" t="inlineStr">
        <is>
          <t>cus_c5dc9d1310ce</t>
        </is>
      </c>
      <c r="I659" t="inlineStr">
        <is>
          <t>沛星互動科技股份有限公司</t>
        </is>
      </c>
      <c r="J659" t="inlineStr">
        <is>
          <t>53102168</t>
        </is>
      </c>
      <c r="K659" t="n">
        <v>60000</v>
      </c>
      <c r="L659" t="n">
        <v>63000</v>
      </c>
      <c r="M659" t="inlineStr">
        <is>
          <t>發票數據受眾包</t>
        </is>
      </c>
      <c r="N659" t="inlineStr">
        <is>
          <t>Eddie Chen</t>
        </is>
      </c>
      <c r="O659" t="inlineStr">
        <is>
          <t>110 台北市信義區松仁路123號6樓</t>
        </is>
      </c>
      <c r="P659" t="inlineStr">
        <is>
          <t>billing@appier.com; eddie.chen@appier.com ; melody.shen@appier.com</t>
        </is>
      </c>
      <c r="Q659" t="inlineStr">
        <is>
          <t>02-87802880</t>
        </is>
      </c>
      <c r="R659" t="inlineStr"/>
      <c r="S659" t="inlineStr">
        <is>
          <t>已收款</t>
        </is>
      </c>
      <c r="T659" t="inlineStr">
        <is>
          <t>Appier
來源：單次型發票及收款紀錄 第 178 列</t>
        </is>
      </c>
      <c r="U659" t="inlineStr">
        <is>
          <t>收到發票隔月底前</t>
        </is>
      </c>
      <c r="V659" t="inlineStr">
        <is>
          <t>2026-05-18</t>
        </is>
      </c>
    </row>
    <row r="660">
      <c r="A660" t="inlineStr">
        <is>
          <t>inv_192f681511ff</t>
        </is>
      </c>
      <c r="B660" t="inlineStr">
        <is>
          <t>Cobi</t>
        </is>
      </c>
      <c r="C660" t="inlineStr">
        <is>
          <t>2024-12-05</t>
        </is>
      </c>
      <c r="D660" t="inlineStr">
        <is>
          <t>2394022</t>
        </is>
      </c>
      <c r="E660" t="inlineStr"/>
      <c r="F660" t="inlineStr">
        <is>
          <t>2024-10-07</t>
        </is>
      </c>
      <c r="G660" t="inlineStr">
        <is>
          <t>FB03680865</t>
        </is>
      </c>
      <c r="H660" t="inlineStr">
        <is>
          <t>cus_c5dc9d1310ce</t>
        </is>
      </c>
      <c r="I660" t="inlineStr">
        <is>
          <t>沛星互動科技股份有限公司</t>
        </is>
      </c>
      <c r="J660" t="inlineStr">
        <is>
          <t>53102168</t>
        </is>
      </c>
      <c r="K660" t="n">
        <v>16800</v>
      </c>
      <c r="L660" t="n">
        <v>17640</v>
      </c>
      <c r="M660" t="inlineStr">
        <is>
          <t>發票數據受眾包</t>
        </is>
      </c>
      <c r="N660" t="inlineStr">
        <is>
          <t>Eddie Chen</t>
        </is>
      </c>
      <c r="O660" t="inlineStr">
        <is>
          <t>110 台北市信義區松仁路123號6樓</t>
        </is>
      </c>
      <c r="P660" t="inlineStr">
        <is>
          <t>billing@appier.com; eddie.chen@appier.com ; melody.shen@appier.com</t>
        </is>
      </c>
      <c r="Q660" t="inlineStr">
        <is>
          <t>02-87802880</t>
        </is>
      </c>
      <c r="R660" t="inlineStr"/>
      <c r="S660" t="inlineStr">
        <is>
          <t>已收款</t>
        </is>
      </c>
      <c r="T660" t="inlineStr">
        <is>
          <t>Appier
來源：單次型發票及收款紀錄 第 179 列</t>
        </is>
      </c>
      <c r="U660" t="inlineStr">
        <is>
          <t>收到發票隔月底前</t>
        </is>
      </c>
      <c r="V660" t="inlineStr">
        <is>
          <t>2026-05-18</t>
        </is>
      </c>
    </row>
    <row r="661">
      <c r="A661" t="inlineStr">
        <is>
          <t>inv_ad2e8eb01d85</t>
        </is>
      </c>
      <c r="B661" t="inlineStr">
        <is>
          <t>Cobi</t>
        </is>
      </c>
      <c r="C661" t="inlineStr">
        <is>
          <t>2025-01-02</t>
        </is>
      </c>
      <c r="D661" t="inlineStr">
        <is>
          <t>2426313</t>
        </is>
      </c>
      <c r="E661" t="inlineStr"/>
      <c r="F661" t="inlineStr">
        <is>
          <t>2024-11-07</t>
        </is>
      </c>
      <c r="G661" t="inlineStr">
        <is>
          <t>HA03653200</t>
        </is>
      </c>
      <c r="H661" t="inlineStr">
        <is>
          <t>cus_c5dc9d1310ce</t>
        </is>
      </c>
      <c r="I661" t="inlineStr">
        <is>
          <t>沛星互動科技股份有限公司</t>
        </is>
      </c>
      <c r="J661" t="inlineStr">
        <is>
          <t>53102168</t>
        </is>
      </c>
      <c r="K661" t="n">
        <v>138000</v>
      </c>
      <c r="L661" t="n">
        <v>144900</v>
      </c>
      <c r="M661" t="inlineStr">
        <is>
          <t>發票數據受眾包</t>
        </is>
      </c>
      <c r="N661" t="inlineStr">
        <is>
          <t>Eddie Chen</t>
        </is>
      </c>
      <c r="O661" t="inlineStr">
        <is>
          <t>110 台北市信義區松仁路123號6樓</t>
        </is>
      </c>
      <c r="P661" t="inlineStr">
        <is>
          <t>billing@appier.com; eddie.chen@appier.com ; melody.shen@appier.com</t>
        </is>
      </c>
      <c r="Q661" t="inlineStr">
        <is>
          <t>02-87802880</t>
        </is>
      </c>
      <c r="R661" t="inlineStr"/>
      <c r="S661" t="inlineStr">
        <is>
          <t>已收款</t>
        </is>
      </c>
      <c r="T661" t="inlineStr">
        <is>
          <t>Appier
來源：單次型發票及收款紀錄 第 180 列</t>
        </is>
      </c>
      <c r="U661" t="inlineStr">
        <is>
          <t>收到發票隔月底前</t>
        </is>
      </c>
      <c r="V661" t="inlineStr">
        <is>
          <t>2026-05-18</t>
        </is>
      </c>
    </row>
    <row r="662">
      <c r="A662" t="inlineStr">
        <is>
          <t>inv_19f21e8049df</t>
        </is>
      </c>
      <c r="B662" t="inlineStr">
        <is>
          <t>Cobi</t>
        </is>
      </c>
      <c r="C662" t="inlineStr">
        <is>
          <t>2025-01-23</t>
        </is>
      </c>
      <c r="D662" t="inlineStr">
        <is>
          <t>2459597</t>
        </is>
      </c>
      <c r="E662" t="inlineStr"/>
      <c r="F662" t="inlineStr">
        <is>
          <t>2024-12-05</t>
        </is>
      </c>
      <c r="G662" t="inlineStr">
        <is>
          <t>HA03683235</t>
        </is>
      </c>
      <c r="H662" t="inlineStr">
        <is>
          <t>cus_c5dc9d1310ce</t>
        </is>
      </c>
      <c r="I662" t="inlineStr">
        <is>
          <t>沛星互動科技股份有限公司</t>
        </is>
      </c>
      <c r="J662" t="inlineStr">
        <is>
          <t>53102168</t>
        </is>
      </c>
      <c r="K662" t="n">
        <v>80000</v>
      </c>
      <c r="L662" t="n">
        <v>84000</v>
      </c>
      <c r="M662" t="inlineStr">
        <is>
          <t>發票數據受眾包</t>
        </is>
      </c>
      <c r="N662" t="inlineStr">
        <is>
          <t>Eddie Chen</t>
        </is>
      </c>
      <c r="O662" t="inlineStr">
        <is>
          <t>110 台北市信義區松仁路123號6樓</t>
        </is>
      </c>
      <c r="P662" t="inlineStr">
        <is>
          <t>billing@appier.com; eddie.chen@appier.com ; melody.shen@appier.com</t>
        </is>
      </c>
      <c r="Q662" t="inlineStr">
        <is>
          <t>02-87802880</t>
        </is>
      </c>
      <c r="R662" t="inlineStr"/>
      <c r="S662" t="inlineStr">
        <is>
          <t>已收款</t>
        </is>
      </c>
      <c r="T662" t="inlineStr">
        <is>
          <t>Appier
來源：單次型發票及收款紀錄 第 181 列</t>
        </is>
      </c>
      <c r="U662" t="inlineStr">
        <is>
          <t>收到發票隔月底前</t>
        </is>
      </c>
      <c r="V662" t="inlineStr">
        <is>
          <t>2026-05-18</t>
        </is>
      </c>
    </row>
    <row r="663">
      <c r="A663" t="inlineStr">
        <is>
          <t>inv_d74c0fad3a57</t>
        </is>
      </c>
      <c r="B663" t="inlineStr">
        <is>
          <t>Cobi</t>
        </is>
      </c>
      <c r="C663" t="inlineStr">
        <is>
          <t>2025-03-03</t>
        </is>
      </c>
      <c r="D663" t="inlineStr">
        <is>
          <t>2494097</t>
        </is>
      </c>
      <c r="E663" t="inlineStr"/>
      <c r="F663" t="inlineStr">
        <is>
          <t>2025-01-06</t>
        </is>
      </c>
      <c r="G663" t="inlineStr">
        <is>
          <t>JY43826893</t>
        </is>
      </c>
      <c r="H663" t="inlineStr">
        <is>
          <t>cus_c5dc9d1310ce</t>
        </is>
      </c>
      <c r="I663" t="inlineStr">
        <is>
          <t>沛星互動科技股份有限公司</t>
        </is>
      </c>
      <c r="J663" t="inlineStr">
        <is>
          <t>53102168</t>
        </is>
      </c>
      <c r="K663" t="n">
        <v>70000</v>
      </c>
      <c r="L663" t="n">
        <v>73500</v>
      </c>
      <c r="M663" t="inlineStr">
        <is>
          <t>發票數據受眾包</t>
        </is>
      </c>
      <c r="N663" t="inlineStr">
        <is>
          <t>Eddie Chen</t>
        </is>
      </c>
      <c r="O663" t="inlineStr">
        <is>
          <t>110 台北市信義區松仁路123號6樓</t>
        </is>
      </c>
      <c r="P663" t="inlineStr">
        <is>
          <t>billing@appier.com; eddie.chen@appier.com ; melody.shen@appier.com</t>
        </is>
      </c>
      <c r="Q663" t="inlineStr">
        <is>
          <t>02-87802880</t>
        </is>
      </c>
      <c r="R663" t="inlineStr"/>
      <c r="S663" t="inlineStr">
        <is>
          <t>已收款</t>
        </is>
      </c>
      <c r="T663" t="inlineStr">
        <is>
          <t>Appier
來源：單次型發票及收款紀錄 第 182 列</t>
        </is>
      </c>
      <c r="U663" t="inlineStr">
        <is>
          <t>收到發票隔月底前</t>
        </is>
      </c>
      <c r="V663" t="inlineStr">
        <is>
          <t>2026-05-18</t>
        </is>
      </c>
    </row>
    <row r="664">
      <c r="A664" t="inlineStr">
        <is>
          <t>inv_447743e29b1c</t>
        </is>
      </c>
      <c r="B664" t="inlineStr">
        <is>
          <t>Cobi</t>
        </is>
      </c>
      <c r="C664" t="inlineStr">
        <is>
          <t>2025-04-01</t>
        </is>
      </c>
      <c r="D664" t="inlineStr">
        <is>
          <t>2523759</t>
        </is>
      </c>
      <c r="E664" t="inlineStr"/>
      <c r="F664" t="inlineStr">
        <is>
          <t>2025-02-04</t>
        </is>
      </c>
      <c r="G664" t="inlineStr">
        <is>
          <t>JY43853385</t>
        </is>
      </c>
      <c r="H664" t="inlineStr">
        <is>
          <t>cus_c5dc9d1310ce</t>
        </is>
      </c>
      <c r="I664" t="inlineStr">
        <is>
          <t>沛星互動科技股份有限公司</t>
        </is>
      </c>
      <c r="J664" t="inlineStr">
        <is>
          <t>53102168</t>
        </is>
      </c>
      <c r="K664" t="n">
        <v>40000</v>
      </c>
      <c r="L664" t="n">
        <v>42000</v>
      </c>
      <c r="M664" t="inlineStr">
        <is>
          <t>發票數據受眾包</t>
        </is>
      </c>
      <c r="N664" t="inlineStr">
        <is>
          <t>Eddie Chen</t>
        </is>
      </c>
      <c r="O664" t="inlineStr">
        <is>
          <t>110 台北市信義區松仁路123號6樓</t>
        </is>
      </c>
      <c r="P664" t="inlineStr">
        <is>
          <t>billing@appier.com; eddie.chen@appier.com ; melody.shen@appier.com</t>
        </is>
      </c>
      <c r="Q664" t="inlineStr">
        <is>
          <t>02-87802880</t>
        </is>
      </c>
      <c r="R664" t="inlineStr"/>
      <c r="S664" t="inlineStr">
        <is>
          <t>已收款</t>
        </is>
      </c>
      <c r="T664" t="inlineStr">
        <is>
          <t>Appier
來源：單次型發票及收款紀錄 第 183 列</t>
        </is>
      </c>
      <c r="U664" t="inlineStr">
        <is>
          <t>收到發票隔月底前</t>
        </is>
      </c>
      <c r="V664" t="inlineStr">
        <is>
          <t>2026-05-18</t>
        </is>
      </c>
    </row>
    <row r="665">
      <c r="A665" t="inlineStr">
        <is>
          <t>inv_02e3887fad09</t>
        </is>
      </c>
      <c r="B665" t="inlineStr">
        <is>
          <t>Cobi</t>
        </is>
      </c>
      <c r="C665" t="inlineStr">
        <is>
          <t>2025-05-15</t>
        </is>
      </c>
      <c r="D665" t="inlineStr">
        <is>
          <t>2588199</t>
        </is>
      </c>
      <c r="E665" t="inlineStr"/>
      <c r="F665" t="inlineStr">
        <is>
          <t>2025-04-07</t>
        </is>
      </c>
      <c r="G665" t="inlineStr">
        <is>
          <t>LY43855894</t>
        </is>
      </c>
      <c r="H665" t="inlineStr">
        <is>
          <t>cus_c5dc9d1310ce</t>
        </is>
      </c>
      <c r="I665" t="inlineStr">
        <is>
          <t>沛星互動科技股份有限公司</t>
        </is>
      </c>
      <c r="J665" t="inlineStr">
        <is>
          <t>53102168</t>
        </is>
      </c>
      <c r="K665" t="n">
        <v>90000</v>
      </c>
      <c r="L665" t="n">
        <v>94500</v>
      </c>
      <c r="M665" t="inlineStr">
        <is>
          <t>發票數據受眾包</t>
        </is>
      </c>
      <c r="N665" t="inlineStr">
        <is>
          <t>Eddie Chen</t>
        </is>
      </c>
      <c r="O665" t="inlineStr">
        <is>
          <t>110 台北市信義區松仁路123號6樓</t>
        </is>
      </c>
      <c r="P665" t="inlineStr">
        <is>
          <t>billing@appier.com; eddie.chen@appier.com ; melody.shen@appier.com</t>
        </is>
      </c>
      <c r="Q665" t="inlineStr">
        <is>
          <t>02-87802880</t>
        </is>
      </c>
      <c r="R665" t="inlineStr"/>
      <c r="S665" t="inlineStr">
        <is>
          <t>已收款</t>
        </is>
      </c>
      <c r="T665" t="inlineStr">
        <is>
          <t>Appier
來源：單次型發票及收款紀錄 第 184 列</t>
        </is>
      </c>
      <c r="U665" t="inlineStr">
        <is>
          <t>收到發票隔月底前</t>
        </is>
      </c>
      <c r="V665" t="inlineStr">
        <is>
          <t>2026-05-18</t>
        </is>
      </c>
    </row>
    <row r="666">
      <c r="A666" t="inlineStr">
        <is>
          <t>inv_4e690627baaa</t>
        </is>
      </c>
      <c r="B666" t="inlineStr">
        <is>
          <t>Cobi</t>
        </is>
      </c>
      <c r="C666" t="inlineStr">
        <is>
          <t>2025-06-16</t>
        </is>
      </c>
      <c r="D666" t="inlineStr">
        <is>
          <t>2615790</t>
        </is>
      </c>
      <c r="E666" t="inlineStr"/>
      <c r="F666" t="inlineStr">
        <is>
          <t>2025-05-05</t>
        </is>
      </c>
      <c r="G666" t="inlineStr">
        <is>
          <t>NY43825506</t>
        </is>
      </c>
      <c r="H666" t="inlineStr">
        <is>
          <t>cus_c5dc9d1310ce</t>
        </is>
      </c>
      <c r="I666" t="inlineStr">
        <is>
          <t>沛星互動科技股份有限公司</t>
        </is>
      </c>
      <c r="J666" t="inlineStr">
        <is>
          <t>53102168</t>
        </is>
      </c>
      <c r="K666" t="n">
        <v>110000</v>
      </c>
      <c r="L666" t="n">
        <v>115500</v>
      </c>
      <c r="M666" t="inlineStr">
        <is>
          <t>發票數據受眾包</t>
        </is>
      </c>
      <c r="N666" t="inlineStr">
        <is>
          <t>Chih Chi Wang</t>
        </is>
      </c>
      <c r="O666" t="inlineStr">
        <is>
          <t>110 台北市信義區松仁路123號6樓</t>
        </is>
      </c>
      <c r="P666" t="inlineStr">
        <is>
          <t>billing@appier.com; eddie.chen@appier.com ; chihchi.wang@appier.com</t>
        </is>
      </c>
      <c r="Q666" t="inlineStr">
        <is>
          <t>02-87802880</t>
        </is>
      </c>
      <c r="R666" t="inlineStr"/>
      <c r="S666" t="inlineStr">
        <is>
          <t>已收款</t>
        </is>
      </c>
      <c r="T666" t="inlineStr">
        <is>
          <t>Appier
來源：單次型發票及收款紀錄 第 185 列</t>
        </is>
      </c>
      <c r="U666" t="inlineStr">
        <is>
          <t>收到發票隔月底前</t>
        </is>
      </c>
      <c r="V666" t="inlineStr">
        <is>
          <t>2026-05-18</t>
        </is>
      </c>
    </row>
    <row r="667">
      <c r="A667" t="inlineStr">
        <is>
          <t>inv_7ea6d1174c1d</t>
        </is>
      </c>
      <c r="B667" t="inlineStr">
        <is>
          <t>Cobi</t>
        </is>
      </c>
      <c r="C667" t="inlineStr">
        <is>
          <t>2025-07-04</t>
        </is>
      </c>
      <c r="D667" t="inlineStr">
        <is>
          <t>2651937</t>
        </is>
      </c>
      <c r="E667" t="inlineStr"/>
      <c r="F667" t="inlineStr">
        <is>
          <t>2025-06-05</t>
        </is>
      </c>
      <c r="G667" t="inlineStr">
        <is>
          <t>NY43857818</t>
        </is>
      </c>
      <c r="H667" t="inlineStr">
        <is>
          <t>cus_c5dc9d1310ce</t>
        </is>
      </c>
      <c r="I667" t="inlineStr">
        <is>
          <t>沛星互動科技股份有限公司</t>
        </is>
      </c>
      <c r="J667" t="inlineStr">
        <is>
          <t>53102168</t>
        </is>
      </c>
      <c r="K667" t="n">
        <v>70000</v>
      </c>
      <c r="L667" t="n">
        <v>73500</v>
      </c>
      <c r="M667" t="inlineStr">
        <is>
          <t>發票數據受眾包</t>
        </is>
      </c>
      <c r="N667" t="inlineStr">
        <is>
          <t>Chih Chi Wang</t>
        </is>
      </c>
      <c r="O667" t="inlineStr">
        <is>
          <t>110 台北市信義區松仁路123號6樓</t>
        </is>
      </c>
      <c r="P667" t="inlineStr">
        <is>
          <t>billing@appier.com; eddie.chen@appier.com ; chihchi.wang@appier.com</t>
        </is>
      </c>
      <c r="Q667" t="inlineStr">
        <is>
          <t>02-87802880</t>
        </is>
      </c>
      <c r="R667" t="inlineStr"/>
      <c r="S667" t="inlineStr">
        <is>
          <t>已收款</t>
        </is>
      </c>
      <c r="T667" t="inlineStr">
        <is>
          <t>Appier
來源：單次型發票及收款紀錄 第 186 列</t>
        </is>
      </c>
      <c r="U667" t="inlineStr">
        <is>
          <t>收到發票隔月底前</t>
        </is>
      </c>
      <c r="V667" t="inlineStr">
        <is>
          <t>2026-05-18</t>
        </is>
      </c>
    </row>
    <row r="668">
      <c r="A668" t="inlineStr">
        <is>
          <t>inv_8b2a43eee167</t>
        </is>
      </c>
      <c r="B668" t="inlineStr">
        <is>
          <t>Cobi</t>
        </is>
      </c>
      <c r="C668" t="inlineStr">
        <is>
          <t>2025-08-05</t>
        </is>
      </c>
      <c r="D668" t="inlineStr">
        <is>
          <t>2687015</t>
        </is>
      </c>
      <c r="E668" t="inlineStr"/>
      <c r="F668" t="inlineStr">
        <is>
          <t>2025-07-04</t>
        </is>
      </c>
      <c r="G668" t="inlineStr">
        <is>
          <t>QY43825320</t>
        </is>
      </c>
      <c r="H668" t="inlineStr">
        <is>
          <t>cus_c5dc9d1310ce</t>
        </is>
      </c>
      <c r="I668" t="inlineStr">
        <is>
          <t>沛星互動科技股份有限公司</t>
        </is>
      </c>
      <c r="J668" t="inlineStr">
        <is>
          <t>53102168</t>
        </is>
      </c>
      <c r="K668" t="n">
        <v>40000</v>
      </c>
      <c r="L668" t="n">
        <v>42000</v>
      </c>
      <c r="M668" t="inlineStr">
        <is>
          <t>發票數據受眾包</t>
        </is>
      </c>
      <c r="N668" t="inlineStr">
        <is>
          <t>Chih Chi Wang</t>
        </is>
      </c>
      <c r="O668" t="inlineStr">
        <is>
          <t>110 台北市信義區松仁路123號6樓</t>
        </is>
      </c>
      <c r="P668" t="inlineStr">
        <is>
          <t>billing@appier.com; eddie.chen@appier.com ; chihchi.wang@appier.com</t>
        </is>
      </c>
      <c r="Q668" t="inlineStr">
        <is>
          <t>02-87802880</t>
        </is>
      </c>
      <c r="R668" t="inlineStr"/>
      <c r="S668" t="inlineStr">
        <is>
          <t>已收款</t>
        </is>
      </c>
      <c r="T668" t="inlineStr">
        <is>
          <t>Appier
來源：單次型發票及收款紀錄 第 187 列</t>
        </is>
      </c>
      <c r="U668" t="inlineStr">
        <is>
          <t>收到發票隔月底前</t>
        </is>
      </c>
      <c r="V668" t="inlineStr">
        <is>
          <t>2026-05-18</t>
        </is>
      </c>
    </row>
    <row r="669">
      <c r="A669" t="inlineStr">
        <is>
          <t>inv_38f0519d4453</t>
        </is>
      </c>
      <c r="B669" t="inlineStr">
        <is>
          <t>Cobi</t>
        </is>
      </c>
      <c r="C669" t="inlineStr">
        <is>
          <t>2025-09-05</t>
        </is>
      </c>
      <c r="D669" t="inlineStr">
        <is>
          <t>2717918</t>
        </is>
      </c>
      <c r="E669" t="inlineStr"/>
      <c r="F669" t="inlineStr">
        <is>
          <t>2025-08-01</t>
        </is>
      </c>
      <c r="G669" t="inlineStr"/>
      <c r="H669" t="inlineStr">
        <is>
          <t>cus_c5dc9d1310ce</t>
        </is>
      </c>
      <c r="I669" t="inlineStr">
        <is>
          <t>沛星互動科技股份有限公司</t>
        </is>
      </c>
      <c r="J669" t="inlineStr">
        <is>
          <t>53102168</t>
        </is>
      </c>
      <c r="K669" t="n">
        <v>70000</v>
      </c>
      <c r="L669" t="n">
        <v>73500</v>
      </c>
      <c r="M669" t="inlineStr">
        <is>
          <t>發票數據受眾包</t>
        </is>
      </c>
      <c r="N669" t="inlineStr">
        <is>
          <t>Chih Chi Wang</t>
        </is>
      </c>
      <c r="O669" t="inlineStr">
        <is>
          <t>110 台北市信義區松仁路123號6樓</t>
        </is>
      </c>
      <c r="P669" t="inlineStr">
        <is>
          <t>billing@appier.com; eddie.chen@appier.com ; chihchi.wang@appier.com</t>
        </is>
      </c>
      <c r="Q669" t="inlineStr">
        <is>
          <t>02-87802880</t>
        </is>
      </c>
      <c r="R669" t="inlineStr"/>
      <c r="S669" t="inlineStr">
        <is>
          <t>已收款</t>
        </is>
      </c>
      <c r="T669" t="inlineStr">
        <is>
          <t>Appier
來源：單次型發票及收款紀錄 第 188 列</t>
        </is>
      </c>
      <c r="U669" t="inlineStr">
        <is>
          <t>收到發票隔月底前</t>
        </is>
      </c>
      <c r="V669" t="inlineStr">
        <is>
          <t>2026-05-18</t>
        </is>
      </c>
    </row>
    <row r="670">
      <c r="A670" t="inlineStr">
        <is>
          <t>inv_9e8fe5250ccc</t>
        </is>
      </c>
      <c r="B670" t="inlineStr">
        <is>
          <t>Peggy</t>
        </is>
      </c>
      <c r="C670" t="inlineStr">
        <is>
          <t>2025-10-16</t>
        </is>
      </c>
      <c r="D670" t="inlineStr">
        <is>
          <t>2767123</t>
        </is>
      </c>
      <c r="E670" t="inlineStr"/>
      <c r="F670" t="inlineStr">
        <is>
          <t>2025-09-10</t>
        </is>
      </c>
      <c r="G670" t="inlineStr"/>
      <c r="H670" t="inlineStr">
        <is>
          <t>cus_c5dc9d1310ce</t>
        </is>
      </c>
      <c r="I670" t="inlineStr">
        <is>
          <t>沛星互動科技股份有限公司</t>
        </is>
      </c>
      <c r="J670" t="inlineStr">
        <is>
          <t>53102168</t>
        </is>
      </c>
      <c r="K670" t="n">
        <v>85000</v>
      </c>
      <c r="L670" t="n">
        <v>89250</v>
      </c>
      <c r="M670" t="inlineStr">
        <is>
          <t>發票數據受眾包</t>
        </is>
      </c>
      <c r="N670" t="inlineStr">
        <is>
          <t>Chih Chi Wang</t>
        </is>
      </c>
      <c r="O670" t="inlineStr">
        <is>
          <t>110 台北市信義區松仁路123號6樓</t>
        </is>
      </c>
      <c r="P670" t="inlineStr">
        <is>
          <t>billing@appier.com; eddie.chen@appier.com ; chihchi.wang@appier.com</t>
        </is>
      </c>
      <c r="Q670" t="inlineStr">
        <is>
          <t>02-87802880</t>
        </is>
      </c>
      <c r="R670" t="inlineStr"/>
      <c r="S670" t="inlineStr">
        <is>
          <t>已收款</t>
        </is>
      </c>
      <c r="T670" t="inlineStr">
        <is>
          <t>Appier
來源：單次型發票及收款紀錄 第 189 列</t>
        </is>
      </c>
      <c r="U670" t="inlineStr">
        <is>
          <t>收到發票隔月底前</t>
        </is>
      </c>
      <c r="V670" t="inlineStr">
        <is>
          <t>2026-05-18</t>
        </is>
      </c>
    </row>
    <row r="671">
      <c r="A671" t="inlineStr">
        <is>
          <t>inv_82dc2301fa8b</t>
        </is>
      </c>
      <c r="B671" t="inlineStr">
        <is>
          <t>Peggy</t>
        </is>
      </c>
      <c r="C671" t="inlineStr">
        <is>
          <t>2025-11-18</t>
        </is>
      </c>
      <c r="D671" t="inlineStr">
        <is>
          <t>2800499</t>
        </is>
      </c>
      <c r="E671" t="inlineStr"/>
      <c r="F671" t="inlineStr">
        <is>
          <t>2025-10-09</t>
        </is>
      </c>
      <c r="G671" t="inlineStr"/>
      <c r="H671" t="inlineStr">
        <is>
          <t>cus_c5dc9d1310ce</t>
        </is>
      </c>
      <c r="I671" t="inlineStr">
        <is>
          <t>沛星互動科技股份有限公司</t>
        </is>
      </c>
      <c r="J671" t="inlineStr">
        <is>
          <t>53102168</t>
        </is>
      </c>
      <c r="K671" t="n">
        <v>110000</v>
      </c>
      <c r="L671" t="n">
        <v>115500</v>
      </c>
      <c r="M671" t="inlineStr">
        <is>
          <t>發票數據受眾包</t>
        </is>
      </c>
      <c r="N671" t="inlineStr">
        <is>
          <t>Chih Chi Wang</t>
        </is>
      </c>
      <c r="O671" t="inlineStr">
        <is>
          <t>110 台北市信義區松仁路123號6樓</t>
        </is>
      </c>
      <c r="P671" t="inlineStr">
        <is>
          <t>billing@appier.com; eddie.chen@appier.com ; chihchi.wang@appier.com</t>
        </is>
      </c>
      <c r="Q671" t="inlineStr">
        <is>
          <t>02-87802880</t>
        </is>
      </c>
      <c r="R671" t="inlineStr"/>
      <c r="S671" t="inlineStr">
        <is>
          <t>已收款</t>
        </is>
      </c>
      <c r="T671" t="inlineStr">
        <is>
          <t>Appier
來源：單次型發票及收款紀錄 第 190 列</t>
        </is>
      </c>
      <c r="U671" t="inlineStr">
        <is>
          <t>收到發票隔月底前</t>
        </is>
      </c>
      <c r="V671" t="inlineStr">
        <is>
          <t>2026-05-18</t>
        </is>
      </c>
    </row>
    <row r="672">
      <c r="A672" t="inlineStr">
        <is>
          <t>inv_ff9d3cd673cc</t>
        </is>
      </c>
      <c r="B672" t="inlineStr">
        <is>
          <t>Peggy</t>
        </is>
      </c>
      <c r="C672" t="inlineStr">
        <is>
          <t>2025-12-08</t>
        </is>
      </c>
      <c r="D672" t="inlineStr">
        <is>
          <t>2829118</t>
        </is>
      </c>
      <c r="E672" t="inlineStr"/>
      <c r="F672" t="inlineStr">
        <is>
          <t>2025-11-05</t>
        </is>
      </c>
      <c r="G672" t="inlineStr">
        <is>
          <t>預計11/10開立</t>
        </is>
      </c>
      <c r="H672" t="inlineStr">
        <is>
          <t>cus_c5dc9d1310ce</t>
        </is>
      </c>
      <c r="I672" t="inlineStr">
        <is>
          <t>沛星互動科技股份有限公司</t>
        </is>
      </c>
      <c r="J672" t="inlineStr">
        <is>
          <t>53102168</t>
        </is>
      </c>
      <c r="K672" t="n">
        <v>150000</v>
      </c>
      <c r="L672" t="n">
        <v>157500</v>
      </c>
      <c r="M672" t="inlineStr">
        <is>
          <t>發票數據受眾包</t>
        </is>
      </c>
      <c r="N672" t="inlineStr">
        <is>
          <t>Chih Chi Wang</t>
        </is>
      </c>
      <c r="O672" t="inlineStr">
        <is>
          <t>110 台北市信義區松仁路123號6樓</t>
        </is>
      </c>
      <c r="P672" t="inlineStr">
        <is>
          <t>billing@appier.com; eddie.chen@appier.com ; chihchi.wang@appier.com</t>
        </is>
      </c>
      <c r="Q672" t="inlineStr">
        <is>
          <t>02-87802880</t>
        </is>
      </c>
      <c r="R672" t="inlineStr"/>
      <c r="S672" t="inlineStr">
        <is>
          <t>已收款</t>
        </is>
      </c>
      <c r="T672" t="inlineStr">
        <is>
          <t>Appier
來源：單次型發票及收款紀錄 第 191 列</t>
        </is>
      </c>
      <c r="U672" t="inlineStr">
        <is>
          <t>收到發票隔月底前</t>
        </is>
      </c>
      <c r="V672" t="inlineStr">
        <is>
          <t>2026-05-18</t>
        </is>
      </c>
    </row>
    <row r="673">
      <c r="A673" t="inlineStr">
        <is>
          <t>inv_c93b99ea3b0d</t>
        </is>
      </c>
      <c r="B673" t="inlineStr">
        <is>
          <t>Cobi</t>
        </is>
      </c>
      <c r="C673" t="inlineStr">
        <is>
          <t>2025-05-28</t>
        </is>
      </c>
      <c r="D673" t="inlineStr">
        <is>
          <t>2615795</t>
        </is>
      </c>
      <c r="E673" t="inlineStr"/>
      <c r="F673" t="inlineStr">
        <is>
          <t>2025-05-05</t>
        </is>
      </c>
      <c r="G673" t="inlineStr">
        <is>
          <t>NY43825507</t>
        </is>
      </c>
      <c r="H673" t="inlineStr">
        <is>
          <t>cus_d9f864173564</t>
        </is>
      </c>
      <c r="I673" t="inlineStr">
        <is>
          <t>永恆跨境數位有限公司</t>
        </is>
      </c>
      <c r="J673" t="inlineStr">
        <is>
          <t>93696898</t>
        </is>
      </c>
      <c r="K673" t="n">
        <v>20000</v>
      </c>
      <c r="L673" t="n">
        <v>21000</v>
      </c>
      <c r="M673" t="inlineStr">
        <is>
          <t>發票數據受眾包</t>
        </is>
      </c>
      <c r="N673" t="inlineStr">
        <is>
          <t>張嘉恬</t>
        </is>
      </c>
      <c r="O673" t="inlineStr">
        <is>
          <t>台北市中山區南京東路二段111號6樓</t>
        </is>
      </c>
      <c r="P673" t="inlineStr">
        <is>
          <t>judychang@eternal-beats.com; kenhsieh@eternal-beats.com</t>
        </is>
      </c>
      <c r="Q673" t="inlineStr">
        <is>
          <t>02-25167070</t>
        </is>
      </c>
      <c r="R673" t="inlineStr"/>
      <c r="S673" t="inlineStr">
        <is>
          <t>已收款</t>
        </is>
      </c>
      <c r="T673" t="inlineStr">
        <is>
          <t>來源：單次型發票及收款紀錄 第 192 列</t>
        </is>
      </c>
      <c r="U673" t="inlineStr"/>
      <c r="V673" t="inlineStr">
        <is>
          <t>2026-05-18</t>
        </is>
      </c>
    </row>
    <row r="674">
      <c r="A674" t="inlineStr">
        <is>
          <t>inv_2c9cf59c93f9</t>
        </is>
      </c>
      <c r="B674" t="inlineStr">
        <is>
          <t>Kate</t>
        </is>
      </c>
      <c r="C674" t="inlineStr">
        <is>
          <t>2025.9.5
2025.11.4</t>
        </is>
      </c>
      <c r="D674" t="inlineStr">
        <is>
          <t>2717916</t>
        </is>
      </c>
      <c r="E674" t="inlineStr"/>
      <c r="F674" t="inlineStr">
        <is>
          <t>2025-08-01</t>
        </is>
      </c>
      <c r="G674" t="inlineStr"/>
      <c r="H674" t="inlineStr">
        <is>
          <t>cus_d9f864173564</t>
        </is>
      </c>
      <c r="I674" t="inlineStr">
        <is>
          <t>永恆跨境數位有限公司</t>
        </is>
      </c>
      <c r="J674" t="inlineStr">
        <is>
          <t>93696898</t>
        </is>
      </c>
      <c r="K674" t="n">
        <v>100000</v>
      </c>
      <c r="L674" t="n">
        <v>105000</v>
      </c>
      <c r="M674" t="inlineStr">
        <is>
          <t>發票數據受眾包</t>
        </is>
      </c>
      <c r="N674" t="inlineStr">
        <is>
          <t>張嘉恬</t>
        </is>
      </c>
      <c r="O674" t="inlineStr">
        <is>
          <t>台北市中山區南京東路二段111號6樓</t>
        </is>
      </c>
      <c r="P674" t="inlineStr">
        <is>
          <t>judychang@eternal-beats.com; kenhsieh@eternal-beats.com</t>
        </is>
      </c>
      <c r="Q674" t="inlineStr">
        <is>
          <t>02-25167070</t>
        </is>
      </c>
      <c r="R674" t="inlineStr"/>
      <c r="S674" t="inlineStr">
        <is>
          <t>已收款</t>
        </is>
      </c>
      <c r="T674" t="inlineStr">
        <is>
          <t>來源：單次型發票及收款紀錄 第 193 列</t>
        </is>
      </c>
      <c r="U674" t="inlineStr"/>
      <c r="V674" t="inlineStr">
        <is>
          <t>2026-05-18</t>
        </is>
      </c>
    </row>
    <row r="675">
      <c r="A675" t="inlineStr">
        <is>
          <t>inv_c521b709453b</t>
        </is>
      </c>
      <c r="B675" t="inlineStr">
        <is>
          <t>Peggy</t>
        </is>
      </c>
      <c r="C675" t="inlineStr">
        <is>
          <t>2025-08-12</t>
        </is>
      </c>
      <c r="D675" t="inlineStr">
        <is>
          <t>2735160</t>
        </is>
      </c>
      <c r="E675" t="inlineStr"/>
      <c r="F675" t="inlineStr">
        <is>
          <t>2025-08-15</t>
        </is>
      </c>
      <c r="G675" t="inlineStr"/>
      <c r="H675" t="inlineStr">
        <is>
          <t>cus_bbd460c2d377</t>
        </is>
      </c>
      <c r="I675" t="inlineStr">
        <is>
          <t>樂遊玩家國際旅行社有限公司</t>
        </is>
      </c>
      <c r="J675" t="inlineStr">
        <is>
          <t>93561147</t>
        </is>
      </c>
      <c r="K675" t="n">
        <v>18000</v>
      </c>
      <c r="L675" t="n">
        <v>18900</v>
      </c>
      <c r="M675" t="inlineStr">
        <is>
          <t>發票數據受眾包</t>
        </is>
      </c>
      <c r="N675" t="inlineStr">
        <is>
          <t>吳伯謙</t>
        </is>
      </c>
      <c r="O675" t="inlineStr">
        <is>
          <t>251007新北市淡水區中正東路一段135-1號</t>
        </is>
      </c>
      <c r="P675" t="inlineStr">
        <is>
          <t>acruxeli0403@gmail.com</t>
        </is>
      </c>
      <c r="Q675" t="inlineStr">
        <is>
          <t>02-6623-6900</t>
        </is>
      </c>
      <c r="R675" t="inlineStr"/>
      <c r="S675" t="inlineStr">
        <is>
          <t>已收款</t>
        </is>
      </c>
      <c r="T675" t="inlineStr">
        <is>
          <t>來源：單次型發票及收款紀錄 第 194 列</t>
        </is>
      </c>
      <c r="U675" t="inlineStr"/>
      <c r="V675" t="inlineStr">
        <is>
          <t>2026-05-18</t>
        </is>
      </c>
    </row>
    <row r="676">
      <c r="A676" t="inlineStr">
        <is>
          <t>inv_b0c74f1d92b1</t>
        </is>
      </c>
      <c r="B676" t="inlineStr">
        <is>
          <t>Erin</t>
        </is>
      </c>
      <c r="C676" t="inlineStr">
        <is>
          <t>2026-02-02</t>
        </is>
      </c>
      <c r="D676" t="inlineStr">
        <is>
          <t>2829108</t>
        </is>
      </c>
      <c r="E676" t="inlineStr"/>
      <c r="F676" t="inlineStr">
        <is>
          <t>2025-11-05</t>
        </is>
      </c>
      <c r="G676" t="inlineStr"/>
      <c r="H676" t="inlineStr">
        <is>
          <t>cus_de6277deda5a</t>
        </is>
      </c>
      <c r="I676" t="inlineStr">
        <is>
          <t>樂獅創新股份有限公司</t>
        </is>
      </c>
      <c r="J676" t="inlineStr">
        <is>
          <t>60676713</t>
        </is>
      </c>
      <c r="K676" t="n">
        <v>30000</v>
      </c>
      <c r="L676" t="n">
        <v>31500</v>
      </c>
      <c r="M676" t="inlineStr">
        <is>
          <t>發票數據受眾包</t>
        </is>
      </c>
      <c r="N676" t="inlineStr">
        <is>
          <t>Eason Lin</t>
        </is>
      </c>
      <c r="O676" t="inlineStr">
        <is>
          <t>106台北市大安區信義路四段6號18F</t>
        </is>
      </c>
      <c r="P676" t="inlineStr">
        <is>
          <t>erin_yeh@cmoney.com.tw</t>
        </is>
      </c>
      <c r="Q676" t="inlineStr">
        <is>
          <t>02-77471265</t>
        </is>
      </c>
      <c r="R676" t="inlineStr"/>
      <c r="S676" t="inlineStr">
        <is>
          <t>已收款</t>
        </is>
      </c>
      <c r="T676" t="inlineStr">
        <is>
          <t>白蘭氏
來源：單次型發票及收款紀錄 第 195 列</t>
        </is>
      </c>
      <c r="U676" t="inlineStr">
        <is>
          <t>收到發票隔月起95天</t>
        </is>
      </c>
      <c r="V676" t="inlineStr">
        <is>
          <t>2026-05-18</t>
        </is>
      </c>
    </row>
    <row r="677">
      <c r="A677" t="inlineStr">
        <is>
          <t>inv_10f2b2debbc3</t>
        </is>
      </c>
      <c r="B677" t="inlineStr">
        <is>
          <t>Erin</t>
        </is>
      </c>
      <c r="C677" t="inlineStr">
        <is>
          <t>2025-06-17</t>
        </is>
      </c>
      <c r="D677" t="inlineStr">
        <is>
          <t>2523756</t>
        </is>
      </c>
      <c r="E677" t="inlineStr"/>
      <c r="F677" t="inlineStr">
        <is>
          <t>2025-02-04</t>
        </is>
      </c>
      <c r="G677" t="inlineStr">
        <is>
          <t>JY43853382</t>
        </is>
      </c>
      <c r="H677" t="inlineStr">
        <is>
          <t>cus_b8797e0b5e3b</t>
        </is>
      </c>
      <c r="I677" t="inlineStr">
        <is>
          <t>構思網路科技有限公司</t>
        </is>
      </c>
      <c r="J677" t="inlineStr">
        <is>
          <t>42814605</t>
        </is>
      </c>
      <c r="K677" t="n">
        <v>32578</v>
      </c>
      <c r="L677" t="n">
        <v>34207</v>
      </c>
      <c r="M677" t="inlineStr">
        <is>
          <t>發票數據受眾包</t>
        </is>
      </c>
      <c r="N677" t="inlineStr">
        <is>
          <t>David</t>
        </is>
      </c>
      <c r="O677" t="inlineStr">
        <is>
          <t>台北市松山區民生東路四段133號4樓</t>
        </is>
      </c>
      <c r="P677" t="inlineStr">
        <is>
          <t>billing@goskyai.com; unaliou@goskyai.com</t>
        </is>
      </c>
      <c r="Q677" t="inlineStr">
        <is>
          <t>(02)27322241</t>
        </is>
      </c>
      <c r="R677" t="inlineStr"/>
      <c r="S677" t="inlineStr">
        <is>
          <t>已收款</t>
        </is>
      </c>
      <c r="T677" t="inlineStr">
        <is>
          <t>GoSky
來源：單次型發票及收款紀錄 第 196 列</t>
        </is>
      </c>
      <c r="U677" t="inlineStr">
        <is>
          <t>2/25付款</t>
        </is>
      </c>
      <c r="V677" t="inlineStr">
        <is>
          <t>2026-05-18</t>
        </is>
      </c>
    </row>
    <row r="678">
      <c r="A678" t="inlineStr">
        <is>
          <t>inv_e4de2f13b0e3</t>
        </is>
      </c>
      <c r="B678" t="inlineStr">
        <is>
          <t>Erin</t>
        </is>
      </c>
      <c r="C678" t="inlineStr">
        <is>
          <t>2025-07-14</t>
        </is>
      </c>
      <c r="D678" t="inlineStr">
        <is>
          <t>2588201</t>
        </is>
      </c>
      <c r="E678" t="inlineStr"/>
      <c r="F678" t="inlineStr">
        <is>
          <t>2025-04-07</t>
        </is>
      </c>
      <c r="G678" t="inlineStr">
        <is>
          <t>LY43855896</t>
        </is>
      </c>
      <c r="H678" t="inlineStr">
        <is>
          <t>cus_b8797e0b5e3b</t>
        </is>
      </c>
      <c r="I678" t="inlineStr">
        <is>
          <t>構思網路科技有限公司</t>
        </is>
      </c>
      <c r="J678" t="inlineStr">
        <is>
          <t>42814605</t>
        </is>
      </c>
      <c r="K678" t="n">
        <v>10000</v>
      </c>
      <c r="L678" t="n">
        <v>10500</v>
      </c>
      <c r="M678" t="inlineStr">
        <is>
          <t>發票數據受眾包</t>
        </is>
      </c>
      <c r="N678" t="inlineStr">
        <is>
          <t>張靖驩 Aturo</t>
        </is>
      </c>
      <c r="O678" t="inlineStr">
        <is>
          <t>103台灣台北市大同區承德路一段17號</t>
        </is>
      </c>
      <c r="P678" t="inlineStr">
        <is>
          <t>aturochang@goskyai.com</t>
        </is>
      </c>
      <c r="Q678" t="inlineStr">
        <is>
          <t>(02)27322241</t>
        </is>
      </c>
      <c r="R678" t="inlineStr"/>
      <c r="S678" t="inlineStr">
        <is>
          <t>已收款</t>
        </is>
      </c>
      <c r="T678" t="inlineStr">
        <is>
          <t>Gosky
來源：單次型發票及收款紀錄 第 197 列</t>
        </is>
      </c>
      <c r="U678" t="inlineStr">
        <is>
          <t>收到發票隔月起60天</t>
        </is>
      </c>
      <c r="V678" t="inlineStr">
        <is>
          <t>2026-05-18</t>
        </is>
      </c>
    </row>
    <row r="679">
      <c r="A679" t="inlineStr">
        <is>
          <t>inv_5bac0eb386a8</t>
        </is>
      </c>
      <c r="B679" t="inlineStr">
        <is>
          <t>Cobi</t>
        </is>
      </c>
      <c r="C679" t="inlineStr">
        <is>
          <t>2024-11-29</t>
        </is>
      </c>
      <c r="D679" t="inlineStr">
        <is>
          <t>2366420</t>
        </is>
      </c>
      <c r="E679" t="inlineStr"/>
      <c r="F679" t="inlineStr">
        <is>
          <t>2024-09-10</t>
        </is>
      </c>
      <c r="G679" t="inlineStr">
        <is>
          <t>FB03655650</t>
        </is>
      </c>
      <c r="H679" t="inlineStr">
        <is>
          <t>cus_728435a6d937</t>
        </is>
      </c>
      <c r="I679" t="inlineStr">
        <is>
          <t>果實夥伴股份有限公司</t>
        </is>
      </c>
      <c r="J679" t="inlineStr">
        <is>
          <t>24482512</t>
        </is>
      </c>
      <c r="K679" t="n">
        <v>5000</v>
      </c>
      <c r="L679" t="n">
        <v>5250</v>
      </c>
      <c r="M679" t="inlineStr">
        <is>
          <t>記帳廣告受眾包</t>
        </is>
      </c>
      <c r="N679" t="inlineStr">
        <is>
          <t>王之岑 Emma Wang</t>
        </is>
      </c>
      <c r="O679" t="inlineStr">
        <is>
          <t>台北市內湖區瑞光路610號2樓</t>
        </is>
      </c>
      <c r="P679" t="inlineStr">
        <is>
          <t>emmawang@onead.com.tw</t>
        </is>
      </c>
      <c r="Q679" t="inlineStr"/>
      <c r="R679" t="inlineStr"/>
      <c r="S679" t="inlineStr">
        <is>
          <t>已收款</t>
        </is>
      </c>
      <c r="T679" t="inlineStr">
        <is>
          <t>來源：單次型發票及收款紀錄 第 198 列</t>
        </is>
      </c>
      <c r="U679" t="inlineStr"/>
      <c r="V679" t="inlineStr">
        <is>
          <t>2026-05-18</t>
        </is>
      </c>
    </row>
    <row r="680">
      <c r="A680" t="inlineStr">
        <is>
          <t>inv_22b8700f6735</t>
        </is>
      </c>
      <c r="B680" t="inlineStr">
        <is>
          <t>Cobi</t>
        </is>
      </c>
      <c r="C680" t="inlineStr">
        <is>
          <t>2024-12-31</t>
        </is>
      </c>
      <c r="D680" t="inlineStr">
        <is>
          <t>2438785</t>
        </is>
      </c>
      <c r="E680" t="inlineStr"/>
      <c r="F680" t="inlineStr">
        <is>
          <t>2024-11-15</t>
        </is>
      </c>
      <c r="G680" t="inlineStr">
        <is>
          <t>HA03664252</t>
        </is>
      </c>
      <c r="H680" t="inlineStr">
        <is>
          <t>cus_728435a6d937</t>
        </is>
      </c>
      <c r="I680" t="inlineStr">
        <is>
          <t>果實夥伴股份有限公司</t>
        </is>
      </c>
      <c r="J680" t="inlineStr">
        <is>
          <t>24482512</t>
        </is>
      </c>
      <c r="K680" t="n">
        <v>2000</v>
      </c>
      <c r="L680" t="n">
        <v>2100</v>
      </c>
      <c r="M680" t="inlineStr">
        <is>
          <t>記帳廣告受眾包</t>
        </is>
      </c>
      <c r="N680" t="inlineStr">
        <is>
          <t>王之岑 Emma Wang</t>
        </is>
      </c>
      <c r="O680" t="inlineStr">
        <is>
          <t>台北市內湖區瑞光路610號2樓</t>
        </is>
      </c>
      <c r="P680" t="inlineStr">
        <is>
          <t>emmawang@onead.com.tw</t>
        </is>
      </c>
      <c r="Q680" t="inlineStr"/>
      <c r="R680" t="inlineStr"/>
      <c r="S680" t="inlineStr">
        <is>
          <t>已收款</t>
        </is>
      </c>
      <c r="T680" t="inlineStr">
        <is>
          <t>來源：單次型發票及收款紀錄 第 199 列</t>
        </is>
      </c>
      <c r="U680" t="inlineStr"/>
      <c r="V680" t="inlineStr">
        <is>
          <t>2026-05-18</t>
        </is>
      </c>
    </row>
    <row r="681">
      <c r="A681" t="inlineStr">
        <is>
          <t>inv_bd8c3c3830fb</t>
        </is>
      </c>
      <c r="B681" t="inlineStr">
        <is>
          <t>Cobi</t>
        </is>
      </c>
      <c r="C681" t="inlineStr">
        <is>
          <t>2025-03-31</t>
        </is>
      </c>
      <c r="D681" t="inlineStr">
        <is>
          <t>2494092</t>
        </is>
      </c>
      <c r="E681" t="inlineStr"/>
      <c r="F681" t="inlineStr">
        <is>
          <t>2025-01-06</t>
        </is>
      </c>
      <c r="G681" t="inlineStr">
        <is>
          <t>JY43826888</t>
        </is>
      </c>
      <c r="H681" t="inlineStr">
        <is>
          <t>cus_728435a6d937</t>
        </is>
      </c>
      <c r="I681" t="inlineStr">
        <is>
          <t>果實夥伴股份有限公司</t>
        </is>
      </c>
      <c r="J681" t="inlineStr">
        <is>
          <t>24482512</t>
        </is>
      </c>
      <c r="K681" t="n">
        <v>5000</v>
      </c>
      <c r="L681" t="n">
        <v>5250</v>
      </c>
      <c r="M681" t="inlineStr">
        <is>
          <t>記帳廣告受眾包</t>
        </is>
      </c>
      <c r="N681" t="inlineStr">
        <is>
          <t>王之岑 Emma Wang</t>
        </is>
      </c>
      <c r="O681" t="inlineStr">
        <is>
          <t>台北市內湖區瑞光路610號2樓</t>
        </is>
      </c>
      <c r="P681" t="inlineStr">
        <is>
          <t>emmawang@onead.com.tw</t>
        </is>
      </c>
      <c r="Q681" t="inlineStr"/>
      <c r="R681" t="inlineStr"/>
      <c r="S681" t="inlineStr">
        <is>
          <t>已收款</t>
        </is>
      </c>
      <c r="T681" t="inlineStr">
        <is>
          <t>來源：單次型發票及收款紀錄 第 200 列</t>
        </is>
      </c>
      <c r="U681" t="inlineStr"/>
      <c r="V681" t="inlineStr">
        <is>
          <t>2026-05-18</t>
        </is>
      </c>
    </row>
    <row r="682">
      <c r="A682" t="inlineStr">
        <is>
          <t>inv_3659c562be01</t>
        </is>
      </c>
      <c r="B682" t="inlineStr">
        <is>
          <t>Cobi</t>
        </is>
      </c>
      <c r="C682" t="inlineStr">
        <is>
          <t>2025-04-30</t>
        </is>
      </c>
      <c r="D682" t="inlineStr">
        <is>
          <t>2554658</t>
        </is>
      </c>
      <c r="E682" t="inlineStr"/>
      <c r="F682" t="inlineStr">
        <is>
          <t>2025-03-05</t>
        </is>
      </c>
      <c r="G682" t="inlineStr">
        <is>
          <t>LY43825862</t>
        </is>
      </c>
      <c r="H682" t="inlineStr">
        <is>
          <t>cus_728435a6d937</t>
        </is>
      </c>
      <c r="I682" t="inlineStr">
        <is>
          <t>果實夥伴股份有限公司</t>
        </is>
      </c>
      <c r="J682" t="inlineStr">
        <is>
          <t>24482512</t>
        </is>
      </c>
      <c r="K682" t="n">
        <v>2000</v>
      </c>
      <c r="L682" t="n">
        <v>2100</v>
      </c>
      <c r="M682" t="inlineStr">
        <is>
          <t>記帳廣告受眾包</t>
        </is>
      </c>
      <c r="N682" t="inlineStr">
        <is>
          <t>王之岑 Emma Wang</t>
        </is>
      </c>
      <c r="O682" t="inlineStr">
        <is>
          <t>台北市內湖區瑞光路610號2樓</t>
        </is>
      </c>
      <c r="P682" t="inlineStr">
        <is>
          <t>emmawang@onead.com.tw</t>
        </is>
      </c>
      <c r="Q682" t="inlineStr"/>
      <c r="R682" t="inlineStr"/>
      <c r="S682" t="inlineStr">
        <is>
          <t>已收款</t>
        </is>
      </c>
      <c r="T682" t="inlineStr">
        <is>
          <t>來源：單次型發票及收款紀錄 第 201 列</t>
        </is>
      </c>
      <c r="U682" t="inlineStr"/>
      <c r="V682" t="inlineStr">
        <is>
          <t>2026-05-18</t>
        </is>
      </c>
    </row>
    <row r="683">
      <c r="A683" t="inlineStr">
        <is>
          <t>inv_b82368b1d095</t>
        </is>
      </c>
      <c r="B683" t="inlineStr">
        <is>
          <t>Cobi</t>
        </is>
      </c>
      <c r="C683" t="inlineStr">
        <is>
          <t>2025-08-29</t>
        </is>
      </c>
      <c r="D683" t="inlineStr">
        <is>
          <t>2615792</t>
        </is>
      </c>
      <c r="E683" t="inlineStr"/>
      <c r="F683" t="inlineStr">
        <is>
          <t>2025-05-05</t>
        </is>
      </c>
      <c r="G683" t="inlineStr">
        <is>
          <t>NY43825509</t>
        </is>
      </c>
      <c r="H683" t="inlineStr">
        <is>
          <t>cus_728435a6d937</t>
        </is>
      </c>
      <c r="I683" t="inlineStr">
        <is>
          <t>果實夥伴股份有限公司</t>
        </is>
      </c>
      <c r="J683" t="inlineStr">
        <is>
          <t>24482512</t>
        </is>
      </c>
      <c r="K683" t="n">
        <v>1000</v>
      </c>
      <c r="L683" t="n">
        <v>1050</v>
      </c>
      <c r="M683" t="inlineStr">
        <is>
          <t>記帳廣告受眾包</t>
        </is>
      </c>
      <c r="N683" t="inlineStr">
        <is>
          <t>王之岑 Emma Wang</t>
        </is>
      </c>
      <c r="O683" t="inlineStr">
        <is>
          <t>台北市內湖區瑞光路610號2樓</t>
        </is>
      </c>
      <c r="P683" t="inlineStr">
        <is>
          <t>emmawang@onead.com.tw</t>
        </is>
      </c>
      <c r="Q683" t="inlineStr"/>
      <c r="R683" t="inlineStr"/>
      <c r="S683" t="inlineStr">
        <is>
          <t>已收款</t>
        </is>
      </c>
      <c r="T683" t="inlineStr">
        <is>
          <t>來源：單次型發票及收款紀錄 第 202 列</t>
        </is>
      </c>
      <c r="U683" t="inlineStr"/>
      <c r="V683" t="inlineStr">
        <is>
          <t>2026-05-18</t>
        </is>
      </c>
    </row>
    <row r="684">
      <c r="A684" t="inlineStr">
        <is>
          <t>inv_cc67360c6aff</t>
        </is>
      </c>
      <c r="B684" t="inlineStr">
        <is>
          <t>Cobi</t>
        </is>
      </c>
      <c r="C684" t="inlineStr">
        <is>
          <t>2024-10-30</t>
        </is>
      </c>
      <c r="D684" t="inlineStr">
        <is>
          <t>2394029</t>
        </is>
      </c>
      <c r="E684" t="inlineStr"/>
      <c r="F684" t="inlineStr">
        <is>
          <t>2024-10-07</t>
        </is>
      </c>
      <c r="G684" t="inlineStr">
        <is>
          <t>FB03680872</t>
        </is>
      </c>
      <c r="H684" t="inlineStr">
        <is>
          <t>cus_253c0ef1fab2</t>
        </is>
      </c>
      <c r="I684" t="inlineStr">
        <is>
          <t>東方線上股份有限公司</t>
        </is>
      </c>
      <c r="J684" t="inlineStr">
        <is>
          <t>70570643</t>
        </is>
      </c>
      <c r="K684" t="n">
        <v>5000</v>
      </c>
      <c r="L684" t="n">
        <v>5250</v>
      </c>
      <c r="M684" t="inlineStr">
        <is>
          <t>問券調查服務</t>
        </is>
      </c>
      <c r="N684" t="inlineStr">
        <is>
          <t>鄭可風(Allison)</t>
        </is>
      </c>
      <c r="O684" t="inlineStr">
        <is>
          <t>106台北市大安區信義路四段306號7樓</t>
        </is>
      </c>
      <c r="P684" t="inlineStr">
        <is>
          <t>allison@isurvey.com.tw</t>
        </is>
      </c>
      <c r="Q684" t="inlineStr">
        <is>
          <t>02-2706-4865 #839</t>
        </is>
      </c>
      <c r="R684" t="inlineStr"/>
      <c r="S684" t="inlineStr">
        <is>
          <t>已收款</t>
        </is>
      </c>
      <c r="T684" t="inlineStr">
        <is>
          <t>來源：單次型發票及收款紀錄 第 203 列</t>
        </is>
      </c>
      <c r="U684" t="inlineStr"/>
      <c r="V684" t="inlineStr">
        <is>
          <t>2026-05-18</t>
        </is>
      </c>
    </row>
    <row r="685">
      <c r="A685" t="inlineStr">
        <is>
          <t>inv_b621b7d449c3</t>
        </is>
      </c>
      <c r="B685" t="inlineStr">
        <is>
          <t>Cobi</t>
        </is>
      </c>
      <c r="C685" t="inlineStr">
        <is>
          <t>2025-10-15</t>
        </is>
      </c>
      <c r="D685" t="inlineStr">
        <is>
          <t>2761806</t>
        </is>
      </c>
      <c r="E685" t="inlineStr"/>
      <c r="F685" t="inlineStr">
        <is>
          <t>2025-09-05</t>
        </is>
      </c>
      <c r="G685" t="inlineStr"/>
      <c r="H685" t="inlineStr">
        <is>
          <t>cus_253c0ef1fab2</t>
        </is>
      </c>
      <c r="I685" t="inlineStr">
        <is>
          <t>東方線上股份有限公司</t>
        </is>
      </c>
      <c r="J685" t="inlineStr">
        <is>
          <t>70570643</t>
        </is>
      </c>
      <c r="K685" t="n">
        <v>5000</v>
      </c>
      <c r="L685" t="n">
        <v>5250</v>
      </c>
      <c r="M685" t="inlineStr">
        <is>
          <t>問券調查服務</t>
        </is>
      </c>
      <c r="N685" t="inlineStr">
        <is>
          <t>洪立瑄  Lily Hung</t>
        </is>
      </c>
      <c r="O685" t="inlineStr">
        <is>
          <t>106台北市大安區信義路四段306號7樓</t>
        </is>
      </c>
      <c r="P685" t="inlineStr">
        <is>
          <t>lilyred@isurvey.com.tw</t>
        </is>
      </c>
      <c r="Q685" t="inlineStr">
        <is>
          <t>02-2706-4865 #839</t>
        </is>
      </c>
      <c r="R685" t="inlineStr"/>
      <c r="S685" t="inlineStr">
        <is>
          <t>已收款</t>
        </is>
      </c>
      <c r="T685" t="inlineStr">
        <is>
          <t>飲料推播
來源：單次型發票及收款紀錄 第 204 列</t>
        </is>
      </c>
      <c r="U685" t="inlineStr"/>
      <c r="V685" t="inlineStr">
        <is>
          <t>2026-05-18</t>
        </is>
      </c>
    </row>
    <row r="686">
      <c r="A686" t="inlineStr">
        <is>
          <t>inv_e0424a6b415b</t>
        </is>
      </c>
      <c r="B686" t="inlineStr">
        <is>
          <t>Cobi</t>
        </is>
      </c>
      <c r="C686" t="inlineStr">
        <is>
          <t>2025-10-15</t>
        </is>
      </c>
      <c r="D686" t="inlineStr">
        <is>
          <t>2761807</t>
        </is>
      </c>
      <c r="E686" t="inlineStr"/>
      <c r="F686" t="inlineStr">
        <is>
          <t>2025-09-05</t>
        </is>
      </c>
      <c r="G686" t="inlineStr"/>
      <c r="H686" t="inlineStr">
        <is>
          <t>cus_253c0ef1fab2</t>
        </is>
      </c>
      <c r="I686" t="inlineStr">
        <is>
          <t>東方線上股份有限公司</t>
        </is>
      </c>
      <c r="J686" t="inlineStr">
        <is>
          <t>70570643</t>
        </is>
      </c>
      <c r="K686" t="n">
        <v>8000</v>
      </c>
      <c r="L686" t="n">
        <v>8400</v>
      </c>
      <c r="M686" t="inlineStr">
        <is>
          <t>問券調查服務</t>
        </is>
      </c>
      <c r="N686" t="inlineStr">
        <is>
          <t>洪立瑄  Lily Hung</t>
        </is>
      </c>
      <c r="O686" t="inlineStr">
        <is>
          <t>106台北市大安區信義路四段306號7樓</t>
        </is>
      </c>
      <c r="P686" t="inlineStr">
        <is>
          <t>lilyred@isurvey.com.tw</t>
        </is>
      </c>
      <c r="Q686" t="inlineStr">
        <is>
          <t>02-2706-4865 #839</t>
        </is>
      </c>
      <c r="R686" t="inlineStr"/>
      <c r="S686" t="inlineStr">
        <is>
          <t>已收款</t>
        </is>
      </c>
      <c r="T686" t="inlineStr">
        <is>
          <t>洗衣精推播
來源：單次型發票及收款紀錄 第 205 列</t>
        </is>
      </c>
      <c r="U686" t="inlineStr"/>
      <c r="V686" t="inlineStr">
        <is>
          <t>2026-05-18</t>
        </is>
      </c>
    </row>
    <row r="687">
      <c r="A687" t="inlineStr">
        <is>
          <t>inv_5809d1cb7a4f</t>
        </is>
      </c>
      <c r="B687" t="inlineStr">
        <is>
          <t>Cobi</t>
        </is>
      </c>
      <c r="C687" t="inlineStr">
        <is>
          <t>2025-11-14</t>
        </is>
      </c>
      <c r="D687" t="inlineStr">
        <is>
          <t>2793685</t>
        </is>
      </c>
      <c r="E687" t="inlineStr"/>
      <c r="F687" t="inlineStr">
        <is>
          <t>2025-10-03</t>
        </is>
      </c>
      <c r="G687" t="inlineStr"/>
      <c r="H687" t="inlineStr">
        <is>
          <t>cus_253c0ef1fab2</t>
        </is>
      </c>
      <c r="I687" t="inlineStr">
        <is>
          <t>東方線上股份有限公司</t>
        </is>
      </c>
      <c r="J687" t="inlineStr">
        <is>
          <t>70570643</t>
        </is>
      </c>
      <c r="K687" t="n">
        <v>5000</v>
      </c>
      <c r="L687" t="n">
        <v>5250</v>
      </c>
      <c r="M687" t="inlineStr">
        <is>
          <t>問券調查服務</t>
        </is>
      </c>
      <c r="N687" t="inlineStr">
        <is>
          <t>洪立瑄  Lily Hung</t>
        </is>
      </c>
      <c r="O687" t="inlineStr">
        <is>
          <t>106台北市大安區信義路四段306號7樓</t>
        </is>
      </c>
      <c r="P687" t="inlineStr">
        <is>
          <t>lilyred@isurvey.com.tw</t>
        </is>
      </c>
      <c r="Q687" t="inlineStr">
        <is>
          <t>02-2706-4865 #839</t>
        </is>
      </c>
      <c r="R687" t="inlineStr"/>
      <c r="S687" t="inlineStr">
        <is>
          <t>已收款</t>
        </is>
      </c>
      <c r="T687" t="inlineStr">
        <is>
          <t>果凍調查
來源：單次型發票及收款紀錄 第 206 列</t>
        </is>
      </c>
      <c r="U687" t="inlineStr"/>
      <c r="V687" t="inlineStr">
        <is>
          <t>2026-05-18</t>
        </is>
      </c>
    </row>
    <row r="688">
      <c r="A688" t="inlineStr">
        <is>
          <t>inv_90e90b4d8d7f</t>
        </is>
      </c>
      <c r="B688" t="inlineStr">
        <is>
          <t>Kate</t>
        </is>
      </c>
      <c r="C688" t="inlineStr">
        <is>
          <t>2025-11-25</t>
        </is>
      </c>
      <c r="D688" t="inlineStr">
        <is>
          <t>2811120</t>
        </is>
      </c>
      <c r="E688" t="inlineStr"/>
      <c r="F688" t="inlineStr">
        <is>
          <t>2025-10-20</t>
        </is>
      </c>
      <c r="G688" t="inlineStr"/>
      <c r="H688" t="inlineStr">
        <is>
          <t>cus_9117758d2ff8</t>
        </is>
      </c>
      <c r="I688" t="inlineStr">
        <is>
          <t>星醫美學股份有限公司</t>
        </is>
      </c>
      <c r="J688" t="inlineStr">
        <is>
          <t>53317111</t>
        </is>
      </c>
      <c r="K688" t="n">
        <v>10000</v>
      </c>
      <c r="L688" t="n">
        <v>10500</v>
      </c>
      <c r="M688" t="inlineStr">
        <is>
          <t>發票數據受眾包</t>
        </is>
      </c>
      <c r="N688" t="inlineStr">
        <is>
          <t>Max Chen 陳暐勲</t>
        </is>
      </c>
      <c r="O688" t="inlineStr">
        <is>
          <t>新北市新店區北新路3段225號13樓</t>
        </is>
      </c>
      <c r="P688" t="inlineStr">
        <is>
          <t>max.chen@starnic.com.tw</t>
        </is>
      </c>
      <c r="Q688" t="inlineStr">
        <is>
          <t>(02)2389-9929 # 254</t>
        </is>
      </c>
      <c r="R688" t="inlineStr"/>
      <c r="S688" t="inlineStr">
        <is>
          <t>已收款</t>
        </is>
      </c>
      <c r="T688" t="inlineStr">
        <is>
          <t>主題包
來源：單次型發票及收款紀錄 第 207 列</t>
        </is>
      </c>
      <c r="U688" t="inlineStr">
        <is>
          <t>10月開發票，11/25出款</t>
        </is>
      </c>
      <c r="V688" t="inlineStr">
        <is>
          <t>2026-05-18</t>
        </is>
      </c>
    </row>
    <row r="689">
      <c r="A689" t="inlineStr">
        <is>
          <t>inv_f5bb87338fdf</t>
        </is>
      </c>
      <c r="B689" t="inlineStr">
        <is>
          <t>Kate</t>
        </is>
      </c>
      <c r="C689" t="inlineStr">
        <is>
          <t>2025-12-26</t>
        </is>
      </c>
      <c r="D689" t="inlineStr">
        <is>
          <t>B00945</t>
        </is>
      </c>
      <c r="E689" t="inlineStr"/>
      <c r="F689" t="inlineStr">
        <is>
          <t>2025-11-28</t>
        </is>
      </c>
      <c r="G689" t="inlineStr">
        <is>
          <t>UY43853718</t>
        </is>
      </c>
      <c r="H689" t="inlineStr">
        <is>
          <t>cus_9117758d2ff8</t>
        </is>
      </c>
      <c r="I689" t="inlineStr">
        <is>
          <t>星醫美學股份有限公司</t>
        </is>
      </c>
      <c r="J689" t="inlineStr">
        <is>
          <t>53317111</t>
        </is>
      </c>
      <c r="K689" t="n">
        <v>45000</v>
      </c>
      <c r="L689" t="n">
        <v>47250</v>
      </c>
      <c r="M689" t="inlineStr">
        <is>
          <t>發票數據受眾包</t>
        </is>
      </c>
      <c r="N689" t="inlineStr">
        <is>
          <t>Max Chen 陳暐勲</t>
        </is>
      </c>
      <c r="O689" t="inlineStr">
        <is>
          <t>新北市新店區北新路3段225號13樓</t>
        </is>
      </c>
      <c r="P689" t="inlineStr">
        <is>
          <t>max.chen@starnic.com.tw</t>
        </is>
      </c>
      <c r="Q689" t="inlineStr">
        <is>
          <t>(02)2389-9929 # 254</t>
        </is>
      </c>
      <c r="R689" t="inlineStr"/>
      <c r="S689" t="inlineStr">
        <is>
          <t>已收款</t>
        </is>
      </c>
      <c r="T689" t="inlineStr">
        <is>
          <t>主題包
來源：單次型發票及收款紀錄 第 208 列</t>
        </is>
      </c>
      <c r="U689" t="inlineStr">
        <is>
          <t>11/28開發票，12/25出款</t>
        </is>
      </c>
      <c r="V689" t="inlineStr">
        <is>
          <t>2026-05-18</t>
        </is>
      </c>
    </row>
    <row r="690">
      <c r="A690" t="inlineStr">
        <is>
          <t>inv_086ffd987550</t>
        </is>
      </c>
      <c r="B690" t="inlineStr">
        <is>
          <t>劉泳成</t>
        </is>
      </c>
      <c r="C690" t="inlineStr">
        <is>
          <t>2024-10-28</t>
        </is>
      </c>
      <c r="D690" t="inlineStr">
        <is>
          <t>2416055</t>
        </is>
      </c>
      <c r="E690" t="inlineStr"/>
      <c r="F690" t="inlineStr">
        <is>
          <t>2024-10-29</t>
        </is>
      </c>
      <c r="G690" t="inlineStr">
        <is>
          <t>FB03700965</t>
        </is>
      </c>
      <c r="H690" t="inlineStr">
        <is>
          <t>cus_07f79144e085</t>
        </is>
      </c>
      <c r="I690" t="inlineStr">
        <is>
          <t>我們的力量股份有限公司</t>
        </is>
      </c>
      <c r="J690" t="inlineStr">
        <is>
          <t>83700438</t>
        </is>
      </c>
      <c r="K690" t="n">
        <v>10000</v>
      </c>
      <c r="L690" t="n">
        <v>10500</v>
      </c>
      <c r="M690" t="inlineStr">
        <is>
          <t>發票數據受眾包</t>
        </is>
      </c>
      <c r="N690" t="inlineStr">
        <is>
          <t>女力學院</t>
        </is>
      </c>
      <c r="O690" t="inlineStr">
        <is>
          <t>臺北市信義區基隆路1段153號之1</t>
        </is>
      </c>
      <c r="P690" t="inlineStr">
        <is>
          <t>finance@woomanpower.com</t>
        </is>
      </c>
      <c r="Q690" t="inlineStr">
        <is>
          <t>0975-660286</t>
        </is>
      </c>
      <c r="R690" t="inlineStr"/>
      <c r="S690" t="inlineStr">
        <is>
          <t>已收款</t>
        </is>
      </c>
      <c r="T690" t="inlineStr">
        <is>
          <t>來源：單次型發票及收款紀錄 第 209 列</t>
        </is>
      </c>
      <c r="U690" t="inlineStr">
        <is>
          <t>10/28已匯款(27534)</t>
        </is>
      </c>
      <c r="V690" t="inlineStr">
        <is>
          <t>2026-05-18</t>
        </is>
      </c>
    </row>
    <row r="691">
      <c r="A691" t="inlineStr">
        <is>
          <t>inv_ca0a645783fb</t>
        </is>
      </c>
      <c r="B691" t="inlineStr">
        <is>
          <t>Kate</t>
        </is>
      </c>
      <c r="C691" t="inlineStr">
        <is>
          <t>2025-09-10</t>
        </is>
      </c>
      <c r="D691" t="inlineStr">
        <is>
          <t>2764714</t>
        </is>
      </c>
      <c r="E691" t="inlineStr"/>
      <c r="F691" t="inlineStr">
        <is>
          <t>2025-09-08</t>
        </is>
      </c>
      <c r="G691" t="inlineStr"/>
      <c r="H691" t="inlineStr">
        <is>
          <t>cus_e9d3627de720</t>
        </is>
      </c>
      <c r="I691" t="inlineStr">
        <is>
          <t>愛康實業有限公司</t>
        </is>
      </c>
      <c r="J691" t="inlineStr">
        <is>
          <t>54733396</t>
        </is>
      </c>
      <c r="K691" t="n">
        <v>55000</v>
      </c>
      <c r="L691" t="n">
        <v>57750</v>
      </c>
      <c r="M691" t="inlineStr">
        <is>
          <t>發票數據受眾包</t>
        </is>
      </c>
      <c r="N691" t="inlineStr">
        <is>
          <t>高伊辰</t>
        </is>
      </c>
      <c r="O691" t="inlineStr">
        <is>
          <t>新北市土城區亞洲路128號</t>
        </is>
      </c>
      <c r="P691" t="inlineStr">
        <is>
          <t>lekao@1zpresso.com</t>
        </is>
      </c>
      <c r="Q691" t="inlineStr">
        <is>
          <t>0978870995</t>
        </is>
      </c>
      <c r="R691" t="inlineStr"/>
      <c r="S691" t="inlineStr">
        <is>
          <t>已收款</t>
        </is>
      </c>
      <c r="T691" t="inlineStr">
        <is>
          <t>1zpresso(咖啡受眾包買斷)
來源：單次型發票及收款紀錄 第 210 列</t>
        </is>
      </c>
      <c r="U691" t="inlineStr">
        <is>
          <t>收到發票當月10日</t>
        </is>
      </c>
      <c r="V691" t="inlineStr">
        <is>
          <t>2026-05-18</t>
        </is>
      </c>
    </row>
    <row r="692">
      <c r="A692" t="inlineStr">
        <is>
          <t>inv_7e67f2ba61e4</t>
        </is>
      </c>
      <c r="B692" t="inlineStr">
        <is>
          <t>Erin</t>
        </is>
      </c>
      <c r="C692" t="inlineStr">
        <is>
          <t>2025-01-15</t>
        </is>
      </c>
      <c r="D692" t="inlineStr">
        <is>
          <t>2459596</t>
        </is>
      </c>
      <c r="E692" t="inlineStr"/>
      <c r="F692" t="inlineStr">
        <is>
          <t>2024-12-05</t>
        </is>
      </c>
      <c r="G692" t="inlineStr">
        <is>
          <t>HA03683234</t>
        </is>
      </c>
      <c r="H692" t="inlineStr">
        <is>
          <t>cus_ca89271da0af</t>
        </is>
      </c>
      <c r="I692" t="inlineStr">
        <is>
          <t>尚格酒業股份有限公司</t>
        </is>
      </c>
      <c r="J692" t="inlineStr">
        <is>
          <t>24779508</t>
        </is>
      </c>
      <c r="K692" t="n">
        <v>150000</v>
      </c>
      <c r="L692" t="n">
        <v>157500</v>
      </c>
      <c r="M692" t="inlineStr">
        <is>
          <t>CRM報告</t>
        </is>
      </c>
      <c r="N692" t="inlineStr">
        <is>
          <t>Jimmy Lin</t>
        </is>
      </c>
      <c r="O692" t="inlineStr">
        <is>
          <t>台北市信義區忠孝東路五段510號9-1</t>
        </is>
      </c>
      <c r="P692" t="inlineStr">
        <is>
          <t>jimmylin@thelegend.com.tw</t>
        </is>
      </c>
      <c r="Q692" t="inlineStr">
        <is>
          <t>0926715329</t>
        </is>
      </c>
      <c r="R692" t="inlineStr"/>
      <c r="S692" t="inlineStr">
        <is>
          <t>已收款</t>
        </is>
      </c>
      <c r="T692" t="inlineStr">
        <is>
          <t>尚格
來源：單次型發票及收款紀錄 第 211 列</t>
        </is>
      </c>
      <c r="U692" t="inlineStr">
        <is>
          <t>收到發票隔月起60天</t>
        </is>
      </c>
      <c r="V692" t="inlineStr">
        <is>
          <t>2026-05-18</t>
        </is>
      </c>
    </row>
    <row r="693">
      <c r="A693" t="inlineStr">
        <is>
          <t>inv_adbf62124e95</t>
        </is>
      </c>
      <c r="B693" t="inlineStr">
        <is>
          <t>黃思睿</t>
        </is>
      </c>
      <c r="C693" t="inlineStr">
        <is>
          <t>2024-01-02</t>
        </is>
      </c>
      <c r="D693" t="inlineStr">
        <is>
          <t>1965204</t>
        </is>
      </c>
      <c r="E693" t="inlineStr">
        <is>
          <t>2023.11.08</t>
        </is>
      </c>
      <c r="F693" t="inlineStr">
        <is>
          <t>2023-11-08</t>
        </is>
      </c>
      <c r="G693" t="inlineStr">
        <is>
          <t>VC44723852</t>
        </is>
      </c>
      <c r="H693" t="inlineStr">
        <is>
          <t>cus_bdd658582436</t>
        </is>
      </c>
      <c r="I693" t="inlineStr">
        <is>
          <t>富利餐飲股份有限公司</t>
        </is>
      </c>
      <c r="J693" t="inlineStr">
        <is>
          <t>97161500</t>
        </is>
      </c>
      <c r="K693" t="n">
        <v>1100</v>
      </c>
      <c r="L693" t="n">
        <v>1155</v>
      </c>
      <c r="M693" t="inlineStr">
        <is>
          <t>發票回饋</t>
        </is>
      </c>
      <c r="N693" t="inlineStr">
        <is>
          <t>Eric Shen</t>
        </is>
      </c>
      <c r="O693" t="inlineStr">
        <is>
          <t>104 台北市中山區建國北路一段96號</t>
        </is>
      </c>
      <c r="P693" t="inlineStr">
        <is>
          <t>eric.shen@jrgtw.com</t>
        </is>
      </c>
      <c r="Q693" t="inlineStr">
        <is>
          <t>02-25036889 #8230</t>
        </is>
      </c>
      <c r="R693" t="inlineStr"/>
      <c r="S693" t="inlineStr">
        <is>
          <t>已收款</t>
        </is>
      </c>
      <c r="T693" t="inlineStr">
        <is>
          <t>肯德基
來源：單次型發票及收款紀錄 第 212 列</t>
        </is>
      </c>
      <c r="U693" t="inlineStr">
        <is>
          <t>收到發票隔月底前</t>
        </is>
      </c>
      <c r="V693" t="inlineStr">
        <is>
          <t>2026-05-18</t>
        </is>
      </c>
    </row>
    <row r="694">
      <c r="A694" t="inlineStr">
        <is>
          <t>inv_17f6c36b4d1c</t>
        </is>
      </c>
      <c r="B694" t="inlineStr">
        <is>
          <t>黃思睿</t>
        </is>
      </c>
      <c r="C694" t="inlineStr">
        <is>
          <t>2023-12-25</t>
        </is>
      </c>
      <c r="D694" t="inlineStr">
        <is>
          <t>1965205</t>
        </is>
      </c>
      <c r="E694" t="inlineStr">
        <is>
          <t>2023.11.08</t>
        </is>
      </c>
      <c r="F694" t="inlineStr">
        <is>
          <t>2023-11-08</t>
        </is>
      </c>
      <c r="G694" t="inlineStr">
        <is>
          <t>VC44723853</t>
        </is>
      </c>
      <c r="H694" t="inlineStr">
        <is>
          <t>cus_bdd658582436</t>
        </is>
      </c>
      <c r="I694" t="inlineStr">
        <is>
          <t>富利餐飲股份有限公司</t>
        </is>
      </c>
      <c r="J694" t="inlineStr">
        <is>
          <t>97161500</t>
        </is>
      </c>
      <c r="K694" t="n">
        <v>689</v>
      </c>
      <c r="L694" t="n">
        <v>723</v>
      </c>
      <c r="M694" t="inlineStr">
        <is>
          <t>發票回饋</t>
        </is>
      </c>
      <c r="N694" t="inlineStr">
        <is>
          <t>Eric Shen</t>
        </is>
      </c>
      <c r="O694" t="inlineStr">
        <is>
          <t>104 台北市中山區建國北路一段96號</t>
        </is>
      </c>
      <c r="P694" t="inlineStr">
        <is>
          <t>eric.shen@jrgtw.com</t>
        </is>
      </c>
      <c r="Q694" t="inlineStr">
        <is>
          <t>02-25036889 #8230</t>
        </is>
      </c>
      <c r="R694" t="inlineStr"/>
      <c r="S694" t="inlineStr">
        <is>
          <t>已收款</t>
        </is>
      </c>
      <c r="T694" t="inlineStr">
        <is>
          <t>必勝客
來源：單次型發票及收款紀錄 第 213 列</t>
        </is>
      </c>
      <c r="U694" t="inlineStr">
        <is>
          <t>收到發票隔月底前</t>
        </is>
      </c>
      <c r="V694" t="inlineStr">
        <is>
          <t>2026-05-18</t>
        </is>
      </c>
    </row>
    <row r="695">
      <c r="A695" t="inlineStr">
        <is>
          <t>inv_cea0d281f5ca</t>
        </is>
      </c>
      <c r="B695" t="inlineStr">
        <is>
          <t>黃思睿</t>
        </is>
      </c>
      <c r="C695" t="inlineStr">
        <is>
          <t>2024-01-31</t>
        </is>
      </c>
      <c r="D695" t="inlineStr">
        <is>
          <t>2004790</t>
        </is>
      </c>
      <c r="E695" t="inlineStr">
        <is>
          <t>2023.12.06</t>
        </is>
      </c>
      <c r="F695" t="inlineStr">
        <is>
          <t>2023-12-06</t>
        </is>
      </c>
      <c r="G695" t="inlineStr">
        <is>
          <t>VC44759559</t>
        </is>
      </c>
      <c r="H695" t="inlineStr">
        <is>
          <t>cus_bdd658582436</t>
        </is>
      </c>
      <c r="I695" t="inlineStr">
        <is>
          <t>富利餐飲股份有限公司</t>
        </is>
      </c>
      <c r="J695" t="inlineStr">
        <is>
          <t>97161500</t>
        </is>
      </c>
      <c r="K695" t="n">
        <v>848</v>
      </c>
      <c r="L695" t="n">
        <v>890</v>
      </c>
      <c r="M695" t="inlineStr">
        <is>
          <t>發票回饋</t>
        </is>
      </c>
      <c r="N695" t="inlineStr">
        <is>
          <t>Eric Shen</t>
        </is>
      </c>
      <c r="O695" t="inlineStr">
        <is>
          <t>104 台北市中山區建國北路一段96號</t>
        </is>
      </c>
      <c r="P695" t="inlineStr">
        <is>
          <t>eric.shen@jrgtw.com</t>
        </is>
      </c>
      <c r="Q695" t="inlineStr">
        <is>
          <t>02-25036889 #8230</t>
        </is>
      </c>
      <c r="R695" t="inlineStr"/>
      <c r="S695" t="inlineStr">
        <is>
          <t>已收款</t>
        </is>
      </c>
      <c r="T695" t="inlineStr">
        <is>
          <t>肯德基
來源：單次型發票及收款紀錄 第 214 列</t>
        </is>
      </c>
      <c r="U695" t="inlineStr">
        <is>
          <t>收到發票隔月底前</t>
        </is>
      </c>
      <c r="V695" t="inlineStr">
        <is>
          <t>2026-05-18</t>
        </is>
      </c>
    </row>
    <row r="696">
      <c r="A696" t="inlineStr">
        <is>
          <t>inv_9045ddac2f35</t>
        </is>
      </c>
      <c r="B696" t="inlineStr">
        <is>
          <t>黃思睿</t>
        </is>
      </c>
      <c r="C696" t="inlineStr">
        <is>
          <t>2024-01-25</t>
        </is>
      </c>
      <c r="D696" t="inlineStr">
        <is>
          <t>2004791</t>
        </is>
      </c>
      <c r="E696" t="inlineStr">
        <is>
          <t>2023.12.06</t>
        </is>
      </c>
      <c r="F696" t="inlineStr">
        <is>
          <t>2023-12-06</t>
        </is>
      </c>
      <c r="G696" t="inlineStr">
        <is>
          <t>VC44759560</t>
        </is>
      </c>
      <c r="H696" t="inlineStr">
        <is>
          <t>cus_bdd658582436</t>
        </is>
      </c>
      <c r="I696" t="inlineStr">
        <is>
          <t>富利餐飲股份有限公司</t>
        </is>
      </c>
      <c r="J696" t="inlineStr">
        <is>
          <t>97161500</t>
        </is>
      </c>
      <c r="K696" t="n">
        <v>554</v>
      </c>
      <c r="L696" t="n">
        <v>582</v>
      </c>
      <c r="M696" t="inlineStr">
        <is>
          <t>發票回饋</t>
        </is>
      </c>
      <c r="N696" t="inlineStr">
        <is>
          <t>Eric Shen</t>
        </is>
      </c>
      <c r="O696" t="inlineStr">
        <is>
          <t>104 台北市中山區建國北路一段96號</t>
        </is>
      </c>
      <c r="P696" t="inlineStr">
        <is>
          <t>eric.shen@jrgtw.com</t>
        </is>
      </c>
      <c r="Q696" t="inlineStr">
        <is>
          <t>02-25036889 #8230</t>
        </is>
      </c>
      <c r="R696" t="inlineStr"/>
      <c r="S696" t="inlineStr">
        <is>
          <t>已收款</t>
        </is>
      </c>
      <c r="T696" t="inlineStr">
        <is>
          <t>必勝客
來源：單次型發票及收款紀錄 第 215 列</t>
        </is>
      </c>
      <c r="U696" t="inlineStr">
        <is>
          <t>收到發票隔月底前</t>
        </is>
      </c>
      <c r="V696" t="inlineStr">
        <is>
          <t>2026-05-18</t>
        </is>
      </c>
    </row>
    <row r="697">
      <c r="A697" t="inlineStr">
        <is>
          <t>inv_08750d6c07c3</t>
        </is>
      </c>
      <c r="B697" t="inlineStr">
        <is>
          <t>黃思睿</t>
        </is>
      </c>
      <c r="C697" t="inlineStr">
        <is>
          <t>2024-02-29</t>
        </is>
      </c>
      <c r="D697" t="inlineStr">
        <is>
          <t>2046048</t>
        </is>
      </c>
      <c r="E697" t="inlineStr">
        <is>
          <t>2024.01.04</t>
        </is>
      </c>
      <c r="F697" t="inlineStr">
        <is>
          <t>2024-01-10</t>
        </is>
      </c>
      <c r="G697" t="inlineStr">
        <is>
          <t>XE03656424</t>
        </is>
      </c>
      <c r="H697" t="inlineStr">
        <is>
          <t>cus_bdd658582436</t>
        </is>
      </c>
      <c r="I697" t="inlineStr">
        <is>
          <t>富利餐飲股份有限公司</t>
        </is>
      </c>
      <c r="J697" t="inlineStr">
        <is>
          <t>97161500</t>
        </is>
      </c>
      <c r="K697" t="n">
        <v>998</v>
      </c>
      <c r="L697" t="n">
        <v>1048</v>
      </c>
      <c r="M697" t="inlineStr">
        <is>
          <t>發票回饋</t>
        </is>
      </c>
      <c r="N697" t="inlineStr">
        <is>
          <t>Eric Shen</t>
        </is>
      </c>
      <c r="O697" t="inlineStr">
        <is>
          <t>104 台北市中山區建國北路一段96號</t>
        </is>
      </c>
      <c r="P697" t="inlineStr">
        <is>
          <t>eric.shen@jrgtw.com</t>
        </is>
      </c>
      <c r="Q697" t="inlineStr">
        <is>
          <t>02-25036889 #8230</t>
        </is>
      </c>
      <c r="R697" t="inlineStr"/>
      <c r="S697" t="inlineStr">
        <is>
          <t>已收款</t>
        </is>
      </c>
      <c r="T697" t="inlineStr">
        <is>
          <t>肯德基
來源：單次型發票及收款紀錄 第 216 列</t>
        </is>
      </c>
      <c r="U697" t="inlineStr">
        <is>
          <t>收到發票隔月底前</t>
        </is>
      </c>
      <c r="V697" t="inlineStr">
        <is>
          <t>2026-05-18</t>
        </is>
      </c>
    </row>
    <row r="698">
      <c r="A698" t="inlineStr">
        <is>
          <t>inv_0f923d3eb35a</t>
        </is>
      </c>
      <c r="B698" t="inlineStr">
        <is>
          <t>黃思睿</t>
        </is>
      </c>
      <c r="C698" t="inlineStr">
        <is>
          <t>2024-02-26</t>
        </is>
      </c>
      <c r="D698" t="inlineStr">
        <is>
          <t>2046049</t>
        </is>
      </c>
      <c r="E698" t="inlineStr">
        <is>
          <t>2024.01.04</t>
        </is>
      </c>
      <c r="F698" t="inlineStr">
        <is>
          <t>2024-01-10</t>
        </is>
      </c>
      <c r="G698" t="inlineStr">
        <is>
          <t>XE03656425</t>
        </is>
      </c>
      <c r="H698" t="inlineStr">
        <is>
          <t>cus_bdd658582436</t>
        </is>
      </c>
      <c r="I698" t="inlineStr">
        <is>
          <t>富利餐飲股份有限公司</t>
        </is>
      </c>
      <c r="J698" t="inlineStr">
        <is>
          <t>97161500</t>
        </is>
      </c>
      <c r="K698" t="n">
        <v>716</v>
      </c>
      <c r="L698" t="n">
        <v>752</v>
      </c>
      <c r="M698" t="inlineStr">
        <is>
          <t>發票回饋</t>
        </is>
      </c>
      <c r="N698" t="inlineStr">
        <is>
          <t>Eric Shen</t>
        </is>
      </c>
      <c r="O698" t="inlineStr">
        <is>
          <t>104 台北市中山區建國北路一段96號</t>
        </is>
      </c>
      <c r="P698" t="inlineStr">
        <is>
          <t>eric.shen@jrgtw.com</t>
        </is>
      </c>
      <c r="Q698" t="inlineStr">
        <is>
          <t>02-25036889 #8230</t>
        </is>
      </c>
      <c r="R698" t="inlineStr"/>
      <c r="S698" t="inlineStr">
        <is>
          <t>已收款</t>
        </is>
      </c>
      <c r="T698" t="inlineStr">
        <is>
          <t>必勝客
來源：單次型發票及收款紀錄 第 217 列</t>
        </is>
      </c>
      <c r="U698" t="inlineStr">
        <is>
          <t>收到發票隔月底前</t>
        </is>
      </c>
      <c r="V698" t="inlineStr">
        <is>
          <t>2026-05-18</t>
        </is>
      </c>
    </row>
    <row r="699">
      <c r="A699" t="inlineStr">
        <is>
          <t>inv_412c7818ce82</t>
        </is>
      </c>
      <c r="B699" t="inlineStr">
        <is>
          <t>黃思睿</t>
        </is>
      </c>
      <c r="C699" t="inlineStr">
        <is>
          <t>2024-04-01</t>
        </is>
      </c>
      <c r="D699" t="inlineStr">
        <is>
          <t>2076188</t>
        </is>
      </c>
      <c r="E699" t="inlineStr">
        <is>
          <t>2024.02.05</t>
        </is>
      </c>
      <c r="F699" t="inlineStr">
        <is>
          <t>2024-02-05</t>
        </is>
      </c>
      <c r="G699" t="inlineStr">
        <is>
          <t>XE03684431</t>
        </is>
      </c>
      <c r="H699" t="inlineStr">
        <is>
          <t>cus_bdd658582436</t>
        </is>
      </c>
      <c r="I699" t="inlineStr">
        <is>
          <t>富利餐飲股份有限公司</t>
        </is>
      </c>
      <c r="J699" t="inlineStr">
        <is>
          <t>97161500</t>
        </is>
      </c>
      <c r="K699" t="n">
        <v>0</v>
      </c>
      <c r="L699" t="n">
        <v>11</v>
      </c>
      <c r="M699" t="inlineStr">
        <is>
          <t>發票回饋</t>
        </is>
      </c>
      <c r="N699" t="inlineStr">
        <is>
          <t>Eric Shen</t>
        </is>
      </c>
      <c r="O699" t="inlineStr">
        <is>
          <t>104 台北市中山區建國北路一段96號</t>
        </is>
      </c>
      <c r="P699" t="inlineStr">
        <is>
          <t>eric.shen@jrgtw.com</t>
        </is>
      </c>
      <c r="Q699" t="inlineStr">
        <is>
          <t>02-25036889 #8230</t>
        </is>
      </c>
      <c r="R699" t="inlineStr"/>
      <c r="S699" t="inlineStr">
        <is>
          <t>已收款</t>
        </is>
      </c>
      <c r="T699" t="inlineStr">
        <is>
          <t>肯德基
來源：單次型發票及收款紀錄 第 218 列</t>
        </is>
      </c>
      <c r="U699" t="inlineStr">
        <is>
          <t>收到發票隔月底前</t>
        </is>
      </c>
      <c r="V699" t="inlineStr">
        <is>
          <t>2026-05-18</t>
        </is>
      </c>
    </row>
    <row r="700">
      <c r="A700" t="inlineStr">
        <is>
          <t>inv_ed83934a6f1c</t>
        </is>
      </c>
      <c r="B700" t="inlineStr">
        <is>
          <t>黃思睿</t>
        </is>
      </c>
      <c r="C700" t="inlineStr">
        <is>
          <t>2024-03-25</t>
        </is>
      </c>
      <c r="D700" t="inlineStr">
        <is>
          <t>2076189</t>
        </is>
      </c>
      <c r="E700" t="inlineStr">
        <is>
          <t>2024.02.05</t>
        </is>
      </c>
      <c r="F700" t="inlineStr">
        <is>
          <t>2024-02-05</t>
        </is>
      </c>
      <c r="G700" t="inlineStr">
        <is>
          <t>XE03684432</t>
        </is>
      </c>
      <c r="H700" t="inlineStr">
        <is>
          <t>cus_bdd658582436</t>
        </is>
      </c>
      <c r="I700" t="inlineStr">
        <is>
          <t>富利餐飲股份有限公司</t>
        </is>
      </c>
      <c r="J700" t="inlineStr">
        <is>
          <t>97161500</t>
        </is>
      </c>
      <c r="K700" t="n">
        <v>0</v>
      </c>
      <c r="L700" t="n">
        <v>226</v>
      </c>
      <c r="M700" t="inlineStr">
        <is>
          <t>發票回饋</t>
        </is>
      </c>
      <c r="N700" t="inlineStr">
        <is>
          <t>Eric Shen</t>
        </is>
      </c>
      <c r="O700" t="inlineStr">
        <is>
          <t>104 台北市中山區建國北路一段96號</t>
        </is>
      </c>
      <c r="P700" t="inlineStr">
        <is>
          <t>eric.shen@jrgtw.com</t>
        </is>
      </c>
      <c r="Q700" t="inlineStr">
        <is>
          <t>02-25036889 #8230</t>
        </is>
      </c>
      <c r="R700" t="inlineStr"/>
      <c r="S700" t="inlineStr">
        <is>
          <t>已收款</t>
        </is>
      </c>
      <c r="T700" t="inlineStr">
        <is>
          <t>必勝客
來源：單次型發票及收款紀錄 第 219 列</t>
        </is>
      </c>
      <c r="U700" t="inlineStr">
        <is>
          <t>收到發票隔月底前</t>
        </is>
      </c>
      <c r="V700" t="inlineStr">
        <is>
          <t>2026-05-18</t>
        </is>
      </c>
    </row>
    <row r="701">
      <c r="A701" t="inlineStr">
        <is>
          <t>inv_d943a6e30f65</t>
        </is>
      </c>
      <c r="B701" t="inlineStr">
        <is>
          <t>Stanley</t>
        </is>
      </c>
      <c r="C701" t="inlineStr">
        <is>
          <t>2025-11-25</t>
        </is>
      </c>
      <c r="D701" t="inlineStr">
        <is>
          <t>2792391</t>
        </is>
      </c>
      <c r="E701" t="inlineStr"/>
      <c r="F701" t="inlineStr">
        <is>
          <t>2025-10-01</t>
        </is>
      </c>
      <c r="G701" t="inlineStr"/>
      <c r="H701" t="inlineStr">
        <is>
          <t>cus_bdd658582436</t>
        </is>
      </c>
      <c r="I701" t="inlineStr">
        <is>
          <t>富利餐飲股份有限公司</t>
        </is>
      </c>
      <c r="J701" t="inlineStr">
        <is>
          <t>97161500</t>
        </is>
      </c>
      <c r="K701" t="n">
        <v>51074</v>
      </c>
      <c r="L701" t="n">
        <v>53628</v>
      </c>
      <c r="M701" t="inlineStr">
        <is>
          <t>發票載具中獎放大</t>
        </is>
      </c>
      <c r="N701" t="inlineStr">
        <is>
          <t>Ian</t>
        </is>
      </c>
      <c r="O701" t="inlineStr">
        <is>
          <t>台北市10489建國北路1段96號9樓</t>
        </is>
      </c>
      <c r="P701" t="inlineStr">
        <is>
          <t>Ian.Yang@jrgtw.com</t>
        </is>
      </c>
      <c r="Q701" t="inlineStr"/>
      <c r="R701" t="inlineStr"/>
      <c r="S701" t="inlineStr">
        <is>
          <t>已收款</t>
        </is>
      </c>
      <c r="T701" t="inlineStr">
        <is>
          <t>必勝客
來源：單次型發票及收款紀錄 第 220 列</t>
        </is>
      </c>
      <c r="U701" t="inlineStr">
        <is>
          <t>收到發票隔月30號</t>
        </is>
      </c>
      <c r="V701" t="inlineStr">
        <is>
          <t>2026-05-18</t>
        </is>
      </c>
    </row>
    <row r="702">
      <c r="A702" t="inlineStr">
        <is>
          <t>inv_9808699c0b00</t>
        </is>
      </c>
      <c r="B702" t="inlineStr">
        <is>
          <t>Stanley</t>
        </is>
      </c>
      <c r="C702" t="inlineStr">
        <is>
          <t>2025-12-01</t>
        </is>
      </c>
      <c r="D702" t="inlineStr">
        <is>
          <t>2792392</t>
        </is>
      </c>
      <c r="E702" t="inlineStr"/>
      <c r="F702" t="inlineStr">
        <is>
          <t>2025-10-01</t>
        </is>
      </c>
      <c r="G702" t="inlineStr"/>
      <c r="H702" t="inlineStr">
        <is>
          <t>cus_bdd658582436</t>
        </is>
      </c>
      <c r="I702" t="inlineStr">
        <is>
          <t>富利餐飲股份有限公司</t>
        </is>
      </c>
      <c r="J702" t="inlineStr">
        <is>
          <t>97161500</t>
        </is>
      </c>
      <c r="K702" t="n">
        <v>8237</v>
      </c>
      <c r="L702" t="n">
        <v>8649</v>
      </c>
      <c r="M702" t="inlineStr">
        <is>
          <t>發票載具中獎放大</t>
        </is>
      </c>
      <c r="N702" t="inlineStr">
        <is>
          <t>Ian</t>
        </is>
      </c>
      <c r="O702" t="inlineStr">
        <is>
          <t>台北市10489建國北路1段96號9樓</t>
        </is>
      </c>
      <c r="P702" t="inlineStr">
        <is>
          <t>Ian.Yang@jrgtw.com</t>
        </is>
      </c>
      <c r="Q702" t="inlineStr"/>
      <c r="R702" t="inlineStr"/>
      <c r="S702" t="inlineStr">
        <is>
          <t>已收款</t>
        </is>
      </c>
      <c r="T702" t="inlineStr">
        <is>
          <t>肯德基
來源：單次型發票及收款紀錄 第 221 列</t>
        </is>
      </c>
      <c r="U702" t="inlineStr">
        <is>
          <t>收到發票隔月30號</t>
        </is>
      </c>
      <c r="V702" t="inlineStr">
        <is>
          <t>2026-05-18</t>
        </is>
      </c>
    </row>
    <row r="703">
      <c r="A703" t="inlineStr">
        <is>
          <t>inv_1b55225f12f7</t>
        </is>
      </c>
      <c r="B703" t="inlineStr">
        <is>
          <t>賴亭宜</t>
        </is>
      </c>
      <c r="C703" t="inlineStr">
        <is>
          <t>2025-12-26</t>
        </is>
      </c>
      <c r="D703" t="inlineStr">
        <is>
          <t>2844618</t>
        </is>
      </c>
      <c r="E703" t="inlineStr"/>
      <c r="F703" t="inlineStr">
        <is>
          <t>2025-11-15</t>
        </is>
      </c>
      <c r="G703" t="inlineStr"/>
      <c r="H703" t="inlineStr">
        <is>
          <t>cus_bdd658582436</t>
        </is>
      </c>
      <c r="I703" t="inlineStr">
        <is>
          <t>富利餐飲股份有限公司</t>
        </is>
      </c>
      <c r="J703" t="inlineStr">
        <is>
          <t>97161500</t>
        </is>
      </c>
      <c r="K703" t="n">
        <v>67793</v>
      </c>
      <c r="L703" t="n">
        <v>71183</v>
      </c>
      <c r="M703" t="inlineStr">
        <is>
          <t>發票載具中獎放大</t>
        </is>
      </c>
      <c r="N703" t="inlineStr">
        <is>
          <t>Ian</t>
        </is>
      </c>
      <c r="O703" t="inlineStr">
        <is>
          <t>台北市10489建國北路1段96號9樓</t>
        </is>
      </c>
      <c r="P703" t="inlineStr">
        <is>
          <t>Ian.Yang@jrgtw.com</t>
        </is>
      </c>
      <c r="Q703" t="inlineStr">
        <is>
          <t>02-2503-6889 #8298</t>
        </is>
      </c>
      <c r="R703" t="inlineStr"/>
      <c r="S703" t="inlineStr">
        <is>
          <t>已收款</t>
        </is>
      </c>
      <c r="T703" t="inlineStr">
        <is>
          <t>必勝客
來源：單次型發票及收款紀錄 第 222 列</t>
        </is>
      </c>
      <c r="U703" t="inlineStr">
        <is>
          <t>收到發票隔月30號</t>
        </is>
      </c>
      <c r="V703" t="inlineStr">
        <is>
          <t>2026-05-18</t>
        </is>
      </c>
    </row>
    <row r="704">
      <c r="A704" t="inlineStr">
        <is>
          <t>inv_f920b8208685</t>
        </is>
      </c>
      <c r="B704" t="inlineStr">
        <is>
          <t>賴亭宜</t>
        </is>
      </c>
      <c r="C704" t="inlineStr">
        <is>
          <t>2025-12-31</t>
        </is>
      </c>
      <c r="D704" t="inlineStr">
        <is>
          <t>2844619</t>
        </is>
      </c>
      <c r="E704" t="inlineStr"/>
      <c r="F704" t="inlineStr">
        <is>
          <t>2025-11-15</t>
        </is>
      </c>
      <c r="G704" t="inlineStr"/>
      <c r="H704" t="inlineStr">
        <is>
          <t>cus_bdd658582436</t>
        </is>
      </c>
      <c r="I704" t="inlineStr">
        <is>
          <t>富利餐飲股份有限公司</t>
        </is>
      </c>
      <c r="J704" t="inlineStr">
        <is>
          <t>97161500</t>
        </is>
      </c>
      <c r="K704" t="n">
        <v>8252</v>
      </c>
      <c r="L704" t="n">
        <v>8665</v>
      </c>
      <c r="M704" t="inlineStr">
        <is>
          <t>發票載具中獎放大</t>
        </is>
      </c>
      <c r="N704" t="inlineStr">
        <is>
          <t>Ian</t>
        </is>
      </c>
      <c r="O704" t="inlineStr">
        <is>
          <t>台北市10489建國北路1段96號9樓</t>
        </is>
      </c>
      <c r="P704" t="inlineStr">
        <is>
          <t>Ian.Yang@jrgtw.com</t>
        </is>
      </c>
      <c r="Q704" t="inlineStr">
        <is>
          <t>02-2503-6889 #8298</t>
        </is>
      </c>
      <c r="R704" t="inlineStr"/>
      <c r="S704" t="inlineStr">
        <is>
          <t>已收款</t>
        </is>
      </c>
      <c r="T704" t="inlineStr">
        <is>
          <t>肯德基
來源：單次型發票及收款紀錄 第 223 列</t>
        </is>
      </c>
      <c r="U704" t="inlineStr">
        <is>
          <t>收到發票隔月30號</t>
        </is>
      </c>
      <c r="V704" t="inlineStr">
        <is>
          <t>2026-05-18</t>
        </is>
      </c>
    </row>
    <row r="705">
      <c r="A705" t="inlineStr">
        <is>
          <t>inv_c48e05198b05</t>
        </is>
      </c>
      <c r="B705" t="inlineStr">
        <is>
          <t>Stanley</t>
        </is>
      </c>
      <c r="C705" t="inlineStr">
        <is>
          <t>2024-09-30</t>
        </is>
      </c>
      <c r="D705" t="inlineStr">
        <is>
          <t>B00485</t>
        </is>
      </c>
      <c r="E705" t="inlineStr"/>
      <c r="F705" t="inlineStr">
        <is>
          <t>2024-08-21</t>
        </is>
      </c>
      <c r="G705" t="inlineStr">
        <is>
          <t>DC03711131</t>
        </is>
      </c>
      <c r="H705" t="inlineStr">
        <is>
          <t>cus_4ffd0abcf1d4</t>
        </is>
      </c>
      <c r="I705" t="inlineStr">
        <is>
          <t>威摩科技股份有限公司</t>
        </is>
      </c>
      <c r="J705" t="inlineStr">
        <is>
          <t>42655986</t>
        </is>
      </c>
      <c r="K705" t="n">
        <v>29000</v>
      </c>
      <c r="L705" t="n">
        <v>30450</v>
      </c>
      <c r="M705" t="inlineStr">
        <is>
          <t>WeMo分潤活動</t>
        </is>
      </c>
      <c r="N705" t="inlineStr">
        <is>
          <t>Miya Chang</t>
        </is>
      </c>
      <c r="O705" t="inlineStr">
        <is>
          <t>台北市松山區南京東路三段303巷3弄8號2樓之1</t>
        </is>
      </c>
      <c r="P705" t="inlineStr">
        <is>
          <t>miya.chang@wemoscooter.com</t>
        </is>
      </c>
      <c r="Q705" t="inlineStr">
        <is>
          <t>02 7713 6980 #233</t>
        </is>
      </c>
      <c r="R705" t="inlineStr"/>
      <c r="S705" t="inlineStr">
        <is>
          <t>已收款</t>
        </is>
      </c>
      <c r="T705" t="inlineStr">
        <is>
          <t>WeMo分潤合作
來源：單次型發票及收款紀錄 第 224 列</t>
        </is>
      </c>
      <c r="U705" t="inlineStr">
        <is>
          <t>收到發票隔月30號</t>
        </is>
      </c>
      <c r="V705" t="inlineStr">
        <is>
          <t>2026-05-18</t>
        </is>
      </c>
    </row>
    <row r="706">
      <c r="A706" t="inlineStr">
        <is>
          <t>inv_65930774e843</t>
        </is>
      </c>
      <c r="B706" t="inlineStr">
        <is>
          <t>Stanley</t>
        </is>
      </c>
      <c r="C706" t="inlineStr">
        <is>
          <t>2024-09-30</t>
        </is>
      </c>
      <c r="D706" t="inlineStr">
        <is>
          <t>2369241</t>
        </is>
      </c>
      <c r="E706" t="inlineStr"/>
      <c r="F706" t="inlineStr">
        <is>
          <t>2024-09-13</t>
        </is>
      </c>
      <c r="G706" t="inlineStr">
        <is>
          <t>FB03658183</t>
        </is>
      </c>
      <c r="H706" t="inlineStr">
        <is>
          <t>cus_4ffd0abcf1d4</t>
        </is>
      </c>
      <c r="I706" t="inlineStr">
        <is>
          <t>威摩科技股份有限公司</t>
        </is>
      </c>
      <c r="J706" t="inlineStr">
        <is>
          <t>42655986</t>
        </is>
      </c>
      <c r="K706" t="n">
        <v>13100</v>
      </c>
      <c r="L706" t="n">
        <v>13755</v>
      </c>
      <c r="M706" t="inlineStr">
        <is>
          <t>WeMo分潤活動</t>
        </is>
      </c>
      <c r="N706" t="inlineStr">
        <is>
          <t>Miya Chang</t>
        </is>
      </c>
      <c r="O706" t="inlineStr">
        <is>
          <t>台北市松山區南京東路三段303巷3弄8號2樓之1</t>
        </is>
      </c>
      <c r="P706" t="inlineStr">
        <is>
          <t>miya.chang@wemoscooter.com</t>
        </is>
      </c>
      <c r="Q706" t="inlineStr">
        <is>
          <t>02 7713 6980 #233</t>
        </is>
      </c>
      <c r="R706" t="inlineStr"/>
      <c r="S706" t="inlineStr">
        <is>
          <t>已收款</t>
        </is>
      </c>
      <c r="T706" t="inlineStr">
        <is>
          <t>WeMo分潤合作
來源：單次型發票及收款紀錄 第 225 列</t>
        </is>
      </c>
      <c r="U706" t="inlineStr">
        <is>
          <t>收到發票隔月30號</t>
        </is>
      </c>
      <c r="V706" t="inlineStr">
        <is>
          <t>2026-05-18</t>
        </is>
      </c>
    </row>
    <row r="707">
      <c r="A707" t="inlineStr">
        <is>
          <t>inv_87a8a7da6bdf</t>
        </is>
      </c>
      <c r="B707" t="inlineStr">
        <is>
          <t>Stanley</t>
        </is>
      </c>
      <c r="C707" t="inlineStr">
        <is>
          <t>2024-10-31</t>
        </is>
      </c>
      <c r="D707" t="inlineStr">
        <is>
          <t>2402164</t>
        </is>
      </c>
      <c r="E707" t="inlineStr"/>
      <c r="F707" t="inlineStr">
        <is>
          <t>2024-10-15</t>
        </is>
      </c>
      <c r="G707" t="inlineStr">
        <is>
          <t>FB03688272</t>
        </is>
      </c>
      <c r="H707" t="inlineStr">
        <is>
          <t>cus_4ffd0abcf1d4</t>
        </is>
      </c>
      <c r="I707" t="inlineStr">
        <is>
          <t>威摩科技股份有限公司</t>
        </is>
      </c>
      <c r="J707" t="inlineStr">
        <is>
          <t>42655986</t>
        </is>
      </c>
      <c r="K707" t="n">
        <v>9000</v>
      </c>
      <c r="L707" t="n">
        <v>9450</v>
      </c>
      <c r="M707" t="inlineStr">
        <is>
          <t>WeMo分潤活動</t>
        </is>
      </c>
      <c r="N707" t="inlineStr">
        <is>
          <t>葉乃馨</t>
        </is>
      </c>
      <c r="O707" t="inlineStr">
        <is>
          <t>台北市松山區南京東路三段303巷3弄8號2樓之1</t>
        </is>
      </c>
      <c r="P707" t="inlineStr">
        <is>
          <t>nancy.yeh@wemoscooter.com</t>
        </is>
      </c>
      <c r="Q707" t="inlineStr">
        <is>
          <t>02 7713 6980 #233</t>
        </is>
      </c>
      <c r="R707" t="inlineStr"/>
      <c r="S707" t="inlineStr">
        <is>
          <t>已收款</t>
        </is>
      </c>
      <c r="T707" t="inlineStr">
        <is>
          <t>WeMo分潤合作
來源：單次型發票及收款紀錄 第 226 列</t>
        </is>
      </c>
      <c r="U707" t="inlineStr">
        <is>
          <t>收到發票隔月30號</t>
        </is>
      </c>
      <c r="V707" t="inlineStr">
        <is>
          <t>2026-05-18</t>
        </is>
      </c>
    </row>
    <row r="708">
      <c r="A708" t="inlineStr">
        <is>
          <t>inv_ddf369c2e0aa</t>
        </is>
      </c>
      <c r="B708" t="inlineStr">
        <is>
          <t>Stanley</t>
        </is>
      </c>
      <c r="C708" t="inlineStr">
        <is>
          <t>2024-11-29</t>
        </is>
      </c>
      <c r="D708" t="inlineStr">
        <is>
          <t>2432306</t>
        </is>
      </c>
      <c r="E708" t="inlineStr"/>
      <c r="F708" t="inlineStr">
        <is>
          <t>2024-11-11</t>
        </is>
      </c>
      <c r="G708" t="inlineStr">
        <is>
          <t>HA03658526</t>
        </is>
      </c>
      <c r="H708" t="inlineStr">
        <is>
          <t>cus_4ffd0abcf1d4</t>
        </is>
      </c>
      <c r="I708" t="inlineStr">
        <is>
          <t>威摩科技股份有限公司</t>
        </is>
      </c>
      <c r="J708" t="inlineStr">
        <is>
          <t>42655986</t>
        </is>
      </c>
      <c r="K708" t="n">
        <v>7700</v>
      </c>
      <c r="L708" t="n">
        <v>8085</v>
      </c>
      <c r="M708" t="inlineStr">
        <is>
          <t>WeMo分潤活動</t>
        </is>
      </c>
      <c r="N708" t="inlineStr">
        <is>
          <t>葉乃馨</t>
        </is>
      </c>
      <c r="O708" t="inlineStr">
        <is>
          <t>台北市松山區南京東路三段303巷3弄8號2樓之1</t>
        </is>
      </c>
      <c r="P708" t="inlineStr">
        <is>
          <t>nancy.yeh@wemoscooter.com</t>
        </is>
      </c>
      <c r="Q708" t="inlineStr">
        <is>
          <t>02 7713 6980 #233</t>
        </is>
      </c>
      <c r="R708" t="inlineStr"/>
      <c r="S708" t="inlineStr">
        <is>
          <t>已收款</t>
        </is>
      </c>
      <c r="T708" t="inlineStr">
        <is>
          <t>WeMo分潤合作
來源：單次型發票及收款紀錄 第 227 列</t>
        </is>
      </c>
      <c r="U708" t="inlineStr">
        <is>
          <t>收到發票隔月30號</t>
        </is>
      </c>
      <c r="V708" t="inlineStr">
        <is>
          <t>2026-05-18</t>
        </is>
      </c>
    </row>
    <row r="709">
      <c r="A709" t="inlineStr">
        <is>
          <t>inv_db92279baf92</t>
        </is>
      </c>
      <c r="B709" t="inlineStr">
        <is>
          <t>Stanley</t>
        </is>
      </c>
      <c r="C709" t="inlineStr">
        <is>
          <t>2024-12-31</t>
        </is>
      </c>
      <c r="D709" t="inlineStr">
        <is>
          <t>2464512</t>
        </is>
      </c>
      <c r="E709" t="inlineStr"/>
      <c r="F709" t="inlineStr">
        <is>
          <t>2024-12-10</t>
        </is>
      </c>
      <c r="G709" t="inlineStr">
        <is>
          <t>HA03687687</t>
        </is>
      </c>
      <c r="H709" t="inlineStr">
        <is>
          <t>cus_4ffd0abcf1d4</t>
        </is>
      </c>
      <c r="I709" t="inlineStr">
        <is>
          <t>威摩科技股份有限公司</t>
        </is>
      </c>
      <c r="J709" t="inlineStr">
        <is>
          <t>42655986</t>
        </is>
      </c>
      <c r="K709" t="n">
        <v>24400</v>
      </c>
      <c r="L709" t="n">
        <v>25620</v>
      </c>
      <c r="M709" t="inlineStr">
        <is>
          <t>WeMo分潤活動</t>
        </is>
      </c>
      <c r="N709" t="inlineStr">
        <is>
          <t>葉乃馨</t>
        </is>
      </c>
      <c r="O709" t="inlineStr">
        <is>
          <t>台北市松山區南京東路三段303巷3弄8號2樓之1</t>
        </is>
      </c>
      <c r="P709" t="inlineStr">
        <is>
          <t>nancy.yeh@wemoscooter.com</t>
        </is>
      </c>
      <c r="Q709" t="inlineStr">
        <is>
          <t>02 7713 6980 #233</t>
        </is>
      </c>
      <c r="R709" t="inlineStr"/>
      <c r="S709" t="inlineStr">
        <is>
          <t>已收款</t>
        </is>
      </c>
      <c r="T709" t="inlineStr">
        <is>
          <t>WeMo分潤合作
來源：單次型發票及收款紀錄 第 228 列</t>
        </is>
      </c>
      <c r="U709" t="inlineStr">
        <is>
          <t>收到發票隔月30號</t>
        </is>
      </c>
      <c r="V709" t="inlineStr">
        <is>
          <t>2026-05-18</t>
        </is>
      </c>
    </row>
    <row r="710">
      <c r="A710" t="inlineStr">
        <is>
          <t>inv_d8471665ce0e</t>
        </is>
      </c>
      <c r="B710" t="inlineStr">
        <is>
          <t>Stanley</t>
        </is>
      </c>
      <c r="C710" t="inlineStr">
        <is>
          <t>2025-01-24</t>
        </is>
      </c>
      <c r="D710" t="inlineStr">
        <is>
          <t>2496613</t>
        </is>
      </c>
      <c r="E710" t="inlineStr"/>
      <c r="F710" t="inlineStr">
        <is>
          <t>2025-01-09</t>
        </is>
      </c>
      <c r="G710" t="inlineStr">
        <is>
          <t>JY43829949</t>
        </is>
      </c>
      <c r="H710" t="inlineStr">
        <is>
          <t>cus_4ffd0abcf1d4</t>
        </is>
      </c>
      <c r="I710" t="inlineStr">
        <is>
          <t>威摩科技股份有限公司</t>
        </is>
      </c>
      <c r="J710" t="inlineStr">
        <is>
          <t>42655986</t>
        </is>
      </c>
      <c r="K710" t="n">
        <v>29460</v>
      </c>
      <c r="L710" t="n">
        <v>30933</v>
      </c>
      <c r="M710" t="inlineStr">
        <is>
          <t>WeMo分潤活動</t>
        </is>
      </c>
      <c r="N710" t="inlineStr">
        <is>
          <t>葉乃馨</t>
        </is>
      </c>
      <c r="O710" t="inlineStr">
        <is>
          <t>台北市松山區南京東路三段303巷3弄8號2樓之1</t>
        </is>
      </c>
      <c r="P710" t="inlineStr">
        <is>
          <t>nancy.yeh@wemoscooter.com</t>
        </is>
      </c>
      <c r="Q710" t="inlineStr">
        <is>
          <t>02 7713 6980 #233</t>
        </is>
      </c>
      <c r="R710" t="inlineStr"/>
      <c r="S710" t="inlineStr">
        <is>
          <t>已收款</t>
        </is>
      </c>
      <c r="T710" t="inlineStr">
        <is>
          <t>WeMo分潤合作
來源：單次型發票及收款紀錄 第 229 列</t>
        </is>
      </c>
      <c r="U710" t="inlineStr">
        <is>
          <t>收到發票隔月30號</t>
        </is>
      </c>
      <c r="V710" t="inlineStr">
        <is>
          <t>2026-05-18</t>
        </is>
      </c>
    </row>
    <row r="711">
      <c r="A711" t="inlineStr">
        <is>
          <t>inv_617d828611ef</t>
        </is>
      </c>
      <c r="B711" t="inlineStr">
        <is>
          <t>Kate</t>
        </is>
      </c>
      <c r="C711" t="inlineStr">
        <is>
          <t>2025-07-23</t>
        </is>
      </c>
      <c r="D711" t="inlineStr">
        <is>
          <t>2651940</t>
        </is>
      </c>
      <c r="E711" t="inlineStr"/>
      <c r="F711" t="inlineStr">
        <is>
          <t>2025-06-05</t>
        </is>
      </c>
      <c r="G711" t="inlineStr">
        <is>
          <t>NY43857821</t>
        </is>
      </c>
      <c r="H711" t="inlineStr">
        <is>
          <t>cus_a8aff9f57d27</t>
        </is>
      </c>
      <c r="I711" t="inlineStr">
        <is>
          <t>好事威行銷工作室</t>
        </is>
      </c>
      <c r="J711" t="inlineStr">
        <is>
          <t>81012667</t>
        </is>
      </c>
      <c r="K711" t="n">
        <v>105000</v>
      </c>
      <c r="L711" t="n">
        <v>110250</v>
      </c>
      <c r="M711" t="inlineStr">
        <is>
          <t>發票數據受眾包</t>
        </is>
      </c>
      <c r="N711" t="inlineStr">
        <is>
          <t>陳建程</t>
        </is>
      </c>
      <c r="O711" t="inlineStr">
        <is>
          <t>高雄市大寮區後庄里民昌街68號</t>
        </is>
      </c>
      <c r="P711" t="inlineStr">
        <is>
          <t>houseway.com@gmail.com</t>
        </is>
      </c>
      <c r="Q711" t="inlineStr">
        <is>
          <t>0919854139</t>
        </is>
      </c>
      <c r="R711" t="inlineStr"/>
      <c r="S711" t="inlineStr">
        <is>
          <t>已收款</t>
        </is>
      </c>
      <c r="T711" t="inlineStr">
        <is>
          <t>建案房地產受眾
來源：單次型發票及收款紀錄 第 230 列</t>
        </is>
      </c>
      <c r="U711" t="inlineStr">
        <is>
          <t>收到發票當月匯款</t>
        </is>
      </c>
      <c r="V711" t="inlineStr">
        <is>
          <t>2026-05-18</t>
        </is>
      </c>
    </row>
    <row r="712">
      <c r="A712" t="inlineStr">
        <is>
          <t>inv_aacef2f01d2e</t>
        </is>
      </c>
      <c r="B712" t="inlineStr">
        <is>
          <t>劉泳成</t>
        </is>
      </c>
      <c r="C712" t="inlineStr">
        <is>
          <t>2024-10-15</t>
        </is>
      </c>
      <c r="D712" t="inlineStr">
        <is>
          <t>2287592</t>
        </is>
      </c>
      <c r="E712" t="inlineStr"/>
      <c r="F712" t="inlineStr">
        <is>
          <t>2024-07-05</t>
        </is>
      </c>
      <c r="G712" t="inlineStr">
        <is>
          <t>DC03652253</t>
        </is>
      </c>
      <c r="H712" t="inlineStr">
        <is>
          <t>cus_17595d90dda0</t>
        </is>
      </c>
      <c r="I712" t="inlineStr">
        <is>
          <t>奇異之旅媒體股份有限公司</t>
        </is>
      </c>
      <c r="J712" t="inlineStr">
        <is>
          <t>42623155</t>
        </is>
      </c>
      <c r="K712" t="n">
        <v>3000</v>
      </c>
      <c r="L712" t="n">
        <v>3150</v>
      </c>
      <c r="M712" t="inlineStr">
        <is>
          <t>發票數據受眾包</t>
        </is>
      </c>
      <c r="N712" t="inlineStr">
        <is>
          <t>康雅涵</t>
        </is>
      </c>
      <c r="O712" t="inlineStr">
        <is>
          <t>台北市松山區南京東路三段 275 號 12樓</t>
        </is>
      </c>
      <c r="P712" t="inlineStr">
        <is>
          <t>kelly.kang@journeys.com.tw</t>
        </is>
      </c>
      <c r="Q712" t="inlineStr">
        <is>
          <t>02-2718-1133#137</t>
        </is>
      </c>
      <c r="R712" t="inlineStr"/>
      <c r="S712" t="inlineStr">
        <is>
          <t>已收款</t>
        </is>
      </c>
      <c r="T712" t="inlineStr">
        <is>
          <t>爭鮮GOGO
來源：單次型發票及收款紀錄 第 231 列</t>
        </is>
      </c>
      <c r="U712" t="inlineStr"/>
      <c r="V712" t="inlineStr">
        <is>
          <t>2026-05-18</t>
        </is>
      </c>
    </row>
    <row r="713">
      <c r="A713" t="inlineStr">
        <is>
          <t>inv_88f1f0ed6d51</t>
        </is>
      </c>
      <c r="B713" t="inlineStr">
        <is>
          <t>Kate</t>
        </is>
      </c>
      <c r="C713" t="inlineStr">
        <is>
          <t>2025-08-20</t>
        </is>
      </c>
      <c r="D713" t="inlineStr">
        <is>
          <t>2720596</t>
        </is>
      </c>
      <c r="E713" t="inlineStr"/>
      <c r="F713" t="inlineStr">
        <is>
          <t>2025-08-04</t>
        </is>
      </c>
      <c r="G713" t="inlineStr"/>
      <c r="H713" t="inlineStr">
        <is>
          <t>cus_4ad97e802893</t>
        </is>
      </c>
      <c r="I713" t="inlineStr">
        <is>
          <t>大買家股份有限公司</t>
        </is>
      </c>
      <c r="J713" t="inlineStr">
        <is>
          <t>84442769</t>
        </is>
      </c>
      <c r="K713" t="n">
        <v>180000</v>
      </c>
      <c r="L713" t="n">
        <v>189000</v>
      </c>
      <c r="M713" t="inlineStr">
        <is>
          <t>Q1、Q2季報</t>
        </is>
      </c>
      <c r="N713" t="inlineStr">
        <is>
          <t>劉嘉文 Karen</t>
        </is>
      </c>
      <c r="O713" t="inlineStr">
        <is>
          <t>台中市西區大隆路20號14樓-8(B棟)</t>
        </is>
      </c>
      <c r="P713" t="inlineStr">
        <is>
          <t>karen4263@gmail.com</t>
        </is>
      </c>
      <c r="Q713" t="inlineStr">
        <is>
          <t>04-23106677 #2805</t>
        </is>
      </c>
      <c r="R713" t="inlineStr"/>
      <c r="S713" t="inlineStr">
        <is>
          <t>已收款</t>
        </is>
      </c>
      <c r="T713" t="inlineStr">
        <is>
          <t>季報X2
來源：單次型發票及收款紀錄 第 232 列</t>
        </is>
      </c>
      <c r="U713" t="inlineStr">
        <is>
          <t>五號前收到發票當月20號付款</t>
        </is>
      </c>
      <c r="V713" t="inlineStr">
        <is>
          <t>2026-05-18</t>
        </is>
      </c>
    </row>
    <row r="714">
      <c r="A714" t="inlineStr">
        <is>
          <t>inv_b2728e7a72e8</t>
        </is>
      </c>
      <c r="B714" t="inlineStr">
        <is>
          <t>Kate</t>
        </is>
      </c>
      <c r="C714" t="inlineStr">
        <is>
          <t>2026-01-12</t>
        </is>
      </c>
      <c r="D714" t="inlineStr">
        <is>
          <t>B00940</t>
        </is>
      </c>
      <c r="E714" t="inlineStr"/>
      <c r="F714" t="inlineStr">
        <is>
          <t>2025-11-14</t>
        </is>
      </c>
      <c r="G714" t="inlineStr">
        <is>
          <t>UY43840405</t>
        </is>
      </c>
      <c r="H714" t="inlineStr">
        <is>
          <t>cus_4ad97e802893</t>
        </is>
      </c>
      <c r="I714" t="inlineStr">
        <is>
          <t>大買家股份有限公司</t>
        </is>
      </c>
      <c r="J714" t="inlineStr">
        <is>
          <t>84442769</t>
        </is>
      </c>
      <c r="K714" t="n">
        <v>90000</v>
      </c>
      <c r="L714" t="n">
        <v>94500</v>
      </c>
      <c r="M714" t="inlineStr">
        <is>
          <t>Q3季報</t>
        </is>
      </c>
      <c r="N714" t="inlineStr">
        <is>
          <t>劉嘉文 Karen</t>
        </is>
      </c>
      <c r="O714" t="inlineStr">
        <is>
          <t>台中市西區大隆路20號14樓-8(B棟)</t>
        </is>
      </c>
      <c r="P714" t="inlineStr">
        <is>
          <t>karen4263@gmail.com</t>
        </is>
      </c>
      <c r="Q714" t="inlineStr">
        <is>
          <t>04-23106677 #2805</t>
        </is>
      </c>
      <c r="R714" t="inlineStr"/>
      <c r="S714" t="inlineStr">
        <is>
          <t>已收款</t>
        </is>
      </c>
      <c r="T714" t="inlineStr">
        <is>
          <t>季報
來源：單次型發票及收款紀錄 第 233 列</t>
        </is>
      </c>
      <c r="U714" t="inlineStr">
        <is>
          <t>五號前收到發票當月20號付款</t>
        </is>
      </c>
      <c r="V714" t="inlineStr">
        <is>
          <t>2026-05-18</t>
        </is>
      </c>
    </row>
    <row r="715">
      <c r="A715" t="inlineStr">
        <is>
          <t>inv_e265709aaabd</t>
        </is>
      </c>
      <c r="B715" t="inlineStr">
        <is>
          <t>劉泳成</t>
        </is>
      </c>
      <c r="C715" t="inlineStr">
        <is>
          <t>2024-09-25</t>
        </is>
      </c>
      <c r="D715" t="inlineStr">
        <is>
          <t>2320460</t>
        </is>
      </c>
      <c r="E715" t="inlineStr"/>
      <c r="F715" t="inlineStr">
        <is>
          <t>2024-08-01</t>
        </is>
      </c>
      <c r="G715" t="inlineStr">
        <is>
          <t>DC03680896</t>
        </is>
      </c>
      <c r="H715" t="inlineStr">
        <is>
          <t>cus_4351be6be044</t>
        </is>
      </c>
      <c r="I715" t="inlineStr">
        <is>
          <t>域動行銷股份有限公司</t>
        </is>
      </c>
      <c r="J715" t="inlineStr">
        <is>
          <t>24450379</t>
        </is>
      </c>
      <c r="K715" t="n">
        <v>93000</v>
      </c>
      <c r="L715" t="n">
        <v>97650</v>
      </c>
      <c r="M715" t="inlineStr">
        <is>
          <t>RawData</t>
        </is>
      </c>
      <c r="N715" t="inlineStr">
        <is>
          <t>趙威典</t>
        </is>
      </c>
      <c r="O715" t="inlineStr">
        <is>
          <t>台北市松山區南京東三段 285 號 10 樓</t>
        </is>
      </c>
      <c r="P715" t="inlineStr">
        <is>
          <t>william.zhao@clickforce.com.tw</t>
        </is>
      </c>
      <c r="Q715" t="inlineStr">
        <is>
          <t>2719-8500 # 559</t>
        </is>
      </c>
      <c r="R715" t="inlineStr"/>
      <c r="S715" t="inlineStr">
        <is>
          <t>已收款</t>
        </is>
      </c>
      <c r="T715" t="inlineStr">
        <is>
          <t>279000分三個月
來源：單次型發票及收款紀錄 第 234 列</t>
        </is>
      </c>
      <c r="U715" t="inlineStr"/>
      <c r="V715" t="inlineStr">
        <is>
          <t>2026-05-18</t>
        </is>
      </c>
    </row>
    <row r="716">
      <c r="A716" t="inlineStr">
        <is>
          <t>inv_ae67905f7ea4</t>
        </is>
      </c>
      <c r="B716" t="inlineStr">
        <is>
          <t>劉泳成</t>
        </is>
      </c>
      <c r="C716" t="inlineStr">
        <is>
          <t>2024-09-25</t>
        </is>
      </c>
      <c r="D716" t="inlineStr">
        <is>
          <t>2343885</t>
        </is>
      </c>
      <c r="E716" t="inlineStr"/>
      <c r="F716" t="inlineStr">
        <is>
          <t>2024-08-21</t>
        </is>
      </c>
      <c r="G716" t="inlineStr">
        <is>
          <t>DC03702099</t>
        </is>
      </c>
      <c r="H716" t="inlineStr">
        <is>
          <t>cus_4351be6be044</t>
        </is>
      </c>
      <c r="I716" t="inlineStr">
        <is>
          <t>域動行銷股份有限公司</t>
        </is>
      </c>
      <c r="J716" t="inlineStr">
        <is>
          <t>24450379</t>
        </is>
      </c>
      <c r="K716" t="n">
        <v>93000</v>
      </c>
      <c r="L716" t="n">
        <v>97650</v>
      </c>
      <c r="M716" t="inlineStr">
        <is>
          <t>RawData</t>
        </is>
      </c>
      <c r="N716" t="inlineStr">
        <is>
          <t>趙威典</t>
        </is>
      </c>
      <c r="O716" t="inlineStr">
        <is>
          <t>台北市松山區南京東三段 285 號 10 樓</t>
        </is>
      </c>
      <c r="P716" t="inlineStr">
        <is>
          <t>william.zhao@clickforce.com.tw</t>
        </is>
      </c>
      <c r="Q716" t="inlineStr">
        <is>
          <t>2719-8500 # 559</t>
        </is>
      </c>
      <c r="R716" t="inlineStr"/>
      <c r="S716" t="inlineStr">
        <is>
          <t>已收款</t>
        </is>
      </c>
      <c r="T716" t="inlineStr">
        <is>
          <t>279000分三個月(第二個月)
來源：單次型發票及收款紀錄 第 235 列</t>
        </is>
      </c>
      <c r="U716" t="inlineStr"/>
      <c r="V716" t="inlineStr">
        <is>
          <t>2026-05-18</t>
        </is>
      </c>
    </row>
    <row r="717">
      <c r="A717" t="inlineStr">
        <is>
          <t>inv_727ea97810d3</t>
        </is>
      </c>
      <c r="B717" t="inlineStr">
        <is>
          <t>劉泳成</t>
        </is>
      </c>
      <c r="C717" t="inlineStr">
        <is>
          <t>2024-10-25</t>
        </is>
      </c>
      <c r="D717" t="inlineStr">
        <is>
          <t>2376024</t>
        </is>
      </c>
      <c r="E717" t="inlineStr"/>
      <c r="F717" t="inlineStr">
        <is>
          <t>2024-09-20</t>
        </is>
      </c>
      <c r="G717" t="inlineStr">
        <is>
          <t>FB03664440</t>
        </is>
      </c>
      <c r="H717" t="inlineStr">
        <is>
          <t>cus_4351be6be044</t>
        </is>
      </c>
      <c r="I717" t="inlineStr">
        <is>
          <t>域動行銷股份有限公司</t>
        </is>
      </c>
      <c r="J717" t="inlineStr">
        <is>
          <t>24450379</t>
        </is>
      </c>
      <c r="K717" t="n">
        <v>93000</v>
      </c>
      <c r="L717" t="n">
        <v>97650</v>
      </c>
      <c r="M717" t="inlineStr">
        <is>
          <t>RawData</t>
        </is>
      </c>
      <c r="N717" t="inlineStr">
        <is>
          <t>趙威典</t>
        </is>
      </c>
      <c r="O717" t="inlineStr">
        <is>
          <t>台北市松山區南京東三段 285 號 10 樓</t>
        </is>
      </c>
      <c r="P717" t="inlineStr">
        <is>
          <t>william.zhao@clickforce.com.tw</t>
        </is>
      </c>
      <c r="Q717" t="inlineStr">
        <is>
          <t>2719-8500 # 559</t>
        </is>
      </c>
      <c r="R717" t="inlineStr"/>
      <c r="S717" t="inlineStr">
        <is>
          <t>已收款</t>
        </is>
      </c>
      <c r="T717" t="inlineStr">
        <is>
          <t>279000分三個月(第三個月)
來源：單次型發票及收款紀錄 第 236 列</t>
        </is>
      </c>
      <c r="U717" t="inlineStr"/>
      <c r="V717" t="inlineStr">
        <is>
          <t>2026-05-18</t>
        </is>
      </c>
    </row>
    <row r="718">
      <c r="A718" t="inlineStr">
        <is>
          <t>inv_8d9594e77610</t>
        </is>
      </c>
      <c r="B718" t="inlineStr">
        <is>
          <t>Erin</t>
        </is>
      </c>
      <c r="C718" t="inlineStr">
        <is>
          <t>2025-03-14</t>
        </is>
      </c>
      <c r="D718" t="inlineStr">
        <is>
          <t>2554656</t>
        </is>
      </c>
      <c r="E718" t="inlineStr"/>
      <c r="F718" t="inlineStr">
        <is>
          <t>2025-03-05</t>
        </is>
      </c>
      <c r="G718" t="inlineStr">
        <is>
          <t>LY43825860</t>
        </is>
      </c>
      <c r="H718" t="inlineStr">
        <is>
          <t>cus_ff44151c7dc5</t>
        </is>
      </c>
      <c r="I718" t="inlineStr">
        <is>
          <t>唯品風尚股份有限公司</t>
        </is>
      </c>
      <c r="J718" t="inlineStr">
        <is>
          <t>42848464</t>
        </is>
      </c>
      <c r="K718" t="n">
        <v>23810</v>
      </c>
      <c r="L718" t="n">
        <v>25000</v>
      </c>
      <c r="M718" t="inlineStr">
        <is>
          <t>發票數據受眾包</t>
        </is>
      </c>
      <c r="N718" t="inlineStr">
        <is>
          <t>Teresa</t>
        </is>
      </c>
      <c r="O718" t="inlineStr">
        <is>
          <t>臺北市內湖區南京東路6段386號9樓</t>
        </is>
      </c>
      <c r="P718" t="inlineStr">
        <is>
          <t>teresawang@wsgroup.com.tw</t>
        </is>
      </c>
      <c r="Q718" t="inlineStr">
        <is>
          <t>2790-5790#1801</t>
        </is>
      </c>
      <c r="R718" t="inlineStr"/>
      <c r="S718" t="inlineStr">
        <is>
          <t>已收款</t>
        </is>
      </c>
      <c r="T718" t="inlineStr">
        <is>
          <t>熱門受眾包
來源：單次型發票及收款紀錄 第 237 列</t>
        </is>
      </c>
      <c r="U718" t="inlineStr"/>
      <c r="V718" t="inlineStr">
        <is>
          <t>2026-05-18</t>
        </is>
      </c>
    </row>
    <row r="719">
      <c r="A719" t="inlineStr">
        <is>
          <t>inv_616fe857508e</t>
        </is>
      </c>
      <c r="B719" t="inlineStr">
        <is>
          <t>Kate</t>
        </is>
      </c>
      <c r="C719" t="inlineStr">
        <is>
          <t>2025-06-27</t>
        </is>
      </c>
      <c r="D719" t="inlineStr">
        <is>
          <t>2651938</t>
        </is>
      </c>
      <c r="E719" t="inlineStr"/>
      <c r="F719" t="inlineStr">
        <is>
          <t>2025-06-05</t>
        </is>
      </c>
      <c r="G719" t="inlineStr">
        <is>
          <t>NY43857819</t>
        </is>
      </c>
      <c r="H719" t="inlineStr">
        <is>
          <t>cus_ff44151c7dc5</t>
        </is>
      </c>
      <c r="I719" t="inlineStr">
        <is>
          <t>唯品風尚股份有限公司</t>
        </is>
      </c>
      <c r="J719" t="inlineStr">
        <is>
          <t>42848464</t>
        </is>
      </c>
      <c r="K719" t="n">
        <v>34285</v>
      </c>
      <c r="L719" t="n">
        <v>36000</v>
      </c>
      <c r="M719" t="inlineStr">
        <is>
          <t>發票數據受眾包</t>
        </is>
      </c>
      <c r="N719" t="inlineStr">
        <is>
          <t>Teresa Wang王怡婷</t>
        </is>
      </c>
      <c r="O719" t="inlineStr">
        <is>
          <t>臺北市內湖區南京東路6段386號9樓</t>
        </is>
      </c>
      <c r="P719" t="inlineStr">
        <is>
          <t>teresawang@wsgroup.com.tw</t>
        </is>
      </c>
      <c r="Q719" t="inlineStr">
        <is>
          <t>2790-5790#1801</t>
        </is>
      </c>
      <c r="R719" t="inlineStr"/>
      <c r="S719" t="inlineStr">
        <is>
          <t>已收款</t>
        </is>
      </c>
      <c r="T719" t="inlineStr">
        <is>
          <t>Wstyle
來源：單次型發票及收款紀錄 第 238 列</t>
        </is>
      </c>
      <c r="U719" t="inlineStr">
        <is>
          <t>於發票開立後30日內付款</t>
        </is>
      </c>
      <c r="V719" t="inlineStr">
        <is>
          <t>2026-05-18</t>
        </is>
      </c>
    </row>
    <row r="720">
      <c r="A720" t="inlineStr">
        <is>
          <t>inv_f1ee05a4ebd9</t>
        </is>
      </c>
      <c r="B720" t="inlineStr">
        <is>
          <t>Kate</t>
        </is>
      </c>
      <c r="C720" t="inlineStr">
        <is>
          <t>2025-08-29</t>
        </is>
      </c>
      <c r="D720" t="inlineStr">
        <is>
          <t>2717914</t>
        </is>
      </c>
      <c r="E720" t="inlineStr"/>
      <c r="F720" t="inlineStr">
        <is>
          <t>2025-08-01</t>
        </is>
      </c>
      <c r="G720" t="inlineStr"/>
      <c r="H720" t="inlineStr">
        <is>
          <t>cus_ff44151c7dc5</t>
        </is>
      </c>
      <c r="I720" t="inlineStr">
        <is>
          <t>唯品風尚股份有限公司</t>
        </is>
      </c>
      <c r="J720" t="inlineStr">
        <is>
          <t>42848464</t>
        </is>
      </c>
      <c r="K720" t="n">
        <v>34285</v>
      </c>
      <c r="L720" t="n">
        <v>36000</v>
      </c>
      <c r="M720" t="inlineStr">
        <is>
          <t>發票數據受眾包</t>
        </is>
      </c>
      <c r="N720" t="inlineStr">
        <is>
          <t>Teresa Wang王怡婷</t>
        </is>
      </c>
      <c r="O720" t="inlineStr">
        <is>
          <t>臺北市內湖區南京東路6段386號9樓</t>
        </is>
      </c>
      <c r="P720" t="inlineStr">
        <is>
          <t>teresawang@wsgroup.com.tw</t>
        </is>
      </c>
      <c r="Q720" t="inlineStr">
        <is>
          <t>2790-5790#1801</t>
        </is>
      </c>
      <c r="R720" t="inlineStr"/>
      <c r="S720" t="inlineStr">
        <is>
          <t>已收款</t>
        </is>
      </c>
      <c r="T720" t="inlineStr">
        <is>
          <t>Wstyle
來源：單次型發票及收款紀錄 第 239 列</t>
        </is>
      </c>
      <c r="U720" t="inlineStr">
        <is>
          <t>於發票開立後30日內付款</t>
        </is>
      </c>
      <c r="V720" t="inlineStr">
        <is>
          <t>2026-05-18</t>
        </is>
      </c>
    </row>
    <row r="721">
      <c r="A721" t="inlineStr">
        <is>
          <t>inv_c912d222eac1</t>
        </is>
      </c>
      <c r="B721" t="inlineStr">
        <is>
          <t>Kate</t>
        </is>
      </c>
      <c r="C721" t="inlineStr"/>
      <c r="D721" t="inlineStr">
        <is>
          <t>2829114</t>
        </is>
      </c>
      <c r="E721" t="inlineStr"/>
      <c r="F721" t="inlineStr">
        <is>
          <t>2025-11-05</t>
        </is>
      </c>
      <c r="G721" t="inlineStr"/>
      <c r="H721" t="inlineStr">
        <is>
          <t>cus_ff44151c7dc5</t>
        </is>
      </c>
      <c r="I721" t="inlineStr">
        <is>
          <t>唯品風尚股份有限公司</t>
        </is>
      </c>
      <c r="J721" t="inlineStr">
        <is>
          <t>42848464</t>
        </is>
      </c>
      <c r="K721" t="n">
        <v>36000</v>
      </c>
      <c r="L721" t="n">
        <v>37800</v>
      </c>
      <c r="M721" t="inlineStr">
        <is>
          <t>發票數據受眾包</t>
        </is>
      </c>
      <c r="N721" t="inlineStr">
        <is>
          <t>Teresa Wang王怡婷</t>
        </is>
      </c>
      <c r="O721" t="inlineStr">
        <is>
          <t>臺北市內湖區南京東路6段386號9樓</t>
        </is>
      </c>
      <c r="P721" t="inlineStr">
        <is>
          <t>teresawang@wsgroup.com.tw</t>
        </is>
      </c>
      <c r="Q721" t="inlineStr">
        <is>
          <t>2790-5790#1801</t>
        </is>
      </c>
      <c r="R721" t="inlineStr"/>
      <c r="S721" t="inlineStr">
        <is>
          <t>未收款</t>
        </is>
      </c>
      <c r="T721" t="inlineStr">
        <is>
          <t>Wstyle
來源：單次型發票及收款紀錄 第 240 列</t>
        </is>
      </c>
      <c r="U721" t="inlineStr">
        <is>
          <t>於發票開立後30日內付款</t>
        </is>
      </c>
      <c r="V721" t="inlineStr">
        <is>
          <t>2026-05-18</t>
        </is>
      </c>
    </row>
    <row r="722">
      <c r="A722" t="inlineStr">
        <is>
          <t>inv_30b8bac548c4</t>
        </is>
      </c>
      <c r="B722" t="inlineStr">
        <is>
          <t>Kate</t>
        </is>
      </c>
      <c r="C722" t="inlineStr">
        <is>
          <t>2025-10-07</t>
        </is>
      </c>
      <c r="D722" t="inlineStr">
        <is>
          <t>2793682</t>
        </is>
      </c>
      <c r="E722" t="inlineStr"/>
      <c r="F722" t="inlineStr">
        <is>
          <t>2025-10-03</t>
        </is>
      </c>
      <c r="G722" t="inlineStr"/>
      <c r="H722" t="inlineStr">
        <is>
          <t>cus_a363bddaa62c</t>
        </is>
      </c>
      <c r="I722" t="inlineStr">
        <is>
          <t>呈洺整合行銷有限公司</t>
        </is>
      </c>
      <c r="J722" t="inlineStr">
        <is>
          <t>94103970</t>
        </is>
      </c>
      <c r="K722" t="n">
        <v>8000</v>
      </c>
      <c r="L722" t="n">
        <v>8400</v>
      </c>
      <c r="M722" t="inlineStr">
        <is>
          <t>簡訊代發+發票數據受眾包</t>
        </is>
      </c>
      <c r="N722" t="inlineStr">
        <is>
          <t>賴昱曉</t>
        </is>
      </c>
      <c r="O722" t="inlineStr">
        <is>
          <t>台北市大安區忠孝東路4段155號6樓</t>
        </is>
      </c>
      <c r="P722" t="inlineStr">
        <is>
          <t>yuhsiao.charming@gmail.com</t>
        </is>
      </c>
      <c r="Q722" t="inlineStr">
        <is>
          <t>02-2778-6899</t>
        </is>
      </c>
      <c r="R722" t="inlineStr"/>
      <c r="S722" t="inlineStr">
        <is>
          <t>已收款</t>
        </is>
      </c>
      <c r="T722" t="inlineStr">
        <is>
          <t>來源：單次型發票及收款紀錄 第 241 列</t>
        </is>
      </c>
      <c r="U722" t="inlineStr">
        <is>
          <t>付款日於次月25號，遇假日延後，需於付款日前兩週提供發
票進行請款流程</t>
        </is>
      </c>
      <c r="V722" t="inlineStr">
        <is>
          <t>2026-05-18</t>
        </is>
      </c>
    </row>
    <row r="723">
      <c r="A723" t="inlineStr">
        <is>
          <t>inv_9d1857d172ca</t>
        </is>
      </c>
      <c r="B723" t="inlineStr">
        <is>
          <t>黃思睿</t>
        </is>
      </c>
      <c r="C723" t="inlineStr">
        <is>
          <t>2023-12-11</t>
        </is>
      </c>
      <c r="D723" t="inlineStr">
        <is>
          <t>1965207</t>
        </is>
      </c>
      <c r="E723" t="inlineStr">
        <is>
          <t>2023.11.26</t>
        </is>
      </c>
      <c r="F723" t="inlineStr">
        <is>
          <t>2023-11-28</t>
        </is>
      </c>
      <c r="G723" t="inlineStr">
        <is>
          <t>VC44723855</t>
        </is>
      </c>
      <c r="H723" t="inlineStr">
        <is>
          <t>cus_6b1bc14ed7b3</t>
        </is>
      </c>
      <c r="I723" t="inlineStr">
        <is>
          <t>合迪股份有限公司</t>
        </is>
      </c>
      <c r="J723" t="inlineStr">
        <is>
          <t>22424994</t>
        </is>
      </c>
      <c r="K723" t="n">
        <v>20000</v>
      </c>
      <c r="L723" t="n">
        <v>21000</v>
      </c>
      <c r="M723" t="inlineStr">
        <is>
          <t>發票數據受眾包</t>
        </is>
      </c>
      <c r="N723" t="inlineStr">
        <is>
          <t>Tracy Chen</t>
        </is>
      </c>
      <c r="O723" t="inlineStr">
        <is>
          <t>114 台北市內湖區瑞光路362號5樓</t>
        </is>
      </c>
      <c r="P723" t="inlineStr">
        <is>
          <t>TzuYingChen@chailease.com.tw</t>
        </is>
      </c>
      <c r="Q723" t="inlineStr">
        <is>
          <t>02-87526388#76203</t>
        </is>
      </c>
      <c r="R723" t="inlineStr"/>
      <c r="S723" t="inlineStr">
        <is>
          <t>已收款</t>
        </is>
      </c>
      <c r="T723" t="inlineStr">
        <is>
          <t>中租
來源：單次型發票及收款紀錄 第 242 列</t>
        </is>
      </c>
      <c r="U723" t="inlineStr">
        <is>
          <t>收到發票隔月起30天</t>
        </is>
      </c>
      <c r="V723" t="inlineStr">
        <is>
          <t>2026-05-18</t>
        </is>
      </c>
    </row>
    <row r="724">
      <c r="A724" t="inlineStr">
        <is>
          <t>inv_f24bfeed1a9d</t>
        </is>
      </c>
      <c r="B724" t="inlineStr">
        <is>
          <t>黃思睿</t>
        </is>
      </c>
      <c r="C724" t="inlineStr">
        <is>
          <t>2024-05-31</t>
        </is>
      </c>
      <c r="D724" t="inlineStr">
        <is>
          <t>2076186</t>
        </is>
      </c>
      <c r="E724" t="inlineStr">
        <is>
          <t>2024.02.05</t>
        </is>
      </c>
      <c r="F724" t="inlineStr">
        <is>
          <t>2024-02-05</t>
        </is>
      </c>
      <c r="G724" t="inlineStr">
        <is>
          <t>XE03684429</t>
        </is>
      </c>
      <c r="H724" t="inlineStr">
        <is>
          <t>cus_7e5c26e3a00a</t>
        </is>
      </c>
      <c r="I724" t="inlineStr">
        <is>
          <t>台灣電通股份有限公司</t>
        </is>
      </c>
      <c r="J724" t="inlineStr">
        <is>
          <t>24546918</t>
        </is>
      </c>
      <c r="K724" t="n">
        <v>35000</v>
      </c>
      <c r="L724" t="n">
        <v>36750</v>
      </c>
      <c r="M724" t="inlineStr">
        <is>
          <t>發票數據受眾包</t>
        </is>
      </c>
      <c r="N724" t="inlineStr">
        <is>
          <t>趙慧騥 Malo Chao</t>
        </is>
      </c>
      <c r="O724" t="inlineStr">
        <is>
          <t>11073台北市信義區松仁路100號8樓</t>
        </is>
      </c>
      <c r="P724" t="inlineStr">
        <is>
          <t>Malo.Chao@dentsu.com</t>
        </is>
      </c>
      <c r="Q724" t="inlineStr"/>
      <c r="R724" t="inlineStr"/>
      <c r="S724" t="inlineStr">
        <is>
          <t>已收款</t>
        </is>
      </c>
      <c r="T724" t="inlineStr">
        <is>
          <t>Dentsu
來源：單次型發票及收款紀錄 第 243 列</t>
        </is>
      </c>
      <c r="U724" t="inlineStr">
        <is>
          <t>收到發票隔月起30天</t>
        </is>
      </c>
      <c r="V724" t="inlineStr">
        <is>
          <t>2026-05-18</t>
        </is>
      </c>
    </row>
    <row r="725">
      <c r="A725" t="inlineStr">
        <is>
          <t>inv_e4799015f227</t>
        </is>
      </c>
      <c r="B725" t="inlineStr">
        <is>
          <t>黃思睿</t>
        </is>
      </c>
      <c r="C725" t="inlineStr">
        <is>
          <t>2024-07-01</t>
        </is>
      </c>
      <c r="D725" t="inlineStr">
        <is>
          <t>2117284</t>
        </is>
      </c>
      <c r="E725" t="inlineStr">
        <is>
          <t>2024.03.08</t>
        </is>
      </c>
      <c r="F725" t="inlineStr">
        <is>
          <t>2024-03-08</t>
        </is>
      </c>
      <c r="G725" t="inlineStr">
        <is>
          <t>ZD03656436</t>
        </is>
      </c>
      <c r="H725" t="inlineStr">
        <is>
          <t>cus_7e5c26e3a00a</t>
        </is>
      </c>
      <c r="I725" t="inlineStr">
        <is>
          <t>台灣電通股份有限公司</t>
        </is>
      </c>
      <c r="J725" t="inlineStr">
        <is>
          <t>24546918</t>
        </is>
      </c>
      <c r="K725" t="n">
        <v>35000</v>
      </c>
      <c r="L725" t="n">
        <v>36750</v>
      </c>
      <c r="M725" t="inlineStr">
        <is>
          <t>發票數據受眾包</t>
        </is>
      </c>
      <c r="N725" t="inlineStr">
        <is>
          <t>趙慧騥 Malo Chao</t>
        </is>
      </c>
      <c r="O725" t="inlineStr">
        <is>
          <t>11073台北市信義區松仁路100號8樓</t>
        </is>
      </c>
      <c r="P725" t="inlineStr">
        <is>
          <t>Malo.Chao@dentsu.com</t>
        </is>
      </c>
      <c r="Q725" t="inlineStr"/>
      <c r="R725" t="inlineStr"/>
      <c r="S725" t="inlineStr">
        <is>
          <t>已收款</t>
        </is>
      </c>
      <c r="T725" t="inlineStr">
        <is>
          <t>Dentsu
來源：單次型發票及收款紀錄 第 244 列</t>
        </is>
      </c>
      <c r="U725" t="inlineStr">
        <is>
          <t>收到發票隔月起30天</t>
        </is>
      </c>
      <c r="V725" t="inlineStr">
        <is>
          <t>2026-05-18</t>
        </is>
      </c>
    </row>
    <row r="726">
      <c r="A726" t="inlineStr">
        <is>
          <t>inv_07474f71fd81</t>
        </is>
      </c>
      <c r="B726" t="inlineStr">
        <is>
          <t>黃思睿</t>
        </is>
      </c>
      <c r="C726" t="inlineStr">
        <is>
          <t>2024-07-31</t>
        </is>
      </c>
      <c r="D726" t="inlineStr">
        <is>
          <t>2165978</t>
        </is>
      </c>
      <c r="E726" t="inlineStr"/>
      <c r="F726" t="inlineStr">
        <is>
          <t>2024-04-11</t>
        </is>
      </c>
      <c r="G726" t="inlineStr">
        <is>
          <t>ZD03696460</t>
        </is>
      </c>
      <c r="H726" t="inlineStr">
        <is>
          <t>cus_7e5c26e3a00a</t>
        </is>
      </c>
      <c r="I726" t="inlineStr">
        <is>
          <t>台灣電通股份有限公司</t>
        </is>
      </c>
      <c r="J726" t="inlineStr">
        <is>
          <t>24546918</t>
        </is>
      </c>
      <c r="K726" t="n">
        <v>15000</v>
      </c>
      <c r="L726" t="n">
        <v>15750</v>
      </c>
      <c r="M726" t="inlineStr">
        <is>
          <t>發票數據受眾包</t>
        </is>
      </c>
      <c r="N726" t="inlineStr">
        <is>
          <t>趙慧騥 Malo Chao</t>
        </is>
      </c>
      <c r="O726" t="inlineStr">
        <is>
          <t>11073台北市信義區松仁路100號8樓</t>
        </is>
      </c>
      <c r="P726" t="inlineStr">
        <is>
          <t>Malo.Chao@dentsu.com</t>
        </is>
      </c>
      <c r="Q726" t="inlineStr"/>
      <c r="R726" t="inlineStr"/>
      <c r="S726" t="inlineStr">
        <is>
          <t>已收款</t>
        </is>
      </c>
      <c r="T726" t="inlineStr">
        <is>
          <t>Dentsu
來源：單次型發票及收款紀錄 第 245 列</t>
        </is>
      </c>
      <c r="U726" t="inlineStr">
        <is>
          <t>收到發票隔月起30天</t>
        </is>
      </c>
      <c r="V726" t="inlineStr">
        <is>
          <t>2026-05-18</t>
        </is>
      </c>
    </row>
    <row r="727">
      <c r="A727" t="inlineStr">
        <is>
          <t>inv_b40ed894fa09</t>
        </is>
      </c>
      <c r="B727" t="inlineStr">
        <is>
          <t>黃思睿</t>
        </is>
      </c>
      <c r="C727" t="inlineStr">
        <is>
          <t>2024-09-02</t>
        </is>
      </c>
      <c r="D727" t="inlineStr">
        <is>
          <t>2200387</t>
        </is>
      </c>
      <c r="E727" t="inlineStr">
        <is>
          <t>2024.09.02</t>
        </is>
      </c>
      <c r="F727" t="inlineStr">
        <is>
          <t>2024-05-07</t>
        </is>
      </c>
      <c r="G727" t="inlineStr">
        <is>
          <t>BD03653736</t>
        </is>
      </c>
      <c r="H727" t="inlineStr">
        <is>
          <t>cus_7e5c26e3a00a</t>
        </is>
      </c>
      <c r="I727" t="inlineStr">
        <is>
          <t>台灣電通股份有限公司</t>
        </is>
      </c>
      <c r="J727" t="inlineStr">
        <is>
          <t>24546918</t>
        </is>
      </c>
      <c r="K727" t="n">
        <v>65000</v>
      </c>
      <c r="L727" t="n">
        <v>68250</v>
      </c>
      <c r="M727" t="inlineStr">
        <is>
          <t>發票數據受眾包</t>
        </is>
      </c>
      <c r="N727" t="inlineStr">
        <is>
          <t>趙慧騥 Malo Chao</t>
        </is>
      </c>
      <c r="O727" t="inlineStr">
        <is>
          <t>11073台北市信義區松仁路100號8樓</t>
        </is>
      </c>
      <c r="P727" t="inlineStr">
        <is>
          <t>Malo.Chao@dentsu.com</t>
        </is>
      </c>
      <c r="Q727" t="inlineStr"/>
      <c r="R727" t="inlineStr"/>
      <c r="S727" t="inlineStr">
        <is>
          <t>已收款</t>
        </is>
      </c>
      <c r="T727" t="inlineStr">
        <is>
          <t>Dentsu
來源：單次型發票及收款紀錄 第 246 列</t>
        </is>
      </c>
      <c r="U727" t="inlineStr">
        <is>
          <t>收到發票隔月起30天</t>
        </is>
      </c>
      <c r="V727" t="inlineStr">
        <is>
          <t>2026-05-18</t>
        </is>
      </c>
    </row>
    <row r="728">
      <c r="A728" t="inlineStr">
        <is>
          <t>inv_bdd795039c55</t>
        </is>
      </c>
      <c r="B728" t="inlineStr">
        <is>
          <t>黃思睿</t>
        </is>
      </c>
      <c r="C728" t="inlineStr">
        <is>
          <t>2024-09-30</t>
        </is>
      </c>
      <c r="D728" t="inlineStr">
        <is>
          <t>2246862</t>
        </is>
      </c>
      <c r="E728" t="inlineStr"/>
      <c r="F728" t="inlineStr">
        <is>
          <t>2024-06-06</t>
        </is>
      </c>
      <c r="G728" t="inlineStr">
        <is>
          <t>BD03695142</t>
        </is>
      </c>
      <c r="H728" t="inlineStr">
        <is>
          <t>cus_7e5c26e3a00a</t>
        </is>
      </c>
      <c r="I728" t="inlineStr">
        <is>
          <t>台灣電通股份有限公司</t>
        </is>
      </c>
      <c r="J728" t="inlineStr">
        <is>
          <t>24546918</t>
        </is>
      </c>
      <c r="K728" t="n">
        <v>40000</v>
      </c>
      <c r="L728" t="n">
        <v>42000</v>
      </c>
      <c r="M728" t="inlineStr">
        <is>
          <t>發票數據受眾包</t>
        </is>
      </c>
      <c r="N728" t="inlineStr">
        <is>
          <t>趙慧騥 Malo Chao</t>
        </is>
      </c>
      <c r="O728" t="inlineStr">
        <is>
          <t>11073台北市信義區松仁路100號8樓</t>
        </is>
      </c>
      <c r="P728" t="inlineStr">
        <is>
          <t>Malo.Chao@dentsu.com</t>
        </is>
      </c>
      <c r="Q728" t="inlineStr"/>
      <c r="R728" t="inlineStr"/>
      <c r="S728" t="inlineStr">
        <is>
          <t>已收款</t>
        </is>
      </c>
      <c r="T728" t="inlineStr">
        <is>
          <t>Dentsu
來源：單次型發票及收款紀錄 第 247 列</t>
        </is>
      </c>
      <c r="U728" t="inlineStr">
        <is>
          <t>收到發票隔月起30天</t>
        </is>
      </c>
      <c r="V728" t="inlineStr">
        <is>
          <t>2026-05-18</t>
        </is>
      </c>
    </row>
    <row r="729">
      <c r="A729" t="inlineStr">
        <is>
          <t>inv_b7023270935e</t>
        </is>
      </c>
      <c r="B729" t="inlineStr">
        <is>
          <t>黃思睿</t>
        </is>
      </c>
      <c r="C729" t="inlineStr">
        <is>
          <t>2024-09-30</t>
        </is>
      </c>
      <c r="D729" t="inlineStr">
        <is>
          <t>2247243</t>
        </is>
      </c>
      <c r="E729" t="inlineStr"/>
      <c r="F729" t="inlineStr">
        <is>
          <t>2024-06-07</t>
        </is>
      </c>
      <c r="G729" t="inlineStr">
        <is>
          <t>BD03696327</t>
        </is>
      </c>
      <c r="H729" t="inlineStr">
        <is>
          <t>cus_7e5c26e3a00a</t>
        </is>
      </c>
      <c r="I729" t="inlineStr">
        <is>
          <t>台灣電通股份有限公司</t>
        </is>
      </c>
      <c r="J729" t="inlineStr">
        <is>
          <t>24546918</t>
        </is>
      </c>
      <c r="K729" t="n">
        <v>15000</v>
      </c>
      <c r="L729" t="n">
        <v>15750</v>
      </c>
      <c r="M729" t="inlineStr">
        <is>
          <t>發票數據受眾包</t>
        </is>
      </c>
      <c r="N729" t="inlineStr">
        <is>
          <t>趙慧騥 Malo Chao</t>
        </is>
      </c>
      <c r="O729" t="inlineStr">
        <is>
          <t>11073台北市信義區松仁路100號8樓</t>
        </is>
      </c>
      <c r="P729" t="inlineStr">
        <is>
          <t>Malo.Chao@dentsu.com</t>
        </is>
      </c>
      <c r="Q729" t="inlineStr"/>
      <c r="R729" t="inlineStr"/>
      <c r="S729" t="inlineStr">
        <is>
          <t>已收款</t>
        </is>
      </c>
      <c r="T729" t="inlineStr">
        <is>
          <t>Dentsu
來源：單次型發票及收款紀錄 第 248 列</t>
        </is>
      </c>
      <c r="U729" t="inlineStr">
        <is>
          <t>收到發票隔月起30天</t>
        </is>
      </c>
      <c r="V729" t="inlineStr">
        <is>
          <t>2026-05-18</t>
        </is>
      </c>
    </row>
    <row r="730">
      <c r="A730" t="inlineStr">
        <is>
          <t>inv_98ddaa0bdd68</t>
        </is>
      </c>
      <c r="B730" t="inlineStr">
        <is>
          <t>黃思睿</t>
        </is>
      </c>
      <c r="C730" t="inlineStr">
        <is>
          <t>2024-11-01</t>
        </is>
      </c>
      <c r="D730" t="inlineStr">
        <is>
          <t>2287586</t>
        </is>
      </c>
      <c r="E730" t="inlineStr"/>
      <c r="F730" t="inlineStr">
        <is>
          <t>2024-07-05</t>
        </is>
      </c>
      <c r="G730" t="inlineStr">
        <is>
          <t>DC03652247</t>
        </is>
      </c>
      <c r="H730" t="inlineStr">
        <is>
          <t>cus_7e5c26e3a00a</t>
        </is>
      </c>
      <c r="I730" t="inlineStr">
        <is>
          <t>台灣電通股份有限公司</t>
        </is>
      </c>
      <c r="J730" t="inlineStr">
        <is>
          <t>24546918</t>
        </is>
      </c>
      <c r="K730" t="n">
        <v>40000</v>
      </c>
      <c r="L730" t="n">
        <v>42000</v>
      </c>
      <c r="M730" t="inlineStr">
        <is>
          <t>發票數據受眾包</t>
        </is>
      </c>
      <c r="N730" t="inlineStr">
        <is>
          <t>趙慧騥 Malo Chao</t>
        </is>
      </c>
      <c r="O730" t="inlineStr">
        <is>
          <t>11073台北市信義區松仁路100號8樓</t>
        </is>
      </c>
      <c r="P730" t="inlineStr">
        <is>
          <t>Malo.Chao@dentsu.com</t>
        </is>
      </c>
      <c r="Q730" t="inlineStr"/>
      <c r="R730" t="inlineStr"/>
      <c r="S730" t="inlineStr">
        <is>
          <t>已收款</t>
        </is>
      </c>
      <c r="T730" t="inlineStr">
        <is>
          <t>Dentsu
來源：單次型發票及收款紀錄 第 249 列</t>
        </is>
      </c>
      <c r="U730" t="inlineStr">
        <is>
          <t>收到發票隔月起30天</t>
        </is>
      </c>
      <c r="V730" t="inlineStr">
        <is>
          <t>2026-05-18</t>
        </is>
      </c>
    </row>
    <row r="731">
      <c r="A731" t="inlineStr">
        <is>
          <t>inv_76035e6c44ae</t>
        </is>
      </c>
      <c r="B731" t="inlineStr">
        <is>
          <t>黃思睿</t>
        </is>
      </c>
      <c r="C731" t="inlineStr">
        <is>
          <t>2024-11-01</t>
        </is>
      </c>
      <c r="D731" t="inlineStr">
        <is>
          <t>2287588</t>
        </is>
      </c>
      <c r="E731" t="inlineStr"/>
      <c r="F731" t="inlineStr">
        <is>
          <t>2024-07-05</t>
        </is>
      </c>
      <c r="G731" t="inlineStr">
        <is>
          <t>DC03652249</t>
        </is>
      </c>
      <c r="H731" t="inlineStr">
        <is>
          <t>cus_7e5c26e3a00a</t>
        </is>
      </c>
      <c r="I731" t="inlineStr">
        <is>
          <t>台灣電通股份有限公司</t>
        </is>
      </c>
      <c r="J731" t="inlineStr">
        <is>
          <t>24546918</t>
        </is>
      </c>
      <c r="K731" t="n">
        <v>15000</v>
      </c>
      <c r="L731" t="n">
        <v>15750</v>
      </c>
      <c r="M731" t="inlineStr">
        <is>
          <t>發票數據受眾包</t>
        </is>
      </c>
      <c r="N731" t="inlineStr">
        <is>
          <t>趙慧騥 Malo Chao</t>
        </is>
      </c>
      <c r="O731" t="inlineStr">
        <is>
          <t>11073台北市信義區松仁路100號8樓</t>
        </is>
      </c>
      <c r="P731" t="inlineStr">
        <is>
          <t>Malo.Chao@dentsu.com</t>
        </is>
      </c>
      <c r="Q731" t="inlineStr"/>
      <c r="R731" t="inlineStr"/>
      <c r="S731" t="inlineStr">
        <is>
          <t>已收款</t>
        </is>
      </c>
      <c r="T731" t="inlineStr">
        <is>
          <t>Dentsu
來源：單次型發票及收款紀錄 第 250 列</t>
        </is>
      </c>
      <c r="U731" t="inlineStr">
        <is>
          <t>收到發票隔月起30天</t>
        </is>
      </c>
      <c r="V731" t="inlineStr">
        <is>
          <t>2026-05-18</t>
        </is>
      </c>
    </row>
    <row r="732">
      <c r="A732" t="inlineStr">
        <is>
          <t>inv_4971e352e07f</t>
        </is>
      </c>
      <c r="B732" t="inlineStr">
        <is>
          <t>Cobi</t>
        </is>
      </c>
      <c r="C732" t="inlineStr">
        <is>
          <t>2024-12-02</t>
        </is>
      </c>
      <c r="D732" t="inlineStr">
        <is>
          <t>2332375</t>
        </is>
      </c>
      <c r="E732" t="inlineStr"/>
      <c r="F732" t="inlineStr">
        <is>
          <t>2024-08-12</t>
        </is>
      </c>
      <c r="G732" t="inlineStr">
        <is>
          <t>DC03692360</t>
        </is>
      </c>
      <c r="H732" t="inlineStr">
        <is>
          <t>cus_7e5c26e3a00a</t>
        </is>
      </c>
      <c r="I732" t="inlineStr">
        <is>
          <t>台灣電通股份有限公司</t>
        </is>
      </c>
      <c r="J732" t="inlineStr">
        <is>
          <t>24546918</t>
        </is>
      </c>
      <c r="K732" t="n">
        <v>75000</v>
      </c>
      <c r="L732" t="n">
        <v>78750</v>
      </c>
      <c r="M732" t="inlineStr">
        <is>
          <t>發票數據受眾包</t>
        </is>
      </c>
      <c r="N732" t="inlineStr">
        <is>
          <t>趙慧騥 Malo Chao</t>
        </is>
      </c>
      <c r="O732" t="inlineStr">
        <is>
          <t>11073台北市信義區松仁路100號8樓</t>
        </is>
      </c>
      <c r="P732" t="inlineStr">
        <is>
          <t>Malo.Chao@dentsu.com</t>
        </is>
      </c>
      <c r="Q732" t="inlineStr"/>
      <c r="R732" t="inlineStr"/>
      <c r="S732" t="inlineStr">
        <is>
          <t>已收款</t>
        </is>
      </c>
      <c r="T732" t="inlineStr">
        <is>
          <t>Dentsu
來源：單次型發票及收款紀錄 第 251 列</t>
        </is>
      </c>
      <c r="U732" t="inlineStr">
        <is>
          <t>收到發票隔月起30天</t>
        </is>
      </c>
      <c r="V732" t="inlineStr">
        <is>
          <t>2026-05-18</t>
        </is>
      </c>
    </row>
    <row r="733">
      <c r="A733" t="inlineStr">
        <is>
          <t>inv_8901820ec55b</t>
        </is>
      </c>
      <c r="B733" t="inlineStr">
        <is>
          <t>Cobi</t>
        </is>
      </c>
      <c r="C733" t="inlineStr">
        <is>
          <t>2024-12-02</t>
        </is>
      </c>
      <c r="D733" t="inlineStr">
        <is>
          <t>2332376</t>
        </is>
      </c>
      <c r="E733" t="inlineStr"/>
      <c r="F733" t="inlineStr">
        <is>
          <t>2024-08-12</t>
        </is>
      </c>
      <c r="G733" t="inlineStr">
        <is>
          <t>DC03692361</t>
        </is>
      </c>
      <c r="H733" t="inlineStr">
        <is>
          <t>cus_7e5c26e3a00a</t>
        </is>
      </c>
      <c r="I733" t="inlineStr">
        <is>
          <t>台灣電通股份有限公司</t>
        </is>
      </c>
      <c r="J733" t="inlineStr">
        <is>
          <t>24546918</t>
        </is>
      </c>
      <c r="K733" t="n">
        <v>62000</v>
      </c>
      <c r="L733" t="n">
        <v>65100</v>
      </c>
      <c r="M733" t="inlineStr">
        <is>
          <t>發票數據受眾包</t>
        </is>
      </c>
      <c r="N733" t="inlineStr">
        <is>
          <t>趙慧騥 Malo Chao</t>
        </is>
      </c>
      <c r="O733" t="inlineStr">
        <is>
          <t>11073台北市信義區松仁路100號8樓</t>
        </is>
      </c>
      <c r="P733" t="inlineStr">
        <is>
          <t>Malo.Chao@dentsu.com</t>
        </is>
      </c>
      <c r="Q733" t="inlineStr"/>
      <c r="R733" t="inlineStr"/>
      <c r="S733" t="inlineStr">
        <is>
          <t>已收款</t>
        </is>
      </c>
      <c r="T733" t="inlineStr">
        <is>
          <t>Dentsu
來源：單次型發票及收款紀錄 第 252 列</t>
        </is>
      </c>
      <c r="U733" t="inlineStr">
        <is>
          <t>收到發票隔月起30天</t>
        </is>
      </c>
      <c r="V733" t="inlineStr">
        <is>
          <t>2026-05-18</t>
        </is>
      </c>
    </row>
    <row r="734">
      <c r="A734" t="inlineStr">
        <is>
          <t>inv_ba86ece26214</t>
        </is>
      </c>
      <c r="B734" t="inlineStr">
        <is>
          <t>Cobi</t>
        </is>
      </c>
      <c r="C734" t="inlineStr"/>
      <c r="D734" t="inlineStr">
        <is>
          <t>2761805</t>
        </is>
      </c>
      <c r="E734" t="inlineStr"/>
      <c r="F734" t="inlineStr">
        <is>
          <t>2025-09-05</t>
        </is>
      </c>
      <c r="G734" t="inlineStr"/>
      <c r="H734" t="inlineStr">
        <is>
          <t>cus_3816722e3e66</t>
        </is>
      </c>
      <c r="I734" t="inlineStr">
        <is>
          <t>全聯實業股份有限公司</t>
        </is>
      </c>
      <c r="J734" t="inlineStr">
        <is>
          <t>16740494</t>
        </is>
      </c>
      <c r="K734" t="n">
        <v>48000</v>
      </c>
      <c r="L734" t="n">
        <v>50400</v>
      </c>
      <c r="M734" t="inlineStr">
        <is>
          <t>發票記帳本專案</t>
        </is>
      </c>
      <c r="N734" t="inlineStr">
        <is>
          <t>邱俊皓 Howard</t>
        </is>
      </c>
      <c r="O734" t="inlineStr">
        <is>
          <t>台北市中山區敬業四路33號4樓</t>
        </is>
      </c>
      <c r="P734" t="inlineStr">
        <is>
          <t>howard_chiu@pxmart.com.tw</t>
        </is>
      </c>
      <c r="Q734" t="inlineStr">
        <is>
          <t>02-2532-8000 ext. 1207</t>
        </is>
      </c>
      <c r="R734" t="inlineStr"/>
      <c r="S734" t="inlineStr">
        <is>
          <t>未收款</t>
        </is>
      </c>
      <c r="T734" t="inlineStr">
        <is>
          <t>發票記帳新功能開發
來源：單次型發票及收款紀錄 第 253 列</t>
        </is>
      </c>
      <c r="U734" t="inlineStr">
        <is>
          <t>收到發票隔月30號</t>
        </is>
      </c>
      <c r="V734" t="inlineStr">
        <is>
          <t>2026-05-18</t>
        </is>
      </c>
    </row>
    <row r="735">
      <c r="A735" t="inlineStr">
        <is>
          <t>inv_a943ebc3fbba</t>
        </is>
      </c>
      <c r="B735" t="inlineStr">
        <is>
          <t>Cobi</t>
        </is>
      </c>
      <c r="C735" t="inlineStr">
        <is>
          <t>2025-02-03</t>
        </is>
      </c>
      <c r="D735" t="inlineStr">
        <is>
          <t>2394024</t>
        </is>
      </c>
      <c r="E735" t="inlineStr"/>
      <c r="F735" t="inlineStr">
        <is>
          <t>2024-10-07</t>
        </is>
      </c>
      <c r="G735" t="inlineStr">
        <is>
          <t>FB03680867</t>
        </is>
      </c>
      <c r="H735" t="inlineStr">
        <is>
          <t>cus_7e5c26e3a00a</t>
        </is>
      </c>
      <c r="I735" t="inlineStr">
        <is>
          <t>台灣電通股份有限公司</t>
        </is>
      </c>
      <c r="J735" t="inlineStr">
        <is>
          <t>24546918</t>
        </is>
      </c>
      <c r="K735" t="n">
        <v>40000</v>
      </c>
      <c r="L735" t="n">
        <v>42000</v>
      </c>
      <c r="M735" t="inlineStr">
        <is>
          <t>發票數據受眾包</t>
        </is>
      </c>
      <c r="N735" t="inlineStr">
        <is>
          <t>趙慧騥 Malo Chao</t>
        </is>
      </c>
      <c r="O735" t="inlineStr">
        <is>
          <t>11073台北市信義區松仁路100號8樓</t>
        </is>
      </c>
      <c r="P735" t="inlineStr">
        <is>
          <t>Malo.Chao@dentsu.com</t>
        </is>
      </c>
      <c r="Q735" t="inlineStr"/>
      <c r="R735" t="inlineStr"/>
      <c r="S735" t="inlineStr">
        <is>
          <t>已收款</t>
        </is>
      </c>
      <c r="T735" t="inlineStr">
        <is>
          <t>Dentsu
來源：單次型發票及收款紀錄 第 254 列</t>
        </is>
      </c>
      <c r="U735" t="inlineStr">
        <is>
          <t>收到發票隔月起60天</t>
        </is>
      </c>
      <c r="V735" t="inlineStr">
        <is>
          <t>2026-05-18</t>
        </is>
      </c>
    </row>
    <row r="736">
      <c r="A736" t="inlineStr">
        <is>
          <t>inv_a32b76fc32a2</t>
        </is>
      </c>
      <c r="B736" t="inlineStr">
        <is>
          <t>Cobi</t>
        </is>
      </c>
      <c r="C736" t="inlineStr">
        <is>
          <t>2025-02-03</t>
        </is>
      </c>
      <c r="D736" t="inlineStr">
        <is>
          <t>2394025</t>
        </is>
      </c>
      <c r="E736" t="inlineStr"/>
      <c r="F736" t="inlineStr">
        <is>
          <t>2024-10-07</t>
        </is>
      </c>
      <c r="G736" t="inlineStr">
        <is>
          <t>FB03680868</t>
        </is>
      </c>
      <c r="H736" t="inlineStr">
        <is>
          <t>cus_7e5c26e3a00a</t>
        </is>
      </c>
      <c r="I736" t="inlineStr">
        <is>
          <t>台灣電通股份有限公司</t>
        </is>
      </c>
      <c r="J736" t="inlineStr">
        <is>
          <t>24546918</t>
        </is>
      </c>
      <c r="K736" t="n">
        <v>20000</v>
      </c>
      <c r="L736" t="n">
        <v>21000</v>
      </c>
      <c r="M736" t="inlineStr">
        <is>
          <t>發票數據受眾包</t>
        </is>
      </c>
      <c r="N736" t="inlineStr">
        <is>
          <t>趙慧騥 Malo Chao</t>
        </is>
      </c>
      <c r="O736" t="inlineStr">
        <is>
          <t>11073台北市信義區松仁路100號8樓</t>
        </is>
      </c>
      <c r="P736" t="inlineStr">
        <is>
          <t>Malo.Chao@dentsu.com</t>
        </is>
      </c>
      <c r="Q736" t="inlineStr"/>
      <c r="R736" t="inlineStr"/>
      <c r="S736" t="inlineStr">
        <is>
          <t>已收款</t>
        </is>
      </c>
      <c r="T736" t="inlineStr">
        <is>
          <t>Dentsu
來源：單次型發票及收款紀錄 第 255 列</t>
        </is>
      </c>
      <c r="U736" t="inlineStr">
        <is>
          <t>收到發票隔月起60天</t>
        </is>
      </c>
      <c r="V736" t="inlineStr">
        <is>
          <t>2026-05-18</t>
        </is>
      </c>
    </row>
    <row r="737">
      <c r="A737" t="inlineStr">
        <is>
          <t>inv_46013770499a</t>
        </is>
      </c>
      <c r="B737" t="inlineStr">
        <is>
          <t>Cobi</t>
        </is>
      </c>
      <c r="C737" t="inlineStr">
        <is>
          <t>2025-03-03</t>
        </is>
      </c>
      <c r="D737" t="inlineStr">
        <is>
          <t>2426315</t>
        </is>
      </c>
      <c r="E737" t="inlineStr"/>
      <c r="F737" t="inlineStr">
        <is>
          <t>2024-11-07</t>
        </is>
      </c>
      <c r="G737" t="inlineStr">
        <is>
          <t>HA03653202</t>
        </is>
      </c>
      <c r="H737" t="inlineStr">
        <is>
          <t>cus_7e5c26e3a00a</t>
        </is>
      </c>
      <c r="I737" t="inlineStr">
        <is>
          <t>台灣電通股份有限公司</t>
        </is>
      </c>
      <c r="J737" t="inlineStr">
        <is>
          <t>24546918</t>
        </is>
      </c>
      <c r="K737" t="n">
        <v>13000</v>
      </c>
      <c r="L737" t="n">
        <v>13650</v>
      </c>
      <c r="M737" t="inlineStr">
        <is>
          <t>發票數據受眾包</t>
        </is>
      </c>
      <c r="N737" t="inlineStr">
        <is>
          <t>趙慧騥 Malo Chao</t>
        </is>
      </c>
      <c r="O737" t="inlineStr">
        <is>
          <t>11073台北市信義區松仁路100號8樓</t>
        </is>
      </c>
      <c r="P737" t="inlineStr">
        <is>
          <t>Malo.Chao@dentsu.com</t>
        </is>
      </c>
      <c r="Q737" t="inlineStr"/>
      <c r="R737" t="inlineStr"/>
      <c r="S737" t="inlineStr">
        <is>
          <t>已收款</t>
        </is>
      </c>
      <c r="T737" t="inlineStr">
        <is>
          <t>Dentsu
來源：單次型發票及收款紀錄 第 256 列</t>
        </is>
      </c>
      <c r="U737" t="inlineStr">
        <is>
          <t>收到發票隔月起60天</t>
        </is>
      </c>
      <c r="V737" t="inlineStr">
        <is>
          <t>2026-05-18</t>
        </is>
      </c>
    </row>
    <row r="738">
      <c r="A738" t="inlineStr">
        <is>
          <t>inv_0fb2ae166dde</t>
        </is>
      </c>
      <c r="B738" t="inlineStr">
        <is>
          <t>Cobi</t>
        </is>
      </c>
      <c r="C738" t="inlineStr">
        <is>
          <t>2025-03-03</t>
        </is>
      </c>
      <c r="D738" t="inlineStr">
        <is>
          <t>2426316</t>
        </is>
      </c>
      <c r="E738" t="inlineStr"/>
      <c r="F738" t="inlineStr">
        <is>
          <t>2024-11-07</t>
        </is>
      </c>
      <c r="G738" t="inlineStr">
        <is>
          <t>HA03653203</t>
        </is>
      </c>
      <c r="H738" t="inlineStr">
        <is>
          <t>cus_7e5c26e3a00a</t>
        </is>
      </c>
      <c r="I738" t="inlineStr">
        <is>
          <t>台灣電通股份有限公司</t>
        </is>
      </c>
      <c r="J738" t="inlineStr">
        <is>
          <t>24546918</t>
        </is>
      </c>
      <c r="K738" t="n">
        <v>57000</v>
      </c>
      <c r="L738" t="n">
        <v>59850</v>
      </c>
      <c r="M738" t="inlineStr">
        <is>
          <t>發票數據受眾包</t>
        </is>
      </c>
      <c r="N738" t="inlineStr">
        <is>
          <t>趙慧騥 Malo Chao</t>
        </is>
      </c>
      <c r="O738" t="inlineStr">
        <is>
          <t>11073台北市信義區松仁路100號8樓</t>
        </is>
      </c>
      <c r="P738" t="inlineStr">
        <is>
          <t>Malo.Chao@dentsu.com</t>
        </is>
      </c>
      <c r="Q738" t="inlineStr"/>
      <c r="R738" t="inlineStr"/>
      <c r="S738" t="inlineStr">
        <is>
          <t>已收款</t>
        </is>
      </c>
      <c r="T738" t="inlineStr">
        <is>
          <t>Dentsu
來源：單次型發票及收款紀錄 第 257 列</t>
        </is>
      </c>
      <c r="U738" t="inlineStr">
        <is>
          <t>收到發票隔月起60天</t>
        </is>
      </c>
      <c r="V738" t="inlineStr">
        <is>
          <t>2026-05-18</t>
        </is>
      </c>
    </row>
    <row r="739">
      <c r="A739" t="inlineStr">
        <is>
          <t>inv_1125014bc12c</t>
        </is>
      </c>
      <c r="B739" t="inlineStr">
        <is>
          <t>Cobi</t>
        </is>
      </c>
      <c r="C739" t="inlineStr">
        <is>
          <t>2025-03-03</t>
        </is>
      </c>
      <c r="D739" t="inlineStr">
        <is>
          <t>2426317</t>
        </is>
      </c>
      <c r="E739" t="inlineStr"/>
      <c r="F739" t="inlineStr">
        <is>
          <t>2024-11-07</t>
        </is>
      </c>
      <c r="G739" t="inlineStr">
        <is>
          <t>HA03653204</t>
        </is>
      </c>
      <c r="H739" t="inlineStr">
        <is>
          <t>cus_7e5c26e3a00a</t>
        </is>
      </c>
      <c r="I739" t="inlineStr">
        <is>
          <t>台灣電通股份有限公司</t>
        </is>
      </c>
      <c r="J739" t="inlineStr">
        <is>
          <t>24546918</t>
        </is>
      </c>
      <c r="K739" t="n">
        <v>45000</v>
      </c>
      <c r="L739" t="n">
        <v>47250</v>
      </c>
      <c r="M739" t="inlineStr">
        <is>
          <t>發票數據受眾包</t>
        </is>
      </c>
      <c r="N739" t="inlineStr">
        <is>
          <t>趙慧騥 Malo Chao</t>
        </is>
      </c>
      <c r="O739" t="inlineStr">
        <is>
          <t>11073台北市信義區松仁路100號8樓</t>
        </is>
      </c>
      <c r="P739" t="inlineStr">
        <is>
          <t>Malo.Chao@dentsu.com</t>
        </is>
      </c>
      <c r="Q739" t="inlineStr"/>
      <c r="R739" t="inlineStr"/>
      <c r="S739" t="inlineStr">
        <is>
          <t>已收款</t>
        </is>
      </c>
      <c r="T739" t="inlineStr">
        <is>
          <t>Dentsu
來源：單次型發票及收款紀錄 第 258 列</t>
        </is>
      </c>
      <c r="U739" t="inlineStr">
        <is>
          <t>收到發票隔月起60天</t>
        </is>
      </c>
      <c r="V739" t="inlineStr">
        <is>
          <t>2026-05-18</t>
        </is>
      </c>
    </row>
    <row r="740">
      <c r="A740" t="inlineStr">
        <is>
          <t>inv_93f04fc1660e</t>
        </is>
      </c>
      <c r="B740" t="inlineStr">
        <is>
          <t>Cobi</t>
        </is>
      </c>
      <c r="C740" t="inlineStr">
        <is>
          <t>2025-04-30</t>
        </is>
      </c>
      <c r="D740" t="inlineStr">
        <is>
          <t>2494094</t>
        </is>
      </c>
      <c r="E740" t="inlineStr"/>
      <c r="F740" t="inlineStr">
        <is>
          <t>2025-01-06</t>
        </is>
      </c>
      <c r="G740" t="inlineStr">
        <is>
          <t>JY43826890</t>
        </is>
      </c>
      <c r="H740" t="inlineStr">
        <is>
          <t>cus_7e5c26e3a00a</t>
        </is>
      </c>
      <c r="I740" t="inlineStr">
        <is>
          <t>台灣電通股份有限公司</t>
        </is>
      </c>
      <c r="J740" t="inlineStr">
        <is>
          <t>24546918</t>
        </is>
      </c>
      <c r="K740" t="n">
        <v>70000</v>
      </c>
      <c r="L740" t="n">
        <v>73500</v>
      </c>
      <c r="M740" t="inlineStr">
        <is>
          <t>發票數據受眾包</t>
        </is>
      </c>
      <c r="N740" t="inlineStr">
        <is>
          <t>趙慧騥 Malo Chao</t>
        </is>
      </c>
      <c r="O740" t="inlineStr">
        <is>
          <t>11073台北市信義區松仁路100號8樓</t>
        </is>
      </c>
      <c r="P740" t="inlineStr">
        <is>
          <t>Malo.Chao@dentsu.com</t>
        </is>
      </c>
      <c r="Q740" t="inlineStr"/>
      <c r="R740" t="inlineStr"/>
      <c r="S740" t="inlineStr">
        <is>
          <t>已收款</t>
        </is>
      </c>
      <c r="T740" t="inlineStr">
        <is>
          <t>Dentsu
來源：單次型發票及收款紀錄 第 259 列</t>
        </is>
      </c>
      <c r="U740" t="inlineStr">
        <is>
          <t>收到發票隔月起60天</t>
        </is>
      </c>
      <c r="V740" t="inlineStr">
        <is>
          <t>2026-05-18</t>
        </is>
      </c>
    </row>
    <row r="741">
      <c r="A741" t="inlineStr">
        <is>
          <t>inv_2e551e9f26bf</t>
        </is>
      </c>
      <c r="B741" t="inlineStr">
        <is>
          <t>Cobi</t>
        </is>
      </c>
      <c r="C741" t="inlineStr">
        <is>
          <t>2025-04-31</t>
        </is>
      </c>
      <c r="D741" t="inlineStr">
        <is>
          <t>2494095</t>
        </is>
      </c>
      <c r="E741" t="inlineStr"/>
      <c r="F741" t="inlineStr">
        <is>
          <t>2025-01-06</t>
        </is>
      </c>
      <c r="G741" t="inlineStr">
        <is>
          <t>JY43826891</t>
        </is>
      </c>
      <c r="H741" t="inlineStr">
        <is>
          <t>cus_7e5c26e3a00a</t>
        </is>
      </c>
      <c r="I741" t="inlineStr">
        <is>
          <t>台灣電通股份有限公司</t>
        </is>
      </c>
      <c r="J741" t="inlineStr">
        <is>
          <t>24546918</t>
        </is>
      </c>
      <c r="K741" t="n">
        <v>53000</v>
      </c>
      <c r="L741" t="n">
        <v>55650</v>
      </c>
      <c r="M741" t="inlineStr">
        <is>
          <t>發票數據受眾包</t>
        </is>
      </c>
      <c r="N741" t="inlineStr">
        <is>
          <t>趙慧騥 Malo Chao</t>
        </is>
      </c>
      <c r="O741" t="inlineStr">
        <is>
          <t>11073台北市信義區松仁路100號8樓</t>
        </is>
      </c>
      <c r="P741" t="inlineStr">
        <is>
          <t>Malo.Chao@dentsu.com</t>
        </is>
      </c>
      <c r="Q741" t="inlineStr"/>
      <c r="R741" t="inlineStr"/>
      <c r="S741" t="inlineStr">
        <is>
          <t>已收款</t>
        </is>
      </c>
      <c r="T741" t="inlineStr">
        <is>
          <t>Dentsu
來源：單次型發票及收款紀錄 第 260 列</t>
        </is>
      </c>
      <c r="U741" t="inlineStr">
        <is>
          <t>收到發票隔月起60天</t>
        </is>
      </c>
      <c r="V741" t="inlineStr">
        <is>
          <t>2026-05-18</t>
        </is>
      </c>
    </row>
    <row r="742">
      <c r="A742" t="inlineStr">
        <is>
          <t>inv_1be8ea1c6a4a</t>
        </is>
      </c>
      <c r="B742" t="inlineStr">
        <is>
          <t>Cobi</t>
        </is>
      </c>
      <c r="C742" t="inlineStr">
        <is>
          <t>2025-04-31</t>
        </is>
      </c>
      <c r="D742" t="inlineStr">
        <is>
          <t>2494096</t>
        </is>
      </c>
      <c r="E742" t="inlineStr"/>
      <c r="F742" t="inlineStr">
        <is>
          <t>2025-01-06</t>
        </is>
      </c>
      <c r="G742" t="inlineStr">
        <is>
          <t>JY43826892</t>
        </is>
      </c>
      <c r="H742" t="inlineStr">
        <is>
          <t>cus_7e5c26e3a00a</t>
        </is>
      </c>
      <c r="I742" t="inlineStr">
        <is>
          <t>台灣電通股份有限公司</t>
        </is>
      </c>
      <c r="J742" t="inlineStr">
        <is>
          <t>24546918</t>
        </is>
      </c>
      <c r="K742" t="n">
        <v>3000</v>
      </c>
      <c r="L742" t="n">
        <v>3150</v>
      </c>
      <c r="M742" t="inlineStr">
        <is>
          <t>發票數據受眾包</t>
        </is>
      </c>
      <c r="N742" t="inlineStr">
        <is>
          <t>趙慧騥 Malo Chao</t>
        </is>
      </c>
      <c r="O742" t="inlineStr">
        <is>
          <t>11073台北市信義區松仁路100號8樓</t>
        </is>
      </c>
      <c r="P742" t="inlineStr">
        <is>
          <t>Malo.Chao@dentsu.com</t>
        </is>
      </c>
      <c r="Q742" t="inlineStr"/>
      <c r="R742" t="inlineStr"/>
      <c r="S742" t="inlineStr">
        <is>
          <t>已收款</t>
        </is>
      </c>
      <c r="T742" t="inlineStr">
        <is>
          <t>Dentsu
來源：單次型發票及收款紀錄 第 261 列</t>
        </is>
      </c>
      <c r="U742" t="inlineStr">
        <is>
          <t>收到發票隔月起60天</t>
        </is>
      </c>
      <c r="V742" t="inlineStr">
        <is>
          <t>2026-05-18</t>
        </is>
      </c>
    </row>
    <row r="743">
      <c r="A743" t="inlineStr">
        <is>
          <t>inv_2617d5615ee8</t>
        </is>
      </c>
      <c r="B743" t="inlineStr">
        <is>
          <t>Cobi</t>
        </is>
      </c>
      <c r="C743" t="inlineStr">
        <is>
          <t>2025-06-02</t>
        </is>
      </c>
      <c r="D743" t="inlineStr">
        <is>
          <t>2531301</t>
        </is>
      </c>
      <c r="E743" t="inlineStr"/>
      <c r="F743" t="inlineStr">
        <is>
          <t>2025-02-11</t>
        </is>
      </c>
      <c r="G743" t="inlineStr">
        <is>
          <t>JY43860087</t>
        </is>
      </c>
      <c r="H743" t="inlineStr">
        <is>
          <t>cus_7e5c26e3a00a</t>
        </is>
      </c>
      <c r="I743" t="inlineStr">
        <is>
          <t>台灣電通股份有限公司</t>
        </is>
      </c>
      <c r="J743" t="inlineStr">
        <is>
          <t>24546918</t>
        </is>
      </c>
      <c r="K743" t="n">
        <v>50000</v>
      </c>
      <c r="L743" t="n">
        <v>52500</v>
      </c>
      <c r="M743" t="inlineStr">
        <is>
          <t>發票數據受眾包</t>
        </is>
      </c>
      <c r="N743" t="inlineStr">
        <is>
          <t>趙慧騥 Malo Chao</t>
        </is>
      </c>
      <c r="O743" t="inlineStr">
        <is>
          <t>11073台北市信義區松仁路100號8樓</t>
        </is>
      </c>
      <c r="P743" t="inlineStr">
        <is>
          <t>Malo.Chao@dentsu.com</t>
        </is>
      </c>
      <c r="Q743" t="inlineStr"/>
      <c r="R743" t="inlineStr"/>
      <c r="S743" t="inlineStr">
        <is>
          <t>已收款</t>
        </is>
      </c>
      <c r="T743" t="inlineStr">
        <is>
          <t>Dentsu
來源：單次型發票及收款紀錄 第 262 列</t>
        </is>
      </c>
      <c r="U743" t="inlineStr">
        <is>
          <t>收到發票隔月起60天</t>
        </is>
      </c>
      <c r="V743" t="inlineStr">
        <is>
          <t>2026-05-18</t>
        </is>
      </c>
    </row>
    <row r="744">
      <c r="A744" t="inlineStr">
        <is>
          <t>inv_06e2315bc094</t>
        </is>
      </c>
      <c r="B744" t="inlineStr">
        <is>
          <t>Cobi</t>
        </is>
      </c>
      <c r="C744" t="inlineStr">
        <is>
          <t>2025-06-30</t>
        </is>
      </c>
      <c r="D744" t="inlineStr">
        <is>
          <t>2559445</t>
        </is>
      </c>
      <c r="E744" t="inlineStr"/>
      <c r="F744" t="inlineStr">
        <is>
          <t>2025-03-10</t>
        </is>
      </c>
      <c r="G744" t="inlineStr">
        <is>
          <t>LY43830124</t>
        </is>
      </c>
      <c r="H744" t="inlineStr">
        <is>
          <t>cus_7e5c26e3a00a</t>
        </is>
      </c>
      <c r="I744" t="inlineStr">
        <is>
          <t>台灣電通股份有限公司</t>
        </is>
      </c>
      <c r="J744" t="inlineStr">
        <is>
          <t>24546918</t>
        </is>
      </c>
      <c r="K744" t="n">
        <v>75000</v>
      </c>
      <c r="L744" t="n">
        <v>78750</v>
      </c>
      <c r="M744" t="inlineStr">
        <is>
          <t>發票數據受眾包</t>
        </is>
      </c>
      <c r="N744" t="inlineStr">
        <is>
          <t>趙慧騥 Malo Chao</t>
        </is>
      </c>
      <c r="O744" t="inlineStr">
        <is>
          <t>11073台北市信義區松仁路100號8樓</t>
        </is>
      </c>
      <c r="P744" t="inlineStr">
        <is>
          <t>Malo.Chao@dentsu.com</t>
        </is>
      </c>
      <c r="Q744" t="inlineStr"/>
      <c r="R744" t="inlineStr"/>
      <c r="S744" t="inlineStr">
        <is>
          <t>已收款</t>
        </is>
      </c>
      <c r="T744" t="inlineStr">
        <is>
          <t>Dentsu
來源：單次型發票及收款紀錄 第 263 列</t>
        </is>
      </c>
      <c r="U744" t="inlineStr">
        <is>
          <t>收到發票隔月起60天</t>
        </is>
      </c>
      <c r="V744" t="inlineStr">
        <is>
          <t>2026-05-18</t>
        </is>
      </c>
    </row>
    <row r="745">
      <c r="A745" t="inlineStr">
        <is>
          <t>inv_4145c78fbc20</t>
        </is>
      </c>
      <c r="B745" t="inlineStr">
        <is>
          <t>Cobi</t>
        </is>
      </c>
      <c r="C745" t="inlineStr">
        <is>
          <t>2025-06-30</t>
        </is>
      </c>
      <c r="D745" t="inlineStr">
        <is>
          <t>2559446</t>
        </is>
      </c>
      <c r="E745" t="inlineStr"/>
      <c r="F745" t="inlineStr">
        <is>
          <t>2025-03-10</t>
        </is>
      </c>
      <c r="G745" t="inlineStr">
        <is>
          <t>LY43830125</t>
        </is>
      </c>
      <c r="H745" t="inlineStr">
        <is>
          <t>cus_7e5c26e3a00a</t>
        </is>
      </c>
      <c r="I745" t="inlineStr">
        <is>
          <t>台灣電通股份有限公司</t>
        </is>
      </c>
      <c r="J745" t="inlineStr">
        <is>
          <t>24546918</t>
        </is>
      </c>
      <c r="K745" t="n">
        <v>65000</v>
      </c>
      <c r="L745" t="n">
        <v>68250</v>
      </c>
      <c r="M745" t="inlineStr">
        <is>
          <t>發票數據受眾包</t>
        </is>
      </c>
      <c r="N745" t="inlineStr">
        <is>
          <t>趙慧騥 Malo Chao</t>
        </is>
      </c>
      <c r="O745" t="inlineStr">
        <is>
          <t>11073台北市信義區松仁路100號8樓</t>
        </is>
      </c>
      <c r="P745" t="inlineStr">
        <is>
          <t>Malo.Chao@dentsu.com</t>
        </is>
      </c>
      <c r="Q745" t="inlineStr"/>
      <c r="R745" t="inlineStr"/>
      <c r="S745" t="inlineStr">
        <is>
          <t>已收款</t>
        </is>
      </c>
      <c r="T745" t="inlineStr">
        <is>
          <t>Dentsu
來源：單次型發票及收款紀錄 第 264 列</t>
        </is>
      </c>
      <c r="U745" t="inlineStr">
        <is>
          <t>收到發票隔月起60天</t>
        </is>
      </c>
      <c r="V745" t="inlineStr">
        <is>
          <t>2026-05-18</t>
        </is>
      </c>
    </row>
    <row r="746">
      <c r="A746" t="inlineStr">
        <is>
          <t>inv_c67e0a8fcf4d</t>
        </is>
      </c>
      <c r="B746" t="inlineStr">
        <is>
          <t>Cobi</t>
        </is>
      </c>
      <c r="C746" t="inlineStr">
        <is>
          <t>2025-06-30</t>
        </is>
      </c>
      <c r="D746" t="inlineStr">
        <is>
          <t>2559447</t>
        </is>
      </c>
      <c r="E746" t="inlineStr"/>
      <c r="F746" t="inlineStr">
        <is>
          <t>2025-03-10</t>
        </is>
      </c>
      <c r="G746" t="inlineStr">
        <is>
          <t>LY43830126</t>
        </is>
      </c>
      <c r="H746" t="inlineStr">
        <is>
          <t>cus_7e5c26e3a00a</t>
        </is>
      </c>
      <c r="I746" t="inlineStr">
        <is>
          <t>台灣電通股份有限公司</t>
        </is>
      </c>
      <c r="J746" t="inlineStr">
        <is>
          <t>24546918</t>
        </is>
      </c>
      <c r="K746" t="n">
        <v>58000</v>
      </c>
      <c r="L746" t="n">
        <v>60900</v>
      </c>
      <c r="M746" t="inlineStr">
        <is>
          <t>發票數據受眾包</t>
        </is>
      </c>
      <c r="N746" t="inlineStr">
        <is>
          <t>趙慧騥 Malo Chao</t>
        </is>
      </c>
      <c r="O746" t="inlineStr">
        <is>
          <t>11073台北市信義區松仁路100號8樓</t>
        </is>
      </c>
      <c r="P746" t="inlineStr">
        <is>
          <t>Malo.Chao@dentsu.com</t>
        </is>
      </c>
      <c r="Q746" t="inlineStr"/>
      <c r="R746" t="inlineStr"/>
      <c r="S746" t="inlineStr">
        <is>
          <t>已收款</t>
        </is>
      </c>
      <c r="T746" t="inlineStr">
        <is>
          <t>Dentsu
來源：單次型發票及收款紀錄 第 265 列</t>
        </is>
      </c>
      <c r="U746" t="inlineStr">
        <is>
          <t>收到發票隔月起60天</t>
        </is>
      </c>
      <c r="V746" t="inlineStr">
        <is>
          <t>2026-05-18</t>
        </is>
      </c>
    </row>
    <row r="747">
      <c r="A747" t="inlineStr">
        <is>
          <t>inv_70140b585999</t>
        </is>
      </c>
      <c r="B747" t="inlineStr">
        <is>
          <t>Cobi</t>
        </is>
      </c>
      <c r="C747" t="inlineStr">
        <is>
          <t>2025-06-30</t>
        </is>
      </c>
      <c r="D747" t="inlineStr">
        <is>
          <t>2559448</t>
        </is>
      </c>
      <c r="E747" t="inlineStr"/>
      <c r="F747" t="inlineStr">
        <is>
          <t>2025-03-10</t>
        </is>
      </c>
      <c r="G747" t="inlineStr">
        <is>
          <t>LY43830127</t>
        </is>
      </c>
      <c r="H747" t="inlineStr">
        <is>
          <t>cus_7e5c26e3a00a</t>
        </is>
      </c>
      <c r="I747" t="inlineStr">
        <is>
          <t>台灣電通股份有限公司</t>
        </is>
      </c>
      <c r="J747" t="inlineStr">
        <is>
          <t>24546918</t>
        </is>
      </c>
      <c r="K747" t="n">
        <v>35500</v>
      </c>
      <c r="L747" t="n">
        <v>37275</v>
      </c>
      <c r="M747" t="inlineStr">
        <is>
          <t>發票數據受眾包</t>
        </is>
      </c>
      <c r="N747" t="inlineStr">
        <is>
          <t>趙慧騥 Malo Chao</t>
        </is>
      </c>
      <c r="O747" t="inlineStr">
        <is>
          <t>11073台北市信義區松仁路100號8樓</t>
        </is>
      </c>
      <c r="P747" t="inlineStr">
        <is>
          <t>Malo.Chao@dentsu.com</t>
        </is>
      </c>
      <c r="Q747" t="inlineStr"/>
      <c r="R747" t="inlineStr"/>
      <c r="S747" t="inlineStr">
        <is>
          <t>已收款</t>
        </is>
      </c>
      <c r="T747" t="inlineStr">
        <is>
          <t>Dentsu
來源：單次型發票及收款紀錄 第 266 列</t>
        </is>
      </c>
      <c r="U747" t="inlineStr">
        <is>
          <t>收到發票隔月起60天</t>
        </is>
      </c>
      <c r="V747" t="inlineStr">
        <is>
          <t>2026-05-18</t>
        </is>
      </c>
    </row>
    <row r="748">
      <c r="A748" t="inlineStr">
        <is>
          <t>inv_b7cf2f919dbb</t>
        </is>
      </c>
      <c r="B748" t="inlineStr">
        <is>
          <t>Cobi</t>
        </is>
      </c>
      <c r="C748" t="inlineStr">
        <is>
          <t>2025-07-31</t>
        </is>
      </c>
      <c r="D748" t="inlineStr">
        <is>
          <t>2589907</t>
        </is>
      </c>
      <c r="E748" t="inlineStr"/>
      <c r="F748" t="inlineStr">
        <is>
          <t>2025-04-09</t>
        </is>
      </c>
      <c r="G748" t="inlineStr">
        <is>
          <t>LY43857862</t>
        </is>
      </c>
      <c r="H748" t="inlineStr">
        <is>
          <t>cus_7e5c26e3a00a</t>
        </is>
      </c>
      <c r="I748" t="inlineStr">
        <is>
          <t>台灣電通股份有限公司</t>
        </is>
      </c>
      <c r="J748" t="inlineStr">
        <is>
          <t>24546918</t>
        </is>
      </c>
      <c r="K748" t="n">
        <v>35000</v>
      </c>
      <c r="L748" t="n">
        <v>36750</v>
      </c>
      <c r="M748" t="inlineStr">
        <is>
          <t>發票數據受眾包</t>
        </is>
      </c>
      <c r="N748" t="inlineStr">
        <is>
          <t>趙慧騥 Malo Chao</t>
        </is>
      </c>
      <c r="O748" t="inlineStr">
        <is>
          <t>11073台北市信義區松仁路100號8樓</t>
        </is>
      </c>
      <c r="P748" t="inlineStr">
        <is>
          <t>Malo.Chao@dentsu.com</t>
        </is>
      </c>
      <c r="Q748" t="inlineStr"/>
      <c r="R748" t="inlineStr"/>
      <c r="S748" t="inlineStr">
        <is>
          <t>已收款</t>
        </is>
      </c>
      <c r="T748" t="inlineStr">
        <is>
          <t>Dentsu
來源：單次型發票及收款紀錄 第 267 列</t>
        </is>
      </c>
      <c r="U748" t="inlineStr">
        <is>
          <t>收到發票隔月起60天</t>
        </is>
      </c>
      <c r="V748" t="inlineStr">
        <is>
          <t>2026-05-18</t>
        </is>
      </c>
    </row>
    <row r="749">
      <c r="A749" t="inlineStr">
        <is>
          <t>inv_18c82232dfa3</t>
        </is>
      </c>
      <c r="B749" t="inlineStr">
        <is>
          <t>Cobi</t>
        </is>
      </c>
      <c r="C749" t="inlineStr">
        <is>
          <t>2025-07-31</t>
        </is>
      </c>
      <c r="D749" t="inlineStr">
        <is>
          <t>2589908</t>
        </is>
      </c>
      <c r="E749" t="inlineStr"/>
      <c r="F749" t="inlineStr">
        <is>
          <t>2025-04-09</t>
        </is>
      </c>
      <c r="G749" t="inlineStr">
        <is>
          <t>LY43857863</t>
        </is>
      </c>
      <c r="H749" t="inlineStr">
        <is>
          <t>cus_7e5c26e3a00a</t>
        </is>
      </c>
      <c r="I749" t="inlineStr">
        <is>
          <t>台灣電通股份有限公司</t>
        </is>
      </c>
      <c r="J749" t="inlineStr">
        <is>
          <t>24546918</t>
        </is>
      </c>
      <c r="K749" t="n">
        <v>72000</v>
      </c>
      <c r="L749" t="n">
        <v>75600</v>
      </c>
      <c r="M749" t="inlineStr">
        <is>
          <t>發票數據受眾包</t>
        </is>
      </c>
      <c r="N749" t="inlineStr">
        <is>
          <t>趙慧騥 Malo Chao</t>
        </is>
      </c>
      <c r="O749" t="inlineStr">
        <is>
          <t>11073台北市信義區松仁路100號8樓</t>
        </is>
      </c>
      <c r="P749" t="inlineStr">
        <is>
          <t>Malo.Chao@dentsu.com</t>
        </is>
      </c>
      <c r="Q749" t="inlineStr"/>
      <c r="R749" t="inlineStr"/>
      <c r="S749" t="inlineStr">
        <is>
          <t>已收款</t>
        </is>
      </c>
      <c r="T749" t="inlineStr">
        <is>
          <t>Dentsu
來源：單次型發票及收款紀錄 第 268 列</t>
        </is>
      </c>
      <c r="U749" t="inlineStr">
        <is>
          <t>收到發票隔月起60天</t>
        </is>
      </c>
      <c r="V749" t="inlineStr">
        <is>
          <t>2026-05-18</t>
        </is>
      </c>
    </row>
    <row r="750">
      <c r="A750" t="inlineStr">
        <is>
          <t>inv_f0550e4c23fc</t>
        </is>
      </c>
      <c r="B750" t="inlineStr">
        <is>
          <t>Peggy</t>
        </is>
      </c>
      <c r="C750" t="inlineStr">
        <is>
          <t>2025-12-01</t>
        </is>
      </c>
      <c r="D750" t="inlineStr">
        <is>
          <t>2761795</t>
        </is>
      </c>
      <c r="E750" t="inlineStr"/>
      <c r="F750" t="inlineStr">
        <is>
          <t>2025-09-05</t>
        </is>
      </c>
      <c r="G750" t="inlineStr"/>
      <c r="H750" t="inlineStr">
        <is>
          <t>cus_41dc0723f069</t>
        </is>
      </c>
      <c r="I750" t="inlineStr">
        <is>
          <t>台灣迪艾思股份有限公司</t>
        </is>
      </c>
      <c r="J750" t="inlineStr">
        <is>
          <t>43910514</t>
        </is>
      </c>
      <c r="K750" t="n">
        <v>42000</v>
      </c>
      <c r="L750" t="n">
        <v>44100</v>
      </c>
      <c r="M750" t="inlineStr">
        <is>
          <t>發票數據受眾包</t>
        </is>
      </c>
      <c r="N750" t="inlineStr">
        <is>
          <t>劉旻湲 Alma Liu</t>
        </is>
      </c>
      <c r="O750" t="inlineStr">
        <is>
          <t>105台北市松山區復興北路363號2樓</t>
        </is>
      </c>
      <c r="P750" t="inlineStr">
        <is>
          <t>alma-liu@dactp.com.tw</t>
        </is>
      </c>
      <c r="Q750" t="inlineStr">
        <is>
          <t>(02)2546-2968 #660</t>
        </is>
      </c>
      <c r="R750" t="inlineStr"/>
      <c r="S750" t="inlineStr">
        <is>
          <t>已收款</t>
        </is>
      </c>
      <c r="T750" t="inlineStr">
        <is>
          <t>三得利
來源：單次型發票及收款紀錄 第 269 列</t>
        </is>
      </c>
      <c r="U750" t="inlineStr">
        <is>
          <t>收到發票隔月60天</t>
        </is>
      </c>
      <c r="V750" t="inlineStr">
        <is>
          <t>2026-05-18</t>
        </is>
      </c>
    </row>
    <row r="751">
      <c r="A751" t="inlineStr">
        <is>
          <t>inv_8f5f20f8ad32</t>
        </is>
      </c>
      <c r="B751" t="inlineStr">
        <is>
          <t>Cobi</t>
        </is>
      </c>
      <c r="C751" t="inlineStr">
        <is>
          <t>2025-06-12</t>
        </is>
      </c>
      <c r="D751" t="inlineStr">
        <is>
          <t>2588197(4/9作廢)
2589906(4/9重開)</t>
        </is>
      </c>
      <c r="E751" t="inlineStr"/>
      <c r="F751" t="inlineStr">
        <is>
          <t>2025-04-07</t>
        </is>
      </c>
      <c r="G751" t="inlineStr">
        <is>
          <t>LY43855892(作廢)
重開 LY43857861</t>
        </is>
      </c>
      <c r="H751" t="inlineStr">
        <is>
          <t>cus_9bf4e5d4c066</t>
        </is>
      </c>
      <c r="I751" t="inlineStr">
        <is>
          <t>台灣尼爾森愛科股份有限公司</t>
        </is>
      </c>
      <c r="J751" t="inlineStr">
        <is>
          <t>22318430</t>
        </is>
      </c>
      <c r="K751" t="n">
        <v>30000</v>
      </c>
      <c r="L751" t="n">
        <v>31500</v>
      </c>
      <c r="M751" t="inlineStr">
        <is>
          <t>專案POC</t>
        </is>
      </c>
      <c r="N751" t="inlineStr">
        <is>
          <t>Jennifer</t>
        </is>
      </c>
      <c r="O751" t="inlineStr">
        <is>
          <t>台北市松山區南京東路五段188號12樓</t>
        </is>
      </c>
      <c r="P751" t="inlineStr">
        <is>
          <t>Jennifer.Chien@nielseniq.com</t>
        </is>
      </c>
      <c r="Q751" t="inlineStr"/>
      <c r="R751" t="inlineStr"/>
      <c r="S751" t="inlineStr">
        <is>
          <t>已收款</t>
        </is>
      </c>
      <c r="T751" t="inlineStr">
        <is>
          <t>POC
來源：單次型發票及收款紀錄 第 270 列</t>
        </is>
      </c>
      <c r="U751" t="inlineStr">
        <is>
          <t>收到發票後90天</t>
        </is>
      </c>
      <c r="V751" t="inlineStr">
        <is>
          <t>2026-05-18</t>
        </is>
      </c>
    </row>
    <row r="752">
      <c r="A752" t="inlineStr">
        <is>
          <t>inv_7c636564d64d</t>
        </is>
      </c>
      <c r="B752" t="inlineStr">
        <is>
          <t>Kate</t>
        </is>
      </c>
      <c r="C752" t="inlineStr">
        <is>
          <t>2025-10-31</t>
        </is>
      </c>
      <c r="D752" t="inlineStr">
        <is>
          <t>2720594</t>
        </is>
      </c>
      <c r="E752" t="inlineStr"/>
      <c r="F752" t="inlineStr">
        <is>
          <t>2025-08-04</t>
        </is>
      </c>
      <c r="G752" t="inlineStr"/>
      <c r="H752" t="inlineStr">
        <is>
          <t>cus_53be4ec64b37</t>
        </is>
      </c>
      <c r="I752" t="inlineStr">
        <is>
          <t>功典資訊股份有限公司</t>
        </is>
      </c>
      <c r="J752" t="inlineStr">
        <is>
          <t>16750252</t>
        </is>
      </c>
      <c r="K752" t="n">
        <v>45000</v>
      </c>
      <c r="L752" t="n">
        <v>47250</v>
      </c>
      <c r="M752" t="inlineStr">
        <is>
          <t>專案POC</t>
        </is>
      </c>
      <c r="N752" t="inlineStr">
        <is>
          <t>施茗方Megan Shih</t>
        </is>
      </c>
      <c r="O752" t="inlineStr">
        <is>
          <t>23142 新北市新店區建國路276號3樓</t>
        </is>
      </c>
      <c r="P752" t="inlineStr">
        <is>
          <t>SalesGroup@migocorp.com</t>
        </is>
      </c>
      <c r="Q752" t="inlineStr">
        <is>
          <t>02-89115385 #8866</t>
        </is>
      </c>
      <c r="R752" t="inlineStr"/>
      <c r="S752" t="inlineStr">
        <is>
          <t>已收款</t>
        </is>
      </c>
      <c r="T752" t="inlineStr">
        <is>
          <t>migo
來源：單次型發票及收款紀錄 第 271 列</t>
        </is>
      </c>
      <c r="U752" t="inlineStr"/>
      <c r="V752" t="inlineStr">
        <is>
          <t>2026-05-18</t>
        </is>
      </c>
    </row>
    <row r="753">
      <c r="A753" t="inlineStr">
        <is>
          <t>inv_06fcc0586ff5</t>
        </is>
      </c>
      <c r="B753" t="inlineStr">
        <is>
          <t>Kate</t>
        </is>
      </c>
      <c r="C753" t="inlineStr">
        <is>
          <t>2025-12-31</t>
        </is>
      </c>
      <c r="D753" t="inlineStr">
        <is>
          <t>2793689</t>
        </is>
      </c>
      <c r="E753" t="inlineStr"/>
      <c r="F753" t="inlineStr">
        <is>
          <t>2025-10-03</t>
        </is>
      </c>
      <c r="G753" t="inlineStr"/>
      <c r="H753" t="inlineStr">
        <is>
          <t>cus_53be4ec64b37</t>
        </is>
      </c>
      <c r="I753" t="inlineStr">
        <is>
          <t>功典資訊股份有限公司</t>
        </is>
      </c>
      <c r="J753" t="inlineStr">
        <is>
          <t>16750252</t>
        </is>
      </c>
      <c r="K753" t="n">
        <v>52000</v>
      </c>
      <c r="L753" t="n">
        <v>54600</v>
      </c>
      <c r="M753" t="inlineStr">
        <is>
          <t>發票數據受眾包</t>
        </is>
      </c>
      <c r="N753" t="inlineStr">
        <is>
          <t>施茗方Megan Shih</t>
        </is>
      </c>
      <c r="O753" t="inlineStr">
        <is>
          <t>23142 新北市新店區建國路276號3樓</t>
        </is>
      </c>
      <c r="P753" t="inlineStr">
        <is>
          <t>SalesGroup@migocorp.com</t>
        </is>
      </c>
      <c r="Q753" t="inlineStr">
        <is>
          <t>02-89115385 #8866</t>
        </is>
      </c>
      <c r="R753" t="inlineStr"/>
      <c r="S753" t="inlineStr">
        <is>
          <t>已收款</t>
        </is>
      </c>
      <c r="T753" t="inlineStr">
        <is>
          <t>migo
來源：單次型發票及收款紀錄 第 272 列</t>
        </is>
      </c>
      <c r="U753" t="inlineStr"/>
      <c r="V753" t="inlineStr">
        <is>
          <t>2026-05-18</t>
        </is>
      </c>
    </row>
    <row r="754">
      <c r="A754" t="inlineStr">
        <is>
          <t>inv_a0b4509e95a6</t>
        </is>
      </c>
      <c r="B754" t="inlineStr">
        <is>
          <t>Cobi</t>
        </is>
      </c>
      <c r="C754" t="inlineStr">
        <is>
          <t>2024-12-31</t>
        </is>
      </c>
      <c r="D754" t="inlineStr">
        <is>
          <t>2426314</t>
        </is>
      </c>
      <c r="E754" t="inlineStr"/>
      <c r="F754" t="inlineStr">
        <is>
          <t>2024-11-07</t>
        </is>
      </c>
      <c r="G754" t="inlineStr">
        <is>
          <t>HA03653201</t>
        </is>
      </c>
      <c r="H754" t="inlineStr">
        <is>
          <t>cus_398d7208bbd0</t>
        </is>
      </c>
      <c r="I754" t="inlineStr">
        <is>
          <t>創市際市場研究顧問股份有限公司</t>
        </is>
      </c>
      <c r="J754" t="inlineStr">
        <is>
          <t>80184521</t>
        </is>
      </c>
      <c r="K754" t="n">
        <v>100000</v>
      </c>
      <c r="L754" t="n">
        <v>105000</v>
      </c>
      <c r="M754" t="inlineStr">
        <is>
          <t>問券調查服務</t>
        </is>
      </c>
      <c r="N754" t="inlineStr">
        <is>
          <t>Noel Hu</t>
        </is>
      </c>
      <c r="O754" t="inlineStr">
        <is>
          <t>台北市大安區和平東路一段177號5樓之6</t>
        </is>
      </c>
      <c r="P754" t="inlineStr">
        <is>
          <t>noel.hu@ixresearch.com</t>
        </is>
      </c>
      <c r="Q754" t="inlineStr">
        <is>
          <t>02-33222882</t>
        </is>
      </c>
      <c r="R754" t="inlineStr"/>
      <c r="S754" t="inlineStr">
        <is>
          <t>已收款</t>
        </is>
      </c>
      <c r="T754" t="inlineStr">
        <is>
          <t>來源：單次型發票及收款紀錄 第 273 列</t>
        </is>
      </c>
      <c r="U754" t="inlineStr">
        <is>
          <t>收到發票隔月起30天</t>
        </is>
      </c>
      <c r="V754" t="inlineStr">
        <is>
          <t>2026-05-18</t>
        </is>
      </c>
    </row>
    <row r="755">
      <c r="A755" t="inlineStr">
        <is>
          <t>inv_ded1fd4e0a66</t>
        </is>
      </c>
      <c r="B755" t="inlineStr">
        <is>
          <t>Cobi</t>
        </is>
      </c>
      <c r="C755" t="inlineStr">
        <is>
          <t>2025-07-31</t>
        </is>
      </c>
      <c r="D755" t="inlineStr">
        <is>
          <t>2694009</t>
        </is>
      </c>
      <c r="E755" t="inlineStr"/>
      <c r="F755" t="inlineStr">
        <is>
          <t>2025-07-11</t>
        </is>
      </c>
      <c r="G755" t="inlineStr"/>
      <c r="H755" t="inlineStr">
        <is>
          <t>cus_398d7208bbd0</t>
        </is>
      </c>
      <c r="I755" t="inlineStr">
        <is>
          <t>創市際市場研究顧問股份有限公司</t>
        </is>
      </c>
      <c r="J755" t="inlineStr">
        <is>
          <t>80184521</t>
        </is>
      </c>
      <c r="K755" t="n">
        <v>3100</v>
      </c>
      <c r="L755" t="n">
        <v>3255</v>
      </c>
      <c r="M755" t="inlineStr">
        <is>
          <t>問券調查服務</t>
        </is>
      </c>
      <c r="N755" t="inlineStr">
        <is>
          <t>Birdie Peng</t>
        </is>
      </c>
      <c r="O755" t="inlineStr">
        <is>
          <t>台北市大安區和平東路一段177號5樓之6</t>
        </is>
      </c>
      <c r="P755" t="inlineStr">
        <is>
          <t>birdie.peng@ixresearch.com</t>
        </is>
      </c>
      <c r="Q755" t="inlineStr">
        <is>
          <t>02-33222882</t>
        </is>
      </c>
      <c r="R755" t="inlineStr"/>
      <c r="S755" t="inlineStr">
        <is>
          <t>已收款</t>
        </is>
      </c>
      <c r="T755" t="inlineStr">
        <is>
          <t>來源：單次型發票及收款紀錄 第 274 列</t>
        </is>
      </c>
      <c r="U755" t="inlineStr">
        <is>
          <t>收到發票隔月起30天</t>
        </is>
      </c>
      <c r="V755" t="inlineStr">
        <is>
          <t>2026-05-18</t>
        </is>
      </c>
    </row>
    <row r="756">
      <c r="A756" t="inlineStr">
        <is>
          <t>inv_e0c220ef4a05</t>
        </is>
      </c>
      <c r="B756" t="inlineStr">
        <is>
          <t>Cobi</t>
        </is>
      </c>
      <c r="C756" t="inlineStr"/>
      <c r="D756" t="inlineStr">
        <is>
          <t>2394028</t>
        </is>
      </c>
      <c r="E756" t="inlineStr"/>
      <c r="F756" t="inlineStr">
        <is>
          <t>10/8 發票作廢</t>
        </is>
      </c>
      <c r="G756" t="inlineStr">
        <is>
          <t>FB03680871</t>
        </is>
      </c>
      <c r="H756" t="inlineStr">
        <is>
          <t>cus_398d7208bbd0</t>
        </is>
      </c>
      <c r="I756" t="inlineStr">
        <is>
          <t>創市際市場研究顧問股份有限公司</t>
        </is>
      </c>
      <c r="J756" t="inlineStr">
        <is>
          <t>80184521</t>
        </is>
      </c>
      <c r="K756" t="n">
        <v>100000</v>
      </c>
      <c r="L756" t="n">
        <v>105000</v>
      </c>
      <c r="M756" t="inlineStr">
        <is>
          <t>問券調查服務</t>
        </is>
      </c>
      <c r="N756" t="inlineStr">
        <is>
          <t>Noel Hu</t>
        </is>
      </c>
      <c r="O756" t="inlineStr">
        <is>
          <t>台北市大安區和平東路一段177號5樓之6</t>
        </is>
      </c>
      <c r="P756" t="inlineStr">
        <is>
          <t>noel.hu@ixresearch.com</t>
        </is>
      </c>
      <c r="Q756" t="inlineStr">
        <is>
          <t>02-33222882</t>
        </is>
      </c>
      <c r="R756" t="inlineStr"/>
      <c r="S756" t="inlineStr">
        <is>
          <t>未收款</t>
        </is>
      </c>
      <c r="T756" t="inlineStr">
        <is>
          <t>來源：單次型發票及收款紀錄 第 275 列</t>
        </is>
      </c>
      <c r="U756" t="inlineStr">
        <is>
          <t>收到發票隔月起30天</t>
        </is>
      </c>
      <c r="V756" t="inlineStr">
        <is>
          <t>2026-05-18</t>
        </is>
      </c>
    </row>
    <row r="757">
      <c r="A757" t="inlineStr">
        <is>
          <t>inv_556756c65ff5</t>
        </is>
      </c>
      <c r="B757" t="inlineStr">
        <is>
          <t>Cobi</t>
        </is>
      </c>
      <c r="C757" t="inlineStr">
        <is>
          <t>2025-07-07</t>
        </is>
      </c>
      <c r="D757" t="inlineStr">
        <is>
          <t>2620516</t>
        </is>
      </c>
      <c r="E757" t="inlineStr"/>
      <c r="F757" t="inlineStr">
        <is>
          <t>2025-05-10</t>
        </is>
      </c>
      <c r="G757" t="inlineStr">
        <is>
          <t>NY43830507</t>
        </is>
      </c>
      <c r="H757" t="inlineStr">
        <is>
          <t>cus_3816722e3e66</t>
        </is>
      </c>
      <c r="I757" t="inlineStr">
        <is>
          <t>全聯實業股份有限公司</t>
        </is>
      </c>
      <c r="J757" t="inlineStr">
        <is>
          <t>16740494</t>
        </is>
      </c>
      <c r="K757" t="n">
        <v>144000</v>
      </c>
      <c r="L757" t="n">
        <v>151200</v>
      </c>
      <c r="M757" t="inlineStr">
        <is>
          <t>發票記帳本專案</t>
        </is>
      </c>
      <c r="N757" t="inlineStr">
        <is>
          <t>邱俊皓 Howard</t>
        </is>
      </c>
      <c r="O757" t="inlineStr">
        <is>
          <t>台北市中山區敬業四路33號4樓</t>
        </is>
      </c>
      <c r="P757" t="inlineStr">
        <is>
          <t>howard_chiu@pxmart.com.tw</t>
        </is>
      </c>
      <c r="Q757" t="inlineStr">
        <is>
          <t>02-2532-8000 ext. 1207</t>
        </is>
      </c>
      <c r="R757" t="inlineStr"/>
      <c r="S757" t="inlineStr">
        <is>
          <t>已收款</t>
        </is>
      </c>
      <c r="T757" t="inlineStr">
        <is>
          <t>記帳專案
來源：單次型發票及收款紀錄 第 276 列</t>
        </is>
      </c>
      <c r="U757" t="inlineStr">
        <is>
          <t>收到發票隔月60天</t>
        </is>
      </c>
      <c r="V757" t="inlineStr">
        <is>
          <t>2026-05-18</t>
        </is>
      </c>
    </row>
    <row r="758">
      <c r="A758" t="inlineStr">
        <is>
          <t>inv_763ff2ddeb2e</t>
        </is>
      </c>
      <c r="B758" t="inlineStr">
        <is>
          <t>Cobi</t>
        </is>
      </c>
      <c r="C758" t="inlineStr">
        <is>
          <t>2025-08-20</t>
        </is>
      </c>
      <c r="D758" t="inlineStr">
        <is>
          <t>2685260</t>
        </is>
      </c>
      <c r="E758" t="inlineStr"/>
      <c r="F758" t="inlineStr">
        <is>
          <t>2025-07-02</t>
        </is>
      </c>
      <c r="G758" t="inlineStr">
        <is>
          <t>QY43823798</t>
        </is>
      </c>
      <c r="H758" t="inlineStr">
        <is>
          <t>cus_3816722e3e66</t>
        </is>
      </c>
      <c r="I758" t="inlineStr">
        <is>
          <t>全聯實業股份有限公司</t>
        </is>
      </c>
      <c r="J758" t="inlineStr">
        <is>
          <t>16740494</t>
        </is>
      </c>
      <c r="K758" t="n">
        <v>0</v>
      </c>
      <c r="L758" t="n">
        <v>977760</v>
      </c>
      <c r="M758" t="inlineStr">
        <is>
          <t>發票記帳本專案</t>
        </is>
      </c>
      <c r="N758" t="inlineStr">
        <is>
          <t>邱俊皓 Howard</t>
        </is>
      </c>
      <c r="O758" t="inlineStr">
        <is>
          <t>台北市中山區敬業四路33號4樓</t>
        </is>
      </c>
      <c r="P758" t="inlineStr">
        <is>
          <t>howard_chiu@pxmart.com.tw</t>
        </is>
      </c>
      <c r="Q758" t="inlineStr">
        <is>
          <t>02-2532-8000 ext. 1207</t>
        </is>
      </c>
      <c r="R758" t="inlineStr"/>
      <c r="S758" t="inlineStr">
        <is>
          <t>已收款</t>
        </is>
      </c>
      <c r="T758" t="inlineStr">
        <is>
          <t>記帳專案
來源：單次型發票及收款紀錄 第 277 列</t>
        </is>
      </c>
      <c r="U758" t="inlineStr">
        <is>
          <t>收到發票隔月30號</t>
        </is>
      </c>
      <c r="V758" t="inlineStr">
        <is>
          <t>2026-05-18</t>
        </is>
      </c>
    </row>
    <row r="759">
      <c r="A759" t="inlineStr">
        <is>
          <t>inv_bdba37915f85</t>
        </is>
      </c>
      <c r="B759" t="inlineStr">
        <is>
          <t>Cobi</t>
        </is>
      </c>
      <c r="C759" t="inlineStr">
        <is>
          <t>2025-08-05</t>
        </is>
      </c>
      <c r="D759" t="inlineStr">
        <is>
          <t>2685261</t>
        </is>
      </c>
      <c r="E759" t="inlineStr"/>
      <c r="F759" t="inlineStr">
        <is>
          <t>2025-07-02</t>
        </is>
      </c>
      <c r="G759" t="inlineStr">
        <is>
          <t>QY43823799</t>
        </is>
      </c>
      <c r="H759" t="inlineStr">
        <is>
          <t>cus_3816722e3e66</t>
        </is>
      </c>
      <c r="I759" t="inlineStr">
        <is>
          <t>全聯實業股份有限公司</t>
        </is>
      </c>
      <c r="J759" t="inlineStr">
        <is>
          <t>16740494</t>
        </is>
      </c>
      <c r="K759" t="n">
        <v>0</v>
      </c>
      <c r="L759" t="n">
        <v>201600</v>
      </c>
      <c r="M759" t="inlineStr">
        <is>
          <t>發票記帳本專案</t>
        </is>
      </c>
      <c r="N759" t="inlineStr">
        <is>
          <t>邱俊皓 Howard</t>
        </is>
      </c>
      <c r="O759" t="inlineStr">
        <is>
          <t>台北市中山區敬業四路33號4樓</t>
        </is>
      </c>
      <c r="P759" t="inlineStr">
        <is>
          <t>howard_chiu@pxmart.com.tw</t>
        </is>
      </c>
      <c r="Q759" t="inlineStr">
        <is>
          <t>02-2532-8000 ext. 1207</t>
        </is>
      </c>
      <c r="R759" t="inlineStr"/>
      <c r="S759" t="inlineStr">
        <is>
          <t>已收款</t>
        </is>
      </c>
      <c r="T759" t="inlineStr">
        <is>
          <t>記帳專案
來源：單次型發票及收款紀錄 第 278 列</t>
        </is>
      </c>
      <c r="U759" t="inlineStr">
        <is>
          <t>收到發票隔月30號</t>
        </is>
      </c>
      <c r="V759" t="inlineStr">
        <is>
          <t>2026-05-18</t>
        </is>
      </c>
    </row>
    <row r="760">
      <c r="A760" t="inlineStr">
        <is>
          <t>inv_c9c556712bd2</t>
        </is>
      </c>
      <c r="B760" t="inlineStr">
        <is>
          <t>Cobi</t>
        </is>
      </c>
      <c r="C760" t="inlineStr">
        <is>
          <t>2025-12-22</t>
        </is>
      </c>
      <c r="D760" t="inlineStr">
        <is>
          <t>2720597</t>
        </is>
      </c>
      <c r="E760" t="inlineStr"/>
      <c r="F760" t="inlineStr">
        <is>
          <t>2025-08-04</t>
        </is>
      </c>
      <c r="G760" t="inlineStr"/>
      <c r="H760" t="inlineStr">
        <is>
          <t>cus_3816722e3e66</t>
        </is>
      </c>
      <c r="I760" t="inlineStr">
        <is>
          <t>全聯實業股份有限公司</t>
        </is>
      </c>
      <c r="J760" t="inlineStr">
        <is>
          <t>16740494</t>
        </is>
      </c>
      <c r="K760" t="n">
        <v>0</v>
      </c>
      <c r="L760" t="n">
        <v>733320</v>
      </c>
      <c r="M760" t="inlineStr">
        <is>
          <t>發票記帳本專案</t>
        </is>
      </c>
      <c r="N760" t="inlineStr">
        <is>
          <t>邱俊皓 Howard</t>
        </is>
      </c>
      <c r="O760" t="inlineStr">
        <is>
          <t>台北市中山區敬業四路33號4樓</t>
        </is>
      </c>
      <c r="P760" t="inlineStr">
        <is>
          <t>howard_chiu@pxmart.com.tw</t>
        </is>
      </c>
      <c r="Q760" t="inlineStr">
        <is>
          <t>02-2532-8000 ext. 1207</t>
        </is>
      </c>
      <c r="R760" t="inlineStr"/>
      <c r="S760" t="inlineStr">
        <is>
          <t>已收款</t>
        </is>
      </c>
      <c r="T760" t="inlineStr">
        <is>
          <t>發票記帳開發-第三期
來源：單次型發票及收款紀錄 第 279 列</t>
        </is>
      </c>
      <c r="U760" t="inlineStr">
        <is>
          <t>收到發票隔月30號</t>
        </is>
      </c>
      <c r="V760" t="inlineStr">
        <is>
          <t>2026-05-18</t>
        </is>
      </c>
    </row>
    <row r="761">
      <c r="A761" t="inlineStr">
        <is>
          <t>inv_9483f007e2ef</t>
        </is>
      </c>
      <c r="B761" t="inlineStr">
        <is>
          <t>Cobi</t>
        </is>
      </c>
      <c r="C761" t="inlineStr">
        <is>
          <t>*****</t>
        </is>
      </c>
      <c r="D761" t="inlineStr">
        <is>
          <t>2670143</t>
        </is>
      </c>
      <c r="E761" t="inlineStr"/>
      <c r="F761" t="inlineStr">
        <is>
          <t>2025-06-20</t>
        </is>
      </c>
      <c r="G761" t="inlineStr">
        <is>
          <t>NY43873399(7/2折讓重開2筆)</t>
        </is>
      </c>
      <c r="H761" t="inlineStr">
        <is>
          <t>cus_3816722e3e66</t>
        </is>
      </c>
      <c r="I761" t="inlineStr">
        <is>
          <t>全聯實業股份有限公司</t>
        </is>
      </c>
      <c r="J761" t="inlineStr">
        <is>
          <t>16740494</t>
        </is>
      </c>
      <c r="K761" t="n">
        <v>0</v>
      </c>
      <c r="L761" t="n">
        <v>1179360</v>
      </c>
      <c r="M761" t="inlineStr">
        <is>
          <t>發票記帳本專案</t>
        </is>
      </c>
      <c r="N761" t="inlineStr">
        <is>
          <t>邱俊皓 Howard</t>
        </is>
      </c>
      <c r="O761" t="inlineStr">
        <is>
          <t>台北市中山區敬業四路33號4樓</t>
        </is>
      </c>
      <c r="P761" t="inlineStr">
        <is>
          <t>howard_chiu@pxmart.com.tw</t>
        </is>
      </c>
      <c r="Q761" t="inlineStr">
        <is>
          <t>02-2532-8000 ext. 1207</t>
        </is>
      </c>
      <c r="R761" t="inlineStr"/>
      <c r="S761" t="inlineStr">
        <is>
          <t>已收款</t>
        </is>
      </c>
      <c r="T761" t="inlineStr">
        <is>
          <t>記帳專案
來源：單次型發票及收款紀錄 第 280 列</t>
        </is>
      </c>
      <c r="U761" t="inlineStr">
        <is>
          <t>收到發票隔月30號</t>
        </is>
      </c>
      <c r="V761" t="inlineStr">
        <is>
          <t>2026-05-18</t>
        </is>
      </c>
    </row>
    <row r="762">
      <c r="A762" t="inlineStr">
        <is>
          <t>inv_448d6c9e7cd7</t>
        </is>
      </c>
      <c r="B762" t="inlineStr">
        <is>
          <t>Cobi</t>
        </is>
      </c>
      <c r="C762" t="inlineStr">
        <is>
          <t>2025-12-22</t>
        </is>
      </c>
      <c r="D762" t="inlineStr">
        <is>
          <t>2720599</t>
        </is>
      </c>
      <c r="E762" t="inlineStr"/>
      <c r="F762" t="inlineStr">
        <is>
          <t>2025-08-04</t>
        </is>
      </c>
      <c r="G762" t="inlineStr"/>
      <c r="H762" t="inlineStr">
        <is>
          <t>cus_3816722e3e66</t>
        </is>
      </c>
      <c r="I762" t="inlineStr">
        <is>
          <t>全聯實業股份有限公司</t>
        </is>
      </c>
      <c r="J762" t="inlineStr">
        <is>
          <t>16740494</t>
        </is>
      </c>
      <c r="K762" t="n">
        <v>0</v>
      </c>
      <c r="L762" t="n">
        <v>151200</v>
      </c>
      <c r="M762" t="inlineStr">
        <is>
          <t>發票記帳本專案</t>
        </is>
      </c>
      <c r="N762" t="inlineStr">
        <is>
          <t>邱俊皓 Howard</t>
        </is>
      </c>
      <c r="O762" t="inlineStr">
        <is>
          <t>台北市中山區敬業四路33號4樓</t>
        </is>
      </c>
      <c r="P762" t="inlineStr">
        <is>
          <t>howard_chiu@pxmart.com.tw</t>
        </is>
      </c>
      <c r="Q762" t="inlineStr">
        <is>
          <t>02-2532-8000 ext. 1207</t>
        </is>
      </c>
      <c r="R762" t="inlineStr"/>
      <c r="S762" t="inlineStr">
        <is>
          <t>已收款</t>
        </is>
      </c>
      <c r="T762" t="inlineStr">
        <is>
          <t>資料庫開發-第三期
來源：單次型發票及收款紀錄 第 281 列</t>
        </is>
      </c>
      <c r="U762" t="inlineStr">
        <is>
          <t>收到發票隔月30號</t>
        </is>
      </c>
      <c r="V762" t="inlineStr">
        <is>
          <t>2026-05-18</t>
        </is>
      </c>
    </row>
    <row r="763">
      <c r="A763" t="inlineStr">
        <is>
          <t>inv_66b18c1a81b8</t>
        </is>
      </c>
      <c r="B763" t="inlineStr">
        <is>
          <t>Cobi</t>
        </is>
      </c>
      <c r="C763" t="inlineStr">
        <is>
          <t>2025-10-07</t>
        </is>
      </c>
      <c r="D763" t="inlineStr">
        <is>
          <t>2720600</t>
        </is>
      </c>
      <c r="E763" t="inlineStr"/>
      <c r="F763" t="inlineStr">
        <is>
          <t>2025-08-04</t>
        </is>
      </c>
      <c r="G763" t="inlineStr"/>
      <c r="H763" t="inlineStr">
        <is>
          <t>cus_3816722e3e66</t>
        </is>
      </c>
      <c r="I763" t="inlineStr">
        <is>
          <t>全聯實業股份有限公司</t>
        </is>
      </c>
      <c r="J763" t="inlineStr">
        <is>
          <t>16740494</t>
        </is>
      </c>
      <c r="K763" t="n">
        <v>0</v>
      </c>
      <c r="L763" t="n">
        <v>86100</v>
      </c>
      <c r="M763" t="inlineStr">
        <is>
          <t>發票記帳本專案</t>
        </is>
      </c>
      <c r="N763" t="inlineStr">
        <is>
          <t>邱俊皓 Howard</t>
        </is>
      </c>
      <c r="O763" t="inlineStr">
        <is>
          <t>台北市中山區敬業四路33號4樓</t>
        </is>
      </c>
      <c r="P763" t="inlineStr">
        <is>
          <t>howard_chiu@pxmart.com.tw</t>
        </is>
      </c>
      <c r="Q763" t="inlineStr">
        <is>
          <t>02-2532-8000 ext. 1207</t>
        </is>
      </c>
      <c r="R763" t="inlineStr"/>
      <c r="S763" t="inlineStr">
        <is>
          <t>已收款</t>
        </is>
      </c>
      <c r="T763" t="inlineStr">
        <is>
          <t>資料庫維護
來源：單次型發票及收款紀錄 第 282 列</t>
        </is>
      </c>
      <c r="U763" t="inlineStr">
        <is>
          <t>收到發票隔月30號</t>
        </is>
      </c>
      <c r="V763" t="inlineStr">
        <is>
          <t>2026-05-18</t>
        </is>
      </c>
    </row>
    <row r="764">
      <c r="A764" t="inlineStr">
        <is>
          <t>inv_1ae670a4c005</t>
        </is>
      </c>
      <c r="B764" t="inlineStr">
        <is>
          <t>Cobi</t>
        </is>
      </c>
      <c r="C764" t="inlineStr">
        <is>
          <t>2025-10-07</t>
        </is>
      </c>
      <c r="D764" t="inlineStr">
        <is>
          <t>2751683</t>
        </is>
      </c>
      <c r="E764" t="inlineStr"/>
      <c r="F764" t="inlineStr">
        <is>
          <t>2025-08-28</t>
        </is>
      </c>
      <c r="G764" t="inlineStr"/>
      <c r="H764" t="inlineStr">
        <is>
          <t>cus_3816722e3e66</t>
        </is>
      </c>
      <c r="I764" t="inlineStr">
        <is>
          <t>全聯實業股份有限公司</t>
        </is>
      </c>
      <c r="J764" t="inlineStr">
        <is>
          <t>16740494</t>
        </is>
      </c>
      <c r="K764" t="n">
        <v>0</v>
      </c>
      <c r="L764" t="n">
        <v>50400</v>
      </c>
      <c r="M764" t="inlineStr">
        <is>
          <t>發票記帳本專案</t>
        </is>
      </c>
      <c r="N764" t="inlineStr">
        <is>
          <t>邱俊皓 Howard</t>
        </is>
      </c>
      <c r="O764" t="inlineStr">
        <is>
          <t>台北市中山區敬業四路33號4樓</t>
        </is>
      </c>
      <c r="P764" t="inlineStr">
        <is>
          <t>howard_chiu@pxmart.com.tw</t>
        </is>
      </c>
      <c r="Q764" t="inlineStr">
        <is>
          <t>02-2532-8000 ext. 1207</t>
        </is>
      </c>
      <c r="R764" t="inlineStr"/>
      <c r="S764" t="inlineStr">
        <is>
          <t>已收款</t>
        </is>
      </c>
      <c r="T764" t="inlineStr">
        <is>
          <t>前端介面功能開發
來源：單次型發票及收款紀錄 第 283 列</t>
        </is>
      </c>
      <c r="U764" t="inlineStr">
        <is>
          <t>收到發票隔月30號</t>
        </is>
      </c>
      <c r="V764" t="inlineStr">
        <is>
          <t>2026-05-18</t>
        </is>
      </c>
    </row>
    <row r="765">
      <c r="A765" t="inlineStr">
        <is>
          <t>inv_1c5e2d9f5e61</t>
        </is>
      </c>
      <c r="B765" t="inlineStr">
        <is>
          <t>Cobi</t>
        </is>
      </c>
      <c r="C765" t="inlineStr">
        <is>
          <t>2025-10-20</t>
        </is>
      </c>
      <c r="D765" t="inlineStr">
        <is>
          <t>2761803</t>
        </is>
      </c>
      <c r="E765" t="inlineStr"/>
      <c r="F765" t="inlineStr">
        <is>
          <t>2025-09-05</t>
        </is>
      </c>
      <c r="G765" t="inlineStr"/>
      <c r="H765" t="inlineStr">
        <is>
          <t>cus_3816722e3e66</t>
        </is>
      </c>
      <c r="I765" t="inlineStr">
        <is>
          <t>全聯實業股份有限公司</t>
        </is>
      </c>
      <c r="J765" t="inlineStr">
        <is>
          <t>16740494</t>
        </is>
      </c>
      <c r="K765" t="n">
        <v>90000</v>
      </c>
      <c r="L765" t="n">
        <v>94500</v>
      </c>
      <c r="M765" t="inlineStr">
        <is>
          <t>發票記帳本專案</t>
        </is>
      </c>
      <c r="N765" t="inlineStr">
        <is>
          <t>邱俊皓 Howard</t>
        </is>
      </c>
      <c r="O765" t="inlineStr">
        <is>
          <t>台北市中山區敬業四路33號4樓</t>
        </is>
      </c>
      <c r="P765" t="inlineStr">
        <is>
          <t>howard_chiu@pxmart.com.tw</t>
        </is>
      </c>
      <c r="Q765" t="inlineStr">
        <is>
          <t>02-2532-8000 ext. 1207</t>
        </is>
      </c>
      <c r="R765" t="inlineStr"/>
      <c r="S765" t="inlineStr">
        <is>
          <t>已收款</t>
        </is>
      </c>
      <c r="T765" t="inlineStr">
        <is>
          <t>8月雲端記帳API租用
來源：單次型發票及收款紀錄 第 284 列</t>
        </is>
      </c>
      <c r="U765" t="inlineStr">
        <is>
          <t>收到發票隔月30號</t>
        </is>
      </c>
      <c r="V765" t="inlineStr">
        <is>
          <t>2026-05-18</t>
        </is>
      </c>
    </row>
    <row r="766">
      <c r="A766" t="inlineStr">
        <is>
          <t>inv_dfcf5bb6b984</t>
        </is>
      </c>
      <c r="B766" t="inlineStr">
        <is>
          <t>Cobi</t>
        </is>
      </c>
      <c r="C766" t="inlineStr">
        <is>
          <t>2025-10-20</t>
        </is>
      </c>
      <c r="D766" t="inlineStr">
        <is>
          <t>2761804</t>
        </is>
      </c>
      <c r="E766" t="inlineStr"/>
      <c r="F766" t="inlineStr">
        <is>
          <t>2025-09-05</t>
        </is>
      </c>
      <c r="G766" t="inlineStr"/>
      <c r="H766" t="inlineStr">
        <is>
          <t>cus_3816722e3e66</t>
        </is>
      </c>
      <c r="I766" t="inlineStr">
        <is>
          <t>全聯實業股份有限公司</t>
        </is>
      </c>
      <c r="J766" t="inlineStr">
        <is>
          <t>16740494</t>
        </is>
      </c>
      <c r="K766" t="n">
        <v>0</v>
      </c>
      <c r="L766" t="n">
        <v>86100</v>
      </c>
      <c r="M766" t="inlineStr">
        <is>
          <t>發票記帳本專案</t>
        </is>
      </c>
      <c r="N766" t="inlineStr">
        <is>
          <t>邱俊皓 Howard</t>
        </is>
      </c>
      <c r="O766" t="inlineStr">
        <is>
          <t>台北市中山區敬業四路33號4樓</t>
        </is>
      </c>
      <c r="P766" t="inlineStr">
        <is>
          <t>howard_chiu@pxmart.com.tw</t>
        </is>
      </c>
      <c r="Q766" t="inlineStr">
        <is>
          <t>02-2532-8000 ext. 1207</t>
        </is>
      </c>
      <c r="R766" t="inlineStr"/>
      <c r="S766" t="inlineStr">
        <is>
          <t>已收款</t>
        </is>
      </c>
      <c r="T766" t="inlineStr">
        <is>
          <t>資料庫維護
來源：單次型發票及收款紀錄 第 285 列</t>
        </is>
      </c>
      <c r="U766" t="inlineStr">
        <is>
          <t>收到發票隔月30號</t>
        </is>
      </c>
      <c r="V766" t="inlineStr">
        <is>
          <t>2026-05-18</t>
        </is>
      </c>
    </row>
    <row r="767">
      <c r="A767" t="inlineStr">
        <is>
          <t>inv_22e9113d1f5b</t>
        </is>
      </c>
      <c r="B767" t="inlineStr">
        <is>
          <t>Cobi</t>
        </is>
      </c>
      <c r="C767" t="inlineStr">
        <is>
          <t>2025-11-20</t>
        </is>
      </c>
      <c r="D767" t="inlineStr">
        <is>
          <t>2793687</t>
        </is>
      </c>
      <c r="E767" t="inlineStr"/>
      <c r="F767" t="inlineStr">
        <is>
          <t>2025-10-03</t>
        </is>
      </c>
      <c r="G767" t="inlineStr"/>
      <c r="H767" t="inlineStr">
        <is>
          <t>cus_3816722e3e66</t>
        </is>
      </c>
      <c r="I767" t="inlineStr">
        <is>
          <t>全聯實業股份有限公司</t>
        </is>
      </c>
      <c r="J767" t="inlineStr">
        <is>
          <t>16740494</t>
        </is>
      </c>
      <c r="K767" t="n">
        <v>0</v>
      </c>
      <c r="L767" t="n">
        <v>94500</v>
      </c>
      <c r="M767" t="inlineStr">
        <is>
          <t>發票記帳本專案</t>
        </is>
      </c>
      <c r="N767" t="inlineStr">
        <is>
          <t>邱俊皓 Howard</t>
        </is>
      </c>
      <c r="O767" t="inlineStr">
        <is>
          <t>台北市中山區敬業四路33號4樓</t>
        </is>
      </c>
      <c r="P767" t="inlineStr">
        <is>
          <t>howard_chiu@pxmart.com.tw</t>
        </is>
      </c>
      <c r="Q767" t="inlineStr">
        <is>
          <t>02-2532-8000 ext. 1207</t>
        </is>
      </c>
      <c r="R767" t="inlineStr"/>
      <c r="S767" t="inlineStr">
        <is>
          <t>已收款</t>
        </is>
      </c>
      <c r="T767" t="inlineStr">
        <is>
          <t>雲端記帳API租用
來源：單次型發票及收款紀錄 第 286 列</t>
        </is>
      </c>
      <c r="U767" t="inlineStr">
        <is>
          <t>收到發票隔月30號</t>
        </is>
      </c>
      <c r="V767" t="inlineStr">
        <is>
          <t>2026-05-18</t>
        </is>
      </c>
    </row>
    <row r="768">
      <c r="A768" t="inlineStr">
        <is>
          <t>inv_3f609c797b9d</t>
        </is>
      </c>
      <c r="B768" t="inlineStr">
        <is>
          <t>Cobi</t>
        </is>
      </c>
      <c r="C768" t="inlineStr">
        <is>
          <t>2025-11-20</t>
        </is>
      </c>
      <c r="D768" t="inlineStr">
        <is>
          <t>2793688</t>
        </is>
      </c>
      <c r="E768" t="inlineStr"/>
      <c r="F768" t="inlineStr">
        <is>
          <t>2025-10-03</t>
        </is>
      </c>
      <c r="G768" t="inlineStr"/>
      <c r="H768" t="inlineStr">
        <is>
          <t>cus_3816722e3e66</t>
        </is>
      </c>
      <c r="I768" t="inlineStr">
        <is>
          <t>全聯實業股份有限公司</t>
        </is>
      </c>
      <c r="J768" t="inlineStr">
        <is>
          <t>16740494</t>
        </is>
      </c>
      <c r="K768" t="n">
        <v>0</v>
      </c>
      <c r="L768" t="n">
        <v>86100</v>
      </c>
      <c r="M768" t="inlineStr">
        <is>
          <t>發票記帳本專案</t>
        </is>
      </c>
      <c r="N768" t="inlineStr">
        <is>
          <t>邱俊皓 Howard</t>
        </is>
      </c>
      <c r="O768" t="inlineStr">
        <is>
          <t>台北市中山區敬業四路33號4樓</t>
        </is>
      </c>
      <c r="P768" t="inlineStr">
        <is>
          <t>howard_chiu@pxmart.com.tw</t>
        </is>
      </c>
      <c r="Q768" t="inlineStr">
        <is>
          <t>02-2532-8000 ext. 1207</t>
        </is>
      </c>
      <c r="R768" t="inlineStr"/>
      <c r="S768" t="inlineStr">
        <is>
          <t>已收款</t>
        </is>
      </c>
      <c r="T768" t="inlineStr">
        <is>
          <t>資料庫維護
來源：單次型發票及收款紀錄 第 287 列</t>
        </is>
      </c>
      <c r="U768" t="inlineStr">
        <is>
          <t>收到發票隔月30號</t>
        </is>
      </c>
      <c r="V768" t="inlineStr">
        <is>
          <t>2026-05-18</t>
        </is>
      </c>
    </row>
    <row r="769">
      <c r="A769" t="inlineStr">
        <is>
          <t>inv_e2eddc3cfa50</t>
        </is>
      </c>
      <c r="B769" t="inlineStr">
        <is>
          <t>Erin</t>
        </is>
      </c>
      <c r="C769" t="inlineStr">
        <is>
          <t>2025-03-03</t>
        </is>
      </c>
      <c r="D769" t="inlineStr">
        <is>
          <t>2459599</t>
        </is>
      </c>
      <c r="E769" t="inlineStr"/>
      <c r="F769" t="inlineStr">
        <is>
          <t>2024-12-05</t>
        </is>
      </c>
      <c r="G769" t="inlineStr">
        <is>
          <t>HA03683237</t>
        </is>
      </c>
      <c r="H769" t="inlineStr">
        <is>
          <t>cus_8e2c1e861768</t>
        </is>
      </c>
      <c r="I769" t="inlineStr">
        <is>
          <t>優兔數位有限公司</t>
        </is>
      </c>
      <c r="J769" t="inlineStr">
        <is>
          <t>42993380</t>
        </is>
      </c>
      <c r="K769" t="n">
        <v>19000</v>
      </c>
      <c r="L769" t="n">
        <v>19950</v>
      </c>
      <c r="M769" t="inlineStr">
        <is>
          <t>發票數據受眾包</t>
        </is>
      </c>
      <c r="N769" t="inlineStr">
        <is>
          <t>鄭堂稜 Eva</t>
        </is>
      </c>
      <c r="O769" t="inlineStr">
        <is>
          <t>11077台北市信義區忠孝東路五段510號12號樓之3</t>
        </is>
      </c>
      <c r="P769" t="inlineStr">
        <is>
          <t>eva@jubbit.com.tw/kris@jubbit.com.tw</t>
        </is>
      </c>
      <c r="Q769" t="inlineStr">
        <is>
          <t>0963248711</t>
        </is>
      </c>
      <c r="R769" t="inlineStr"/>
      <c r="S769" t="inlineStr">
        <is>
          <t>已收款</t>
        </is>
      </c>
      <c r="T769" t="inlineStr">
        <is>
          <t>優兔
來源：單次型發票及收款紀錄 第 288 列</t>
        </is>
      </c>
      <c r="U769" t="inlineStr">
        <is>
          <t>收到發票隔月起60天</t>
        </is>
      </c>
      <c r="V769" t="inlineStr">
        <is>
          <t>2026-05-18</t>
        </is>
      </c>
    </row>
    <row r="770">
      <c r="A770" t="inlineStr">
        <is>
          <t>inv_48d6a84908a2</t>
        </is>
      </c>
      <c r="B770" t="inlineStr">
        <is>
          <t>劉泳成</t>
        </is>
      </c>
      <c r="C770" t="inlineStr">
        <is>
          <t>2025-02-17</t>
        </is>
      </c>
      <c r="D770" t="inlineStr">
        <is>
          <t>2474301</t>
        </is>
      </c>
      <c r="E770" t="inlineStr"/>
      <c r="F770" t="inlineStr">
        <is>
          <t>2024-12-19</t>
        </is>
      </c>
      <c r="G770" t="inlineStr">
        <is>
          <t>HA03697451</t>
        </is>
      </c>
      <c r="H770" t="inlineStr">
        <is>
          <t>cus_e47cc067a54d</t>
        </is>
      </c>
      <c r="I770" t="inlineStr">
        <is>
          <t>傑太日煙國際股份有限公司</t>
        </is>
      </c>
      <c r="J770" t="inlineStr">
        <is>
          <t>84308340</t>
        </is>
      </c>
      <c r="K770" t="n">
        <v>176000</v>
      </c>
      <c r="L770" t="n">
        <v>184800</v>
      </c>
      <c r="M770" t="inlineStr">
        <is>
          <t>數據統計與問卷</t>
        </is>
      </c>
      <c r="N770" t="inlineStr">
        <is>
          <t>ALLEN</t>
        </is>
      </c>
      <c r="O770" t="inlineStr">
        <is>
          <t>臺北市信義區松仁路32號7樓</t>
        </is>
      </c>
      <c r="P770" t="inlineStr">
        <is>
          <t>AllenYuChih.Chou@jti.com</t>
        </is>
      </c>
      <c r="Q770" t="inlineStr"/>
      <c r="R770" t="inlineStr"/>
      <c r="S770" t="inlineStr">
        <is>
          <t>已收款</t>
        </is>
      </c>
      <c r="T770" t="inlineStr">
        <is>
          <t>#PO:4700964055項目:Mevius LSS 5mg NPL Switching (e-invoice)
來源：單次型發票及收款紀錄 第 289 列</t>
        </is>
      </c>
      <c r="U770" t="inlineStr"/>
      <c r="V770" t="inlineStr">
        <is>
          <t>2026-05-18</t>
        </is>
      </c>
    </row>
    <row r="771">
      <c r="A771" t="inlineStr">
        <is>
          <t>inv_ef7c9603c6e2</t>
        </is>
      </c>
      <c r="B771" t="inlineStr">
        <is>
          <t>黃思睿</t>
        </is>
      </c>
      <c r="C771" t="inlineStr">
        <is>
          <t>2023-12-07</t>
        </is>
      </c>
      <c r="D771" t="inlineStr">
        <is>
          <t>1965206</t>
        </is>
      </c>
      <c r="E771" t="inlineStr">
        <is>
          <t>2023.11.08</t>
        </is>
      </c>
      <c r="F771" t="inlineStr">
        <is>
          <t>2023-11-08</t>
        </is>
      </c>
      <c r="G771" t="inlineStr">
        <is>
          <t>VC44723854</t>
        </is>
      </c>
      <c r="H771" t="inlineStr">
        <is>
          <t>cus_1133b1c53784</t>
        </is>
      </c>
      <c r="I771" t="inlineStr">
        <is>
          <t>仲信資融股份有限公司</t>
        </is>
      </c>
      <c r="J771" t="inlineStr">
        <is>
          <t>70774816</t>
        </is>
      </c>
      <c r="K771" t="n">
        <v>900</v>
      </c>
      <c r="L771" t="n">
        <v>945</v>
      </c>
      <c r="M771" t="inlineStr">
        <is>
          <t>廣告名單</t>
        </is>
      </c>
      <c r="N771" t="inlineStr">
        <is>
          <t>Tracy Chen</t>
        </is>
      </c>
      <c r="O771" t="inlineStr">
        <is>
          <t>114 台北市內湖區瑞光路362號5樓</t>
        </is>
      </c>
      <c r="P771" t="inlineStr">
        <is>
          <t>TzuYingChen@chailease.com.tw</t>
        </is>
      </c>
      <c r="Q771" t="inlineStr">
        <is>
          <t>02-87526388#76203</t>
        </is>
      </c>
      <c r="R771" t="inlineStr"/>
      <c r="S771" t="inlineStr">
        <is>
          <t>已收款</t>
        </is>
      </c>
      <c r="T771" t="inlineStr">
        <is>
          <t>中租
來源：單次型發票及收款紀錄 第 290 列</t>
        </is>
      </c>
      <c r="U771" t="inlineStr">
        <is>
          <t>收到發票隔月起30天</t>
        </is>
      </c>
      <c r="V771" t="inlineStr">
        <is>
          <t>2026-05-18</t>
        </is>
      </c>
    </row>
    <row r="772">
      <c r="A772" t="inlineStr">
        <is>
          <t>inv_593d9ad94f6b</t>
        </is>
      </c>
      <c r="B772" t="inlineStr">
        <is>
          <t>黃思睿</t>
        </is>
      </c>
      <c r="C772" t="inlineStr">
        <is>
          <t>2023-12-26</t>
        </is>
      </c>
      <c r="D772" t="inlineStr">
        <is>
          <t>2006294</t>
        </is>
      </c>
      <c r="E772" t="inlineStr">
        <is>
          <t>2023.12.08</t>
        </is>
      </c>
      <c r="F772" t="inlineStr">
        <is>
          <t>2023-12-08</t>
        </is>
      </c>
      <c r="G772" t="inlineStr">
        <is>
          <t>VC44762098</t>
        </is>
      </c>
      <c r="H772" t="inlineStr">
        <is>
          <t>cus_1133b1c53784</t>
        </is>
      </c>
      <c r="I772" t="inlineStr">
        <is>
          <t>仲信資融股份有限公司</t>
        </is>
      </c>
      <c r="J772" t="inlineStr">
        <is>
          <t>70774816</t>
        </is>
      </c>
      <c r="K772" t="n">
        <v>300</v>
      </c>
      <c r="L772" t="n">
        <v>315</v>
      </c>
      <c r="M772" t="inlineStr">
        <is>
          <t>廣告名單</t>
        </is>
      </c>
      <c r="N772" t="inlineStr">
        <is>
          <t>Tracy Chen</t>
        </is>
      </c>
      <c r="O772" t="inlineStr">
        <is>
          <t>114 台北市內湖區瑞光路362號5樓</t>
        </is>
      </c>
      <c r="P772" t="inlineStr">
        <is>
          <t>TzuYingChen@chailease.com.tw</t>
        </is>
      </c>
      <c r="Q772" t="inlineStr">
        <is>
          <t>02-87526388#76203</t>
        </is>
      </c>
      <c r="R772" t="inlineStr"/>
      <c r="S772" t="inlineStr">
        <is>
          <t>已收款</t>
        </is>
      </c>
      <c r="T772" t="inlineStr">
        <is>
          <t>中租
來源：單次型發票及收款紀錄 第 291 列</t>
        </is>
      </c>
      <c r="U772" t="inlineStr">
        <is>
          <t>收到發票隔月起30天</t>
        </is>
      </c>
      <c r="V772" t="inlineStr">
        <is>
          <t>2026-05-18</t>
        </is>
      </c>
    </row>
    <row r="773">
      <c r="A773" t="inlineStr">
        <is>
          <t>inv_d6a45955f85c</t>
        </is>
      </c>
      <c r="B773" t="inlineStr">
        <is>
          <t>Peggy</t>
        </is>
      </c>
      <c r="C773" t="inlineStr">
        <is>
          <t>2025-10-13</t>
        </is>
      </c>
      <c r="D773" t="inlineStr">
        <is>
          <t>2717912</t>
        </is>
      </c>
      <c r="E773" t="inlineStr"/>
      <c r="F773" t="inlineStr">
        <is>
          <t>2025-08-01</t>
        </is>
      </c>
      <c r="G773" t="inlineStr"/>
      <c r="H773" t="inlineStr">
        <is>
          <t>cus_add08fd38101</t>
        </is>
      </c>
      <c r="I773" t="inlineStr">
        <is>
          <t>享食尚股份有限公司</t>
        </is>
      </c>
      <c r="J773" t="inlineStr">
        <is>
          <t>94143380</t>
        </is>
      </c>
      <c r="K773" t="n">
        <v>60000</v>
      </c>
      <c r="L773" t="n">
        <v>63000</v>
      </c>
      <c r="M773" t="inlineStr">
        <is>
          <t>發票數據受眾包</t>
        </is>
      </c>
      <c r="N773" t="inlineStr">
        <is>
          <t>李佳螢 Irene</t>
        </is>
      </c>
      <c r="O773" t="inlineStr">
        <is>
          <t>台北市內湖區瑞光路478巷20號7樓</t>
        </is>
      </c>
      <c r="P773" t="inlineStr">
        <is>
          <t>irenelee@tvbs.com.tw</t>
        </is>
      </c>
      <c r="Q773" t="inlineStr">
        <is>
          <t>02-2162-8168 #86214</t>
        </is>
      </c>
      <c r="R773" t="inlineStr"/>
      <c r="S773" t="inlineStr">
        <is>
          <t>已收款</t>
        </is>
      </c>
      <c r="T773" t="inlineStr">
        <is>
          <t>享食尚
來源：單次型發票及收款紀錄 第 292 列</t>
        </is>
      </c>
      <c r="U773" t="inlineStr">
        <is>
          <t>月結60天
每月10、25日出帳</t>
        </is>
      </c>
      <c r="V773" t="inlineStr">
        <is>
          <t>2026-05-18</t>
        </is>
      </c>
    </row>
    <row r="774">
      <c r="A774" t="inlineStr">
        <is>
          <t>inv_180a3e24e267</t>
        </is>
      </c>
      <c r="B774" t="inlineStr">
        <is>
          <t>Kate</t>
        </is>
      </c>
      <c r="C774" t="inlineStr">
        <is>
          <t>2025-10-02</t>
        </is>
      </c>
      <c r="D774" t="inlineStr">
        <is>
          <t>2761798</t>
        </is>
      </c>
      <c r="E774" t="inlineStr"/>
      <c r="F774" t="inlineStr">
        <is>
          <t>2025-09-05</t>
        </is>
      </c>
      <c r="G774" t="inlineStr"/>
      <c r="H774" t="inlineStr">
        <is>
          <t>cus_7d5213d1db43</t>
        </is>
      </c>
      <c r="I774" t="inlineStr">
        <is>
          <t>亞瑟國際企業有限公司</t>
        </is>
      </c>
      <c r="J774" t="inlineStr">
        <is>
          <t>54013143</t>
        </is>
      </c>
      <c r="K774" t="n">
        <v>36000</v>
      </c>
      <c r="L774" t="n">
        <v>37800</v>
      </c>
      <c r="M774" t="inlineStr">
        <is>
          <t>發票數據受眾包</t>
        </is>
      </c>
      <c r="N774" t="inlineStr">
        <is>
          <t>陳韻婷</t>
        </is>
      </c>
      <c r="O774" t="inlineStr">
        <is>
          <t>新北市三重區新北大道二段252號7樓之2</t>
        </is>
      </c>
      <c r="P774" t="inlineStr">
        <is>
          <t>cynthia@arthur-intl.com</t>
        </is>
      </c>
      <c r="Q774" t="inlineStr">
        <is>
          <t>02-22782777#111</t>
        </is>
      </c>
      <c r="R774" t="inlineStr"/>
      <c r="S774" t="inlineStr">
        <is>
          <t>已收款</t>
        </is>
      </c>
      <c r="T774" t="inlineStr">
        <is>
          <t>亞瑟3C
來源：單次型發票及收款紀錄 第 293 列</t>
        </is>
      </c>
      <c r="U774" t="inlineStr">
        <is>
          <t>每個月10號付款日</t>
        </is>
      </c>
      <c r="V774" t="inlineStr">
        <is>
          <t>2026-05-18</t>
        </is>
      </c>
    </row>
    <row r="775">
      <c r="A775" t="inlineStr">
        <is>
          <t>inv_7d5c51ebc15e</t>
        </is>
      </c>
      <c r="B775" t="inlineStr">
        <is>
          <t>Maggie</t>
        </is>
      </c>
      <c r="C775" t="inlineStr">
        <is>
          <t>2025-04-02</t>
        </is>
      </c>
      <c r="D775" t="inlineStr">
        <is>
          <t>2588200</t>
        </is>
      </c>
      <c r="E775" t="inlineStr"/>
      <c r="F775" t="inlineStr">
        <is>
          <t>2025-04-07</t>
        </is>
      </c>
      <c r="G775" t="inlineStr">
        <is>
          <t>LY43855895</t>
        </is>
      </c>
      <c r="H775" t="inlineStr">
        <is>
          <t>cus_8ef8663fbfb8</t>
        </is>
      </c>
      <c r="I775" t="inlineStr">
        <is>
          <t>中化健康生技股份有限公司</t>
        </is>
      </c>
      <c r="J775" t="inlineStr">
        <is>
          <t>24784137</t>
        </is>
      </c>
      <c r="K775" t="n">
        <v>8857</v>
      </c>
      <c r="L775" t="n">
        <v>9300</v>
      </c>
      <c r="M775" t="inlineStr">
        <is>
          <t>發票數據受眾包</t>
        </is>
      </c>
      <c r="N775" t="inlineStr">
        <is>
          <t>丁睿廷 Randy Ding</t>
        </is>
      </c>
      <c r="O775" t="inlineStr">
        <is>
          <t>臺中市大雅區科雅路23號3樓</t>
        </is>
      </c>
      <c r="P775" t="inlineStr">
        <is>
          <t>rueiting2012@gmail.com</t>
        </is>
      </c>
      <c r="Q775" t="inlineStr">
        <is>
          <t>04-22870998</t>
        </is>
      </c>
      <c r="R775" t="inlineStr"/>
      <c r="S775" t="inlineStr">
        <is>
          <t>已收款</t>
        </is>
      </c>
      <c r="T775" t="inlineStr">
        <is>
          <t>燒賣合作主題受眾包
來源：單次型發票及收款紀錄 第 294 列</t>
        </is>
      </c>
      <c r="U775" t="inlineStr">
        <is>
          <t>預先收款，隔月10日前開立發票</t>
        </is>
      </c>
      <c r="V775" t="inlineStr">
        <is>
          <t>2026-05-18</t>
        </is>
      </c>
    </row>
    <row r="776">
      <c r="A776" t="inlineStr">
        <is>
          <t>inv_41f5ad0bce56</t>
        </is>
      </c>
      <c r="B776" t="inlineStr">
        <is>
          <t>黃思睿</t>
        </is>
      </c>
      <c r="C776" t="inlineStr"/>
      <c r="D776" t="inlineStr">
        <is>
          <t>1965207</t>
        </is>
      </c>
      <c r="E776" t="inlineStr">
        <is>
          <t>2023.11.08</t>
        </is>
      </c>
      <c r="F776" t="inlineStr">
        <is>
          <t>2023-11-08</t>
        </is>
      </c>
      <c r="G776" t="inlineStr">
        <is>
          <t>VC44723855</t>
        </is>
      </c>
      <c r="H776" t="inlineStr">
        <is>
          <t>cus_1133b1c53784</t>
        </is>
      </c>
      <c r="I776" t="inlineStr">
        <is>
          <t>仲信資融股份有限公司</t>
        </is>
      </c>
      <c r="J776" t="inlineStr">
        <is>
          <t>70774816</t>
        </is>
      </c>
      <c r="K776" t="n">
        <v>20000</v>
      </c>
      <c r="L776" t="n">
        <v>21000</v>
      </c>
      <c r="M776" t="inlineStr">
        <is>
          <t>發票數據受眾包</t>
        </is>
      </c>
      <c r="N776" t="inlineStr">
        <is>
          <t>Tracy Chen</t>
        </is>
      </c>
      <c r="O776" t="inlineStr">
        <is>
          <t>114 台北市內湖區瑞光路362號5樓</t>
        </is>
      </c>
      <c r="P776" t="inlineStr">
        <is>
          <t>TzuYingChen@chailease.com.tw</t>
        </is>
      </c>
      <c r="Q776" t="inlineStr">
        <is>
          <t>02-87526388#76203</t>
        </is>
      </c>
      <c r="R776" t="inlineStr"/>
      <c r="S776" t="inlineStr">
        <is>
          <t>未收款</t>
        </is>
      </c>
      <c r="T776" t="inlineStr">
        <is>
          <t>中租
來源：單次型發票及收款紀錄 第 295 列</t>
        </is>
      </c>
      <c r="U776" t="inlineStr">
        <is>
          <t>收到發票隔月起30天</t>
        </is>
      </c>
      <c r="V776" t="inlineStr">
        <is>
          <t>2026-05-18</t>
        </is>
      </c>
    </row>
    <row r="777">
      <c r="A777" t="inlineStr">
        <is>
          <t>inv_4beb90ca4513</t>
        </is>
      </c>
      <c r="B777" t="inlineStr">
        <is>
          <t>Maggie</t>
        </is>
      </c>
      <c r="C777" t="inlineStr">
        <is>
          <t>2025-04-02</t>
        </is>
      </c>
      <c r="D777" t="inlineStr">
        <is>
          <t>2588200</t>
        </is>
      </c>
      <c r="E777" t="inlineStr"/>
      <c r="F777" t="inlineStr">
        <is>
          <t>2025-04-07</t>
        </is>
      </c>
      <c r="G777" t="inlineStr">
        <is>
          <t>LY43855895</t>
        </is>
      </c>
      <c r="H777" t="inlineStr">
        <is>
          <t>cus_8ef8663fbfb8</t>
        </is>
      </c>
      <c r="I777" t="inlineStr">
        <is>
          <t>中化健康生技股份有限公司</t>
        </is>
      </c>
      <c r="J777" t="inlineStr">
        <is>
          <t>24784137</t>
        </is>
      </c>
      <c r="K777" t="n">
        <v>8857</v>
      </c>
      <c r="L777" t="n">
        <v>9300</v>
      </c>
      <c r="M777" t="inlineStr">
        <is>
          <t>發票數據受眾包</t>
        </is>
      </c>
      <c r="N777" t="inlineStr">
        <is>
          <t>丁睿廷 Randy Ding</t>
        </is>
      </c>
      <c r="O777" t="inlineStr">
        <is>
          <t>臺中市大雅區科雅路23號3樓</t>
        </is>
      </c>
      <c r="P777" t="inlineStr">
        <is>
          <t>rueiting2012@gmail.com</t>
        </is>
      </c>
      <c r="Q777" t="inlineStr">
        <is>
          <t>04-22870998</t>
        </is>
      </c>
      <c r="R777" t="inlineStr"/>
      <c r="S777" t="inlineStr">
        <is>
          <t>已收款</t>
        </is>
      </c>
      <c r="T777" t="inlineStr">
        <is>
          <t>燒賣合作主題受眾包
來源：單次型發票及收款紀錄 第 299 列</t>
        </is>
      </c>
      <c r="U777" t="inlineStr">
        <is>
          <t>預先收款，隔月10日前開立發票</t>
        </is>
      </c>
      <c r="V777" t="inlineStr">
        <is>
          <t>2026-05-18</t>
        </is>
      </c>
    </row>
    <row r="778">
      <c r="A778" t="inlineStr">
        <is>
          <t>inv_9a493cffc223</t>
        </is>
      </c>
      <c r="B778" t="inlineStr">
        <is>
          <t>Cobi</t>
        </is>
      </c>
      <c r="C778" t="inlineStr">
        <is>
          <t>2026-01-20</t>
        </is>
      </c>
      <c r="D778" t="inlineStr">
        <is>
          <t>2867308</t>
        </is>
      </c>
      <c r="E778" t="inlineStr"/>
      <c r="F778" t="inlineStr">
        <is>
          <t>2025-12-05</t>
        </is>
      </c>
      <c r="G778" t="inlineStr"/>
      <c r="H778" t="inlineStr">
        <is>
          <t>cus_3816722e3e66</t>
        </is>
      </c>
      <c r="I778" t="inlineStr">
        <is>
          <t>全聯實業股份有限公司</t>
        </is>
      </c>
      <c r="J778" t="inlineStr">
        <is>
          <t>16740494</t>
        </is>
      </c>
      <c r="K778" t="n">
        <v>0</v>
      </c>
      <c r="L778" t="n">
        <v>114000</v>
      </c>
      <c r="M778" t="inlineStr">
        <is>
          <t>發票記帳本專案</t>
        </is>
      </c>
      <c r="N778" t="inlineStr">
        <is>
          <t>邱俊皓 Howard</t>
        </is>
      </c>
      <c r="O778" t="inlineStr">
        <is>
          <t>台北市中山區敬業四路33號4樓</t>
        </is>
      </c>
      <c r="P778" t="inlineStr">
        <is>
          <t>howard_chiu@pxmart.com.tw</t>
        </is>
      </c>
      <c r="Q778" t="inlineStr">
        <is>
          <t>02-2532-8000 ext. 1207</t>
        </is>
      </c>
      <c r="R778" t="inlineStr"/>
      <c r="S778" t="inlineStr">
        <is>
          <t>已收款</t>
        </is>
      </c>
      <c r="T778" t="inlineStr">
        <is>
          <t>加碼獎功能
來源：單次型發票及收款紀錄 第 302 列</t>
        </is>
      </c>
      <c r="U778" t="inlineStr">
        <is>
          <t>收到發票隔月30號</t>
        </is>
      </c>
      <c r="V778" t="inlineStr">
        <is>
          <t>2026-05-18</t>
        </is>
      </c>
    </row>
    <row r="779">
      <c r="A779" t="inlineStr">
        <is>
          <t>inv_e41b3be1f50e</t>
        </is>
      </c>
      <c r="B779" t="inlineStr">
        <is>
          <t>Kate</t>
        </is>
      </c>
      <c r="C779" t="inlineStr">
        <is>
          <t>2026-02-02</t>
        </is>
      </c>
      <c r="D779" t="inlineStr">
        <is>
          <t>2867309</t>
        </is>
      </c>
      <c r="E779" t="inlineStr"/>
      <c r="F779" t="inlineStr">
        <is>
          <t>2025-12-05</t>
        </is>
      </c>
      <c r="G779" t="inlineStr"/>
      <c r="H779" t="inlineStr">
        <is>
          <t>cus_00cf1d9fc303</t>
        </is>
      </c>
      <c r="I779" t="inlineStr">
        <is>
          <t>鮮速冷鏈科技股份有限公司</t>
        </is>
      </c>
      <c r="J779" t="inlineStr">
        <is>
          <t>42585899</t>
        </is>
      </c>
      <c r="K779" t="n">
        <v>50000</v>
      </c>
      <c r="L779" t="n">
        <v>52500</v>
      </c>
      <c r="M779" t="inlineStr">
        <is>
          <t>專案- 
通路消費品類
金額佔比 追加採購資料</t>
        </is>
      </c>
      <c r="N779" t="inlineStr">
        <is>
          <t>李芷氤 Serene</t>
        </is>
      </c>
      <c r="O779" t="inlineStr">
        <is>
          <t>台北市松山區民生東路三段156號9樓</t>
        </is>
      </c>
      <c r="P779" t="inlineStr">
        <is>
          <t>serene.lee@gogoffcc.com</t>
        </is>
      </c>
      <c r="Q779" t="inlineStr">
        <is>
          <t>03-6215252/0920-438893</t>
        </is>
      </c>
      <c r="R779" t="inlineStr"/>
      <c r="S779" t="inlineStr">
        <is>
          <t>已收款</t>
        </is>
      </c>
      <c r="T779" t="inlineStr">
        <is>
          <t>未來流通研究所
來源：單次型發票及收款紀錄 第 303 列</t>
        </is>
      </c>
      <c r="U779" t="inlineStr">
        <is>
          <t>預計1/31入帳</t>
        </is>
      </c>
      <c r="V779" t="inlineStr">
        <is>
          <t>2026-05-18</t>
        </is>
      </c>
    </row>
    <row r="780">
      <c r="A780" t="inlineStr">
        <is>
          <t>inv_b7875ba4e829</t>
        </is>
      </c>
      <c r="B780" t="inlineStr">
        <is>
          <t>Erin</t>
        </is>
      </c>
      <c r="C780" t="inlineStr"/>
      <c r="D780" t="inlineStr">
        <is>
          <t>2867310</t>
        </is>
      </c>
      <c r="E780" t="inlineStr"/>
      <c r="F780" t="inlineStr">
        <is>
          <t>2025-12-05</t>
        </is>
      </c>
      <c r="G780" t="inlineStr"/>
      <c r="H780" t="inlineStr">
        <is>
          <t>cus_0ebf11dc9756</t>
        </is>
      </c>
      <c r="I780" t="inlineStr">
        <is>
          <t>香港商陽獅銳奇媒體股份有限公司台灣分公司實力媒體事業處</t>
        </is>
      </c>
      <c r="J780" t="inlineStr">
        <is>
          <t>26287084</t>
        </is>
      </c>
      <c r="K780" t="n">
        <v>60000</v>
      </c>
      <c r="L780" t="n">
        <v>63000</v>
      </c>
      <c r="M780" t="inlineStr">
        <is>
          <t>發票數據受眾包</t>
        </is>
      </c>
      <c r="N780" t="inlineStr">
        <is>
          <t>Joe Chou</t>
        </is>
      </c>
      <c r="O780" t="inlineStr">
        <is>
          <t>106 台北市大安區信義路四段6號8樓</t>
        </is>
      </c>
      <c r="P780" t="inlineStr">
        <is>
          <t>erin_yeh@cmoney.com.tw</t>
        </is>
      </c>
      <c r="Q780" t="inlineStr"/>
      <c r="R780" t="inlineStr"/>
      <c r="S780" t="inlineStr">
        <is>
          <t>未收款</t>
        </is>
      </c>
      <c r="T780" t="inlineStr">
        <is>
          <t>來源：單次型發票及收款紀錄 第 304 列</t>
        </is>
      </c>
      <c r="U780" t="inlineStr">
        <is>
          <t>收到發票隔月起95天</t>
        </is>
      </c>
      <c r="V780" t="inlineStr">
        <is>
          <t>2026-05-18</t>
        </is>
      </c>
    </row>
    <row r="781">
      <c r="A781" t="inlineStr">
        <is>
          <t>inv_d9bb9daa96e9</t>
        </is>
      </c>
      <c r="B781" t="inlineStr">
        <is>
          <t>Erin</t>
        </is>
      </c>
      <c r="C781" t="inlineStr">
        <is>
          <t>2026-03-02</t>
        </is>
      </c>
      <c r="D781" t="inlineStr">
        <is>
          <t>2867311</t>
        </is>
      </c>
      <c r="E781" t="inlineStr"/>
      <c r="F781" t="inlineStr">
        <is>
          <t>2025-12-05</t>
        </is>
      </c>
      <c r="G781" t="inlineStr"/>
      <c r="H781" t="inlineStr">
        <is>
          <t>cus_d70917d65656</t>
        </is>
      </c>
      <c r="I781" t="inlineStr">
        <is>
          <t>香港商陽獅銳奇媒體股份有限公司台灣分公司星傳媒體事業處</t>
        </is>
      </c>
      <c r="J781" t="inlineStr">
        <is>
          <t>26287090</t>
        </is>
      </c>
      <c r="K781" t="n">
        <v>5000</v>
      </c>
      <c r="L781" t="n">
        <v>5250</v>
      </c>
      <c r="M781" t="inlineStr">
        <is>
          <t>發票數據受眾包</t>
        </is>
      </c>
      <c r="N781" t="inlineStr">
        <is>
          <t>Kelly Chang</t>
        </is>
      </c>
      <c r="O781" t="inlineStr">
        <is>
          <t>106 台北市大安區信義路四段6號8樓</t>
        </is>
      </c>
      <c r="P781" t="inlineStr">
        <is>
          <t>erin_yeh@cmoney.com.tw</t>
        </is>
      </c>
      <c r="Q781" t="inlineStr"/>
      <c r="R781" t="inlineStr"/>
      <c r="S781" t="inlineStr">
        <is>
          <t>已收款</t>
        </is>
      </c>
      <c r="T781" t="inlineStr">
        <is>
          <t>來源：單次型發票及收款紀錄 第 305 列</t>
        </is>
      </c>
      <c r="U781" t="inlineStr">
        <is>
          <t>收到發票隔月起95天</t>
        </is>
      </c>
      <c r="V781" t="inlineStr">
        <is>
          <t>2026-05-18</t>
        </is>
      </c>
    </row>
    <row r="782">
      <c r="A782" t="inlineStr">
        <is>
          <t>inv_4e88bba9c3cf</t>
        </is>
      </c>
      <c r="B782" t="inlineStr">
        <is>
          <t>Erin</t>
        </is>
      </c>
      <c r="C782" t="inlineStr">
        <is>
          <t>2026-03-02</t>
        </is>
      </c>
      <c r="D782" t="inlineStr">
        <is>
          <t>2867312</t>
        </is>
      </c>
      <c r="E782" t="inlineStr"/>
      <c r="F782" t="inlineStr">
        <is>
          <t>2025-12-05</t>
        </is>
      </c>
      <c r="G782" t="inlineStr"/>
      <c r="H782" t="inlineStr">
        <is>
          <t>cus_d70917d65656</t>
        </is>
      </c>
      <c r="I782" t="inlineStr">
        <is>
          <t>香港商陽獅銳奇媒體股份有限公司台灣分公司星傳媒體事業處</t>
        </is>
      </c>
      <c r="J782" t="inlineStr">
        <is>
          <t>26287090</t>
        </is>
      </c>
      <c r="K782" t="n">
        <v>40000</v>
      </c>
      <c r="L782" t="n">
        <v>42000</v>
      </c>
      <c r="M782" t="inlineStr">
        <is>
          <t>廣告合作</t>
        </is>
      </c>
      <c r="N782" t="inlineStr">
        <is>
          <t>Murphy Wu</t>
        </is>
      </c>
      <c r="O782" t="inlineStr">
        <is>
          <t>106 台北市大安區信義路四段6號8樓</t>
        </is>
      </c>
      <c r="P782" t="inlineStr">
        <is>
          <t>erin_yeh@cmoney.com.tw</t>
        </is>
      </c>
      <c r="Q782" t="inlineStr"/>
      <c r="R782" t="inlineStr"/>
      <c r="S782" t="inlineStr">
        <is>
          <t>已收款</t>
        </is>
      </c>
      <c r="T782" t="inlineStr">
        <is>
          <t>來源：單次型發票及收款紀錄 第 306 列</t>
        </is>
      </c>
      <c r="U782" t="inlineStr">
        <is>
          <t>收到發票隔月起95天</t>
        </is>
      </c>
      <c r="V782" t="inlineStr">
        <is>
          <t>2026-05-18</t>
        </is>
      </c>
    </row>
    <row r="783">
      <c r="A783" t="inlineStr">
        <is>
          <t>inv_75010d66cb1d</t>
        </is>
      </c>
      <c r="B783" t="inlineStr">
        <is>
          <t>Erin</t>
        </is>
      </c>
      <c r="C783" t="inlineStr">
        <is>
          <t>2026-01-29</t>
        </is>
      </c>
      <c r="D783" t="inlineStr">
        <is>
          <t>2867313</t>
        </is>
      </c>
      <c r="E783" t="inlineStr"/>
      <c r="F783" t="inlineStr">
        <is>
          <t>2025-12-05</t>
        </is>
      </c>
      <c r="G783" t="inlineStr"/>
      <c r="H783" t="inlineStr">
        <is>
          <t>cus_056fa47ed237</t>
        </is>
      </c>
      <c r="I783" t="inlineStr">
        <is>
          <t>英屬蓋曼群島商擷適科技股份有限公司</t>
        </is>
      </c>
      <c r="J783" t="inlineStr">
        <is>
          <t>28430641</t>
        </is>
      </c>
      <c r="K783" t="n">
        <v>121905</v>
      </c>
      <c r="L783" t="n">
        <v>128000</v>
      </c>
      <c r="M783" t="inlineStr">
        <is>
          <t>咖啡市場消費力</t>
        </is>
      </c>
      <c r="N783" t="inlineStr">
        <is>
          <t>Johnny</t>
        </is>
      </c>
      <c r="O783" t="inlineStr">
        <is>
          <t>臺北市大安區忠孝東路四段293號6樓之1</t>
        </is>
      </c>
      <c r="P783" t="inlineStr">
        <is>
          <t>johnny.lin@getchee.com</t>
        </is>
      </c>
      <c r="Q783" t="inlineStr"/>
      <c r="R783" t="inlineStr"/>
      <c r="S783" t="inlineStr">
        <is>
          <t>已收款</t>
        </is>
      </c>
      <c r="T783" t="inlineStr">
        <is>
          <t>getchee
來源：單次型發票及收款紀錄 第 307 列</t>
        </is>
      </c>
      <c r="U783" t="inlineStr">
        <is>
          <t>收到發票後30日內付款</t>
        </is>
      </c>
      <c r="V783" t="inlineStr">
        <is>
          <t>2026-05-18</t>
        </is>
      </c>
    </row>
    <row r="784">
      <c r="A784" t="inlineStr">
        <is>
          <t>inv_0a6f9c7bc042</t>
        </is>
      </c>
      <c r="B784" t="inlineStr">
        <is>
          <t>Kate</t>
        </is>
      </c>
      <c r="C784" t="inlineStr">
        <is>
          <t>2026-02-05</t>
        </is>
      </c>
      <c r="D784" t="inlineStr">
        <is>
          <t>2867314</t>
        </is>
      </c>
      <c r="E784" t="inlineStr"/>
      <c r="F784" t="inlineStr">
        <is>
          <t>2025-12-05</t>
        </is>
      </c>
      <c r="G784" t="inlineStr"/>
      <c r="H784" t="inlineStr">
        <is>
          <t>cus_e47cc067a54d</t>
        </is>
      </c>
      <c r="I784" t="inlineStr">
        <is>
          <t>傑太日煙國際股份有限公司</t>
        </is>
      </c>
      <c r="J784" t="inlineStr">
        <is>
          <t>84308340</t>
        </is>
      </c>
      <c r="K784" t="n">
        <v>200000</v>
      </c>
      <c r="L784" t="n">
        <v>210000</v>
      </c>
      <c r="M784" t="inlineStr">
        <is>
          <t>專案-全家加熱菸銷售數據</t>
        </is>
      </c>
      <c r="N784" t="inlineStr">
        <is>
          <t>Kate</t>
        </is>
      </c>
      <c r="O784" t="inlineStr">
        <is>
          <t>臺北市信義區松仁路32號7樓</t>
        </is>
      </c>
      <c r="P784" t="inlineStr">
        <is>
          <t>kate_kan@cmoney.com.tw</t>
        </is>
      </c>
      <c r="Q784" t="inlineStr"/>
      <c r="R784" t="inlineStr"/>
      <c r="S784" t="inlineStr">
        <is>
          <t>已收款</t>
        </is>
      </c>
      <c r="T784" t="inlineStr">
        <is>
          <t>訂單編號PO4700978830
來源：單次型發票及收款紀錄 第 308 列</t>
        </is>
      </c>
      <c r="U784" t="inlineStr">
        <is>
          <t>收到發票後60天(5號/15號)</t>
        </is>
      </c>
      <c r="V784" t="inlineStr">
        <is>
          <t>2026-05-18</t>
        </is>
      </c>
    </row>
    <row r="785">
      <c r="A785" t="inlineStr">
        <is>
          <t>inv_00c6772a7ab4</t>
        </is>
      </c>
      <c r="B785" t="inlineStr">
        <is>
          <t>Stanley</t>
        </is>
      </c>
      <c r="C785" t="inlineStr">
        <is>
          <t>2026-01-26</t>
        </is>
      </c>
      <c r="D785" t="inlineStr">
        <is>
          <t>2867315</t>
        </is>
      </c>
      <c r="E785" t="inlineStr"/>
      <c r="F785" t="inlineStr">
        <is>
          <t>2025-12-05</t>
        </is>
      </c>
      <c r="G785" t="inlineStr"/>
      <c r="H785" t="inlineStr">
        <is>
          <t>cus_bdd658582436</t>
        </is>
      </c>
      <c r="I785" t="inlineStr">
        <is>
          <t>富利餐飲股份有限公司</t>
        </is>
      </c>
      <c r="J785" t="inlineStr">
        <is>
          <t>97161500</t>
        </is>
      </c>
      <c r="K785" t="n">
        <v>27135</v>
      </c>
      <c r="L785" t="n">
        <v>28492</v>
      </c>
      <c r="M785" t="inlineStr">
        <is>
          <t>發票載具中獎放大</t>
        </is>
      </c>
      <c r="N785" t="inlineStr">
        <is>
          <t>Ian</t>
        </is>
      </c>
      <c r="O785" t="inlineStr">
        <is>
          <t>10489台北市建國北路1段96號9樓</t>
        </is>
      </c>
      <c r="P785" t="inlineStr">
        <is>
          <t>Ian.Yang@jrgtw.com</t>
        </is>
      </c>
      <c r="Q785" t="inlineStr">
        <is>
          <t>02-2503-6889 #8298</t>
        </is>
      </c>
      <c r="R785" t="inlineStr"/>
      <c r="S785" t="inlineStr">
        <is>
          <t>已收款</t>
        </is>
      </c>
      <c r="T785" t="inlineStr">
        <is>
          <t>必勝客
來源：單次型發票及收款紀錄 第 309 列</t>
        </is>
      </c>
      <c r="U785" t="inlineStr">
        <is>
          <t>收到發票隔月30號</t>
        </is>
      </c>
      <c r="V785" t="inlineStr">
        <is>
          <t>2026-05-18</t>
        </is>
      </c>
    </row>
    <row r="786">
      <c r="A786" t="inlineStr">
        <is>
          <t>inv_33248c08328d</t>
        </is>
      </c>
      <c r="B786" t="inlineStr">
        <is>
          <t>Stanley</t>
        </is>
      </c>
      <c r="C786" t="inlineStr">
        <is>
          <t>2026-02-02</t>
        </is>
      </c>
      <c r="D786" t="inlineStr">
        <is>
          <t>2867316</t>
        </is>
      </c>
      <c r="E786" t="inlineStr"/>
      <c r="F786" t="inlineStr">
        <is>
          <t>2025-12-05</t>
        </is>
      </c>
      <c r="G786" t="inlineStr"/>
      <c r="H786" t="inlineStr">
        <is>
          <t>cus_bdd658582436</t>
        </is>
      </c>
      <c r="I786" t="inlineStr">
        <is>
          <t>富利餐飲股份有限公司</t>
        </is>
      </c>
      <c r="J786" t="inlineStr">
        <is>
          <t>97161500</t>
        </is>
      </c>
      <c r="K786" t="n">
        <v>3994</v>
      </c>
      <c r="L786" t="n">
        <v>4194</v>
      </c>
      <c r="M786" t="inlineStr">
        <is>
          <t>發票載具中獎放大</t>
        </is>
      </c>
      <c r="N786" t="inlineStr">
        <is>
          <t>Ian</t>
        </is>
      </c>
      <c r="O786" t="inlineStr">
        <is>
          <t>10489台北市建國北路1段96號9樓</t>
        </is>
      </c>
      <c r="P786" t="inlineStr">
        <is>
          <t>Ian.Yang@jrgtw.com</t>
        </is>
      </c>
      <c r="Q786" t="inlineStr">
        <is>
          <t>02-2503-6889 #8298</t>
        </is>
      </c>
      <c r="R786" t="inlineStr"/>
      <c r="S786" t="inlineStr">
        <is>
          <t>已收款</t>
        </is>
      </c>
      <c r="T786" t="inlineStr">
        <is>
          <t>肯德基
來源：單次型發票及收款紀錄 第 310 列</t>
        </is>
      </c>
      <c r="U786" t="inlineStr">
        <is>
          <t>收到發票隔月30號</t>
        </is>
      </c>
      <c r="V786" t="inlineStr">
        <is>
          <t>2026-05-18</t>
        </is>
      </c>
    </row>
    <row r="787">
      <c r="A787" t="inlineStr">
        <is>
          <t>inv_b72ccd29aaa0</t>
        </is>
      </c>
      <c r="B787" t="inlineStr">
        <is>
          <t>Cobi</t>
        </is>
      </c>
      <c r="C787" t="inlineStr">
        <is>
          <t>2025-12-26</t>
        </is>
      </c>
      <c r="D787" t="inlineStr">
        <is>
          <t>2867317</t>
        </is>
      </c>
      <c r="E787" t="inlineStr"/>
      <c r="F787" t="inlineStr">
        <is>
          <t>2025-12-05</t>
        </is>
      </c>
      <c r="G787" t="inlineStr"/>
      <c r="H787" t="inlineStr">
        <is>
          <t>cus_2397e7849eba</t>
        </is>
      </c>
      <c r="I787" t="inlineStr">
        <is>
          <t>睿鼎數位股份有限公司</t>
        </is>
      </c>
      <c r="J787" t="inlineStr">
        <is>
          <t>42837620</t>
        </is>
      </c>
      <c r="K787" t="n">
        <v>0</v>
      </c>
      <c r="L787" t="n">
        <v>60000</v>
      </c>
      <c r="M787" t="inlineStr">
        <is>
          <t>發票API月租</t>
        </is>
      </c>
      <c r="N787" t="inlineStr">
        <is>
          <t>羅聖耀</t>
        </is>
      </c>
      <c r="O787" t="inlineStr">
        <is>
          <t>台北市大安區信義路四段89-1號8樓</t>
        </is>
      </c>
      <c r="P787" t="inlineStr">
        <is>
          <t>davidlo@12cm.com.tw</t>
        </is>
      </c>
      <c r="Q787" t="inlineStr"/>
      <c r="R787" t="inlineStr"/>
      <c r="S787" t="inlineStr">
        <is>
          <t>已收款</t>
        </is>
      </c>
      <c r="T787" t="inlineStr">
        <is>
          <t>來源：單次型發票及收款紀錄 第 311 列</t>
        </is>
      </c>
      <c r="U787" t="inlineStr">
        <is>
          <t>收到發票隔月起30天</t>
        </is>
      </c>
      <c r="V787" t="inlineStr">
        <is>
          <t>2026-05-18</t>
        </is>
      </c>
    </row>
    <row r="788">
      <c r="A788" t="inlineStr">
        <is>
          <t>inv_5fdc7deb7070</t>
        </is>
      </c>
      <c r="B788" t="inlineStr">
        <is>
          <t>Peggy</t>
        </is>
      </c>
      <c r="C788" t="inlineStr">
        <is>
          <t>2026-01-15</t>
        </is>
      </c>
      <c r="D788" t="inlineStr">
        <is>
          <t>2872820</t>
        </is>
      </c>
      <c r="E788" t="inlineStr"/>
      <c r="F788" t="inlineStr">
        <is>
          <t>2025-12-10</t>
        </is>
      </c>
      <c r="G788" t="inlineStr"/>
      <c r="H788" t="inlineStr">
        <is>
          <t>cus_c5dc9d1310ce</t>
        </is>
      </c>
      <c r="I788" t="inlineStr">
        <is>
          <t>沛星互動科技股份有限公司</t>
        </is>
      </c>
      <c r="J788" t="inlineStr">
        <is>
          <t>53102168</t>
        </is>
      </c>
      <c r="K788" t="n">
        <v>107500</v>
      </c>
      <c r="L788" t="n">
        <v>112875</v>
      </c>
      <c r="M788" t="inlineStr">
        <is>
          <t>發票數據受眾包</t>
        </is>
      </c>
      <c r="N788" t="inlineStr">
        <is>
          <t>Chih Chi Wang</t>
        </is>
      </c>
      <c r="O788" t="inlineStr">
        <is>
          <t>110 台北市信義區松仁路123號6樓</t>
        </is>
      </c>
      <c r="P788" t="inlineStr">
        <is>
          <t>billing@appier.com; eddie.chen@appier.com ; chihchi.wang@appier.com</t>
        </is>
      </c>
      <c r="Q788" t="inlineStr">
        <is>
          <t>02-87802880</t>
        </is>
      </c>
      <c r="R788" t="inlineStr"/>
      <c r="S788" t="inlineStr">
        <is>
          <t>已收款</t>
        </is>
      </c>
      <c r="T788" t="inlineStr">
        <is>
          <t>Appier
來源：單次型發票及收款紀錄 第 312 列</t>
        </is>
      </c>
      <c r="U788" t="inlineStr">
        <is>
          <t>收到發票隔月底前</t>
        </is>
      </c>
      <c r="V788" t="inlineStr">
        <is>
          <t>2026-05-18</t>
        </is>
      </c>
    </row>
    <row r="789">
      <c r="A789" t="inlineStr">
        <is>
          <t>inv_05267dc5cde8</t>
        </is>
      </c>
      <c r="B789" t="inlineStr">
        <is>
          <t>Kate</t>
        </is>
      </c>
      <c r="C789" t="inlineStr">
        <is>
          <t>2026-02-02</t>
        </is>
      </c>
      <c r="D789" t="inlineStr">
        <is>
          <t>2872821</t>
        </is>
      </c>
      <c r="E789" t="inlineStr"/>
      <c r="F789" t="inlineStr">
        <is>
          <t>2025-12-10</t>
        </is>
      </c>
      <c r="G789" t="inlineStr"/>
      <c r="H789" t="inlineStr">
        <is>
          <t>cus_00cf1d9fc303</t>
        </is>
      </c>
      <c r="I789" t="inlineStr">
        <is>
          <t>鮮速冷鏈科技股份有限公司</t>
        </is>
      </c>
      <c r="J789" t="inlineStr">
        <is>
          <t>42585899</t>
        </is>
      </c>
      <c r="K789" t="n">
        <v>654762</v>
      </c>
      <c r="L789" t="n">
        <v>687500</v>
      </c>
      <c r="M789" t="inlineStr">
        <is>
          <t>專案- 
Q3通路消費品類
金額佔比</t>
        </is>
      </c>
      <c r="N789" t="inlineStr">
        <is>
          <t>李芷氤 Serene</t>
        </is>
      </c>
      <c r="O789" t="inlineStr">
        <is>
          <t>台北市松山區民生東路三段156號9樓</t>
        </is>
      </c>
      <c r="P789" t="inlineStr">
        <is>
          <t>serene.lee@gogoffcc.com</t>
        </is>
      </c>
      <c r="Q789" t="inlineStr">
        <is>
          <t>03-6215252/0920-438893</t>
        </is>
      </c>
      <c r="R789" t="inlineStr"/>
      <c r="S789" t="inlineStr">
        <is>
          <t>已收款</t>
        </is>
      </c>
      <c r="T789" t="inlineStr">
        <is>
          <t>未來流通研究所
來源：單次型發票及收款紀錄 第 313 列</t>
        </is>
      </c>
      <c r="U789" t="inlineStr">
        <is>
          <t>預計1/31入帳</t>
        </is>
      </c>
      <c r="V789" t="inlineStr">
        <is>
          <t>2026-05-18</t>
        </is>
      </c>
    </row>
    <row r="790">
      <c r="A790" t="inlineStr">
        <is>
          <t>inv_febfc250131f</t>
        </is>
      </c>
      <c r="B790" t="inlineStr">
        <is>
          <t>Kate</t>
        </is>
      </c>
      <c r="C790" t="inlineStr">
        <is>
          <t>2026-03-31</t>
        </is>
      </c>
      <c r="D790" t="inlineStr">
        <is>
          <t>2878217</t>
        </is>
      </c>
      <c r="E790" t="inlineStr"/>
      <c r="F790" t="inlineStr">
        <is>
          <t>2025-12-15</t>
        </is>
      </c>
      <c r="G790" t="inlineStr"/>
      <c r="H790" t="inlineStr">
        <is>
          <t>cus_11ce6c1312cf</t>
        </is>
      </c>
      <c r="I790" t="inlineStr">
        <is>
          <t>電通商業顧問股份有限公司</t>
        </is>
      </c>
      <c r="J790" t="inlineStr">
        <is>
          <t>24546918</t>
        </is>
      </c>
      <c r="K790" t="n">
        <v>48000</v>
      </c>
      <c r="L790" t="n">
        <v>50400</v>
      </c>
      <c r="M790" t="inlineStr">
        <is>
          <t>發票數據受眾包</t>
        </is>
      </c>
      <c r="N790" t="inlineStr">
        <is>
          <t>趙慧騥 Malo Chao</t>
        </is>
      </c>
      <c r="O790" t="inlineStr">
        <is>
          <t>11073台北市信義區松高路77號43樓</t>
        </is>
      </c>
      <c r="P790" t="inlineStr">
        <is>
          <t>Malo.Chao@dentsu.com</t>
        </is>
      </c>
      <c r="Q790" t="inlineStr">
        <is>
          <t>0933318219</t>
        </is>
      </c>
      <c r="R790" t="inlineStr"/>
      <c r="S790" t="inlineStr">
        <is>
          <t>已收款</t>
        </is>
      </c>
      <c r="T790" t="inlineStr">
        <is>
          <t>Dentsu
來源：單次型發票及收款紀錄 第 314 列</t>
        </is>
      </c>
      <c r="U790" t="inlineStr">
        <is>
          <t>收到發票隔月起60天</t>
        </is>
      </c>
      <c r="V790" t="inlineStr">
        <is>
          <t>2026-05-18</t>
        </is>
      </c>
    </row>
    <row r="791">
      <c r="A791" t="inlineStr">
        <is>
          <t>inv_7c525ad11c37</t>
        </is>
      </c>
      <c r="B791" t="inlineStr">
        <is>
          <t>Peggy</t>
        </is>
      </c>
      <c r="C791" t="inlineStr">
        <is>
          <t>2026-01-23</t>
        </is>
      </c>
      <c r="D791" t="inlineStr">
        <is>
          <t>2887190</t>
        </is>
      </c>
      <c r="E791" t="inlineStr"/>
      <c r="F791" t="inlineStr">
        <is>
          <t>2025-12-23</t>
        </is>
      </c>
      <c r="G791" t="inlineStr"/>
      <c r="H791" t="inlineStr">
        <is>
          <t>cus_a586aac3e559</t>
        </is>
      </c>
      <c r="I791" t="inlineStr">
        <is>
          <t>台灣綠金家園有限公司</t>
        </is>
      </c>
      <c r="J791" t="inlineStr">
        <is>
          <t>24978823</t>
        </is>
      </c>
      <c r="K791" t="n">
        <v>57114</v>
      </c>
      <c r="L791" t="n">
        <v>59970</v>
      </c>
      <c r="M791" t="inlineStr">
        <is>
          <t>發票載具中獎放大</t>
        </is>
      </c>
      <c r="N791" t="inlineStr">
        <is>
          <t>黃品瑄</t>
        </is>
      </c>
      <c r="O791" t="inlineStr">
        <is>
          <t>台中市西區五權西路一段237號7F-1</t>
        </is>
      </c>
      <c r="P791" t="inlineStr">
        <is>
          <t>tgda24978823@gmail.com</t>
        </is>
      </c>
      <c r="Q791" t="inlineStr">
        <is>
          <t>04-3609-7575</t>
        </is>
      </c>
      <c r="R791" t="inlineStr"/>
      <c r="S791" t="inlineStr">
        <is>
          <t>已收款</t>
        </is>
      </c>
      <c r="T791" t="inlineStr">
        <is>
          <t>GREENGOLD
來源：單次型發票及收款紀錄 第 315 列</t>
        </is>
      </c>
      <c r="U791" t="inlineStr"/>
      <c r="V791" t="inlineStr">
        <is>
          <t>2026-05-18</t>
        </is>
      </c>
    </row>
    <row r="792">
      <c r="A792" t="inlineStr">
        <is>
          <t>inv_3ab2f5dd1d42</t>
        </is>
      </c>
      <c r="B792" t="inlineStr">
        <is>
          <t>Cobi</t>
        </is>
      </c>
      <c r="C792" t="inlineStr">
        <is>
          <t>2026-01-12</t>
        </is>
      </c>
      <c r="D792" t="inlineStr">
        <is>
          <t>2887564</t>
        </is>
      </c>
      <c r="E792" t="inlineStr"/>
      <c r="F792" t="inlineStr">
        <is>
          <t>2025-12-24</t>
        </is>
      </c>
      <c r="G792" t="inlineStr"/>
      <c r="H792" t="inlineStr">
        <is>
          <t>cus_2397e7849eba</t>
        </is>
      </c>
      <c r="I792" t="inlineStr">
        <is>
          <t>睿鼎數位股份有限公司</t>
        </is>
      </c>
      <c r="J792" t="inlineStr">
        <is>
          <t>42837620</t>
        </is>
      </c>
      <c r="K792" t="n">
        <v>200000</v>
      </c>
      <c r="L792" t="n">
        <v>210000</v>
      </c>
      <c r="M792" t="inlineStr">
        <is>
          <t>所長茶葉蛋專案報告</t>
        </is>
      </c>
      <c r="N792" t="inlineStr">
        <is>
          <t>May</t>
        </is>
      </c>
      <c r="O792" t="inlineStr">
        <is>
          <t>台北市大安區信義路四段89-1號8樓</t>
        </is>
      </c>
      <c r="P792" t="inlineStr">
        <is>
          <t>mayyang@12cm.com.tw</t>
        </is>
      </c>
      <c r="Q792" t="inlineStr"/>
      <c r="R792" t="inlineStr"/>
      <c r="S792" t="inlineStr">
        <is>
          <t>已收款</t>
        </is>
      </c>
      <c r="T792" t="inlineStr">
        <is>
          <t>來源：單次型發票及收款紀錄 第 316 列</t>
        </is>
      </c>
      <c r="U792" t="inlineStr">
        <is>
          <t>收到發票隔月起30天</t>
        </is>
      </c>
      <c r="V792" t="inlineStr">
        <is>
          <t>2026-05-18</t>
        </is>
      </c>
    </row>
    <row r="793">
      <c r="A793" t="inlineStr">
        <is>
          <t>inv_250b38038527</t>
        </is>
      </c>
      <c r="B793" t="inlineStr">
        <is>
          <t>Kate</t>
        </is>
      </c>
      <c r="C793" t="inlineStr">
        <is>
          <t>1/7作廢</t>
        </is>
      </c>
      <c r="D793" t="inlineStr">
        <is>
          <t>2899797</t>
        </is>
      </c>
      <c r="E793" t="inlineStr"/>
      <c r="F793" t="inlineStr">
        <is>
          <t>2026-01-05</t>
        </is>
      </c>
      <c r="G793" t="inlineStr"/>
      <c r="H793" t="inlineStr">
        <is>
          <t>cus_e47cc067a54d</t>
        </is>
      </c>
      <c r="I793" t="inlineStr">
        <is>
          <t>傑太日煙國際股份有限公司</t>
        </is>
      </c>
      <c r="J793" t="inlineStr">
        <is>
          <t>84308340</t>
        </is>
      </c>
      <c r="K793" t="n">
        <v>180000</v>
      </c>
      <c r="L793" t="n">
        <v>189000</v>
      </c>
      <c r="M793" t="inlineStr">
        <is>
          <t>專案-全家加熱菸銷售數據</t>
        </is>
      </c>
      <c r="N793" t="inlineStr">
        <is>
          <t>Kate</t>
        </is>
      </c>
      <c r="O793" t="inlineStr">
        <is>
          <t>臺北市信義區松仁路32號7樓</t>
        </is>
      </c>
      <c r="P793" t="inlineStr">
        <is>
          <t>kate_kan@cmoney.com.tw</t>
        </is>
      </c>
      <c r="Q793" t="inlineStr"/>
      <c r="R793" t="inlineStr"/>
      <c r="S793" t="inlineStr">
        <is>
          <t>已收款</t>
        </is>
      </c>
      <c r="T793" t="inlineStr">
        <is>
          <t>訂單編號PO4700978830
來源：單次型發票及收款紀錄 第 319 列</t>
        </is>
      </c>
      <c r="U793" t="inlineStr">
        <is>
          <t>收到發票後60天(5號/15號)</t>
        </is>
      </c>
      <c r="V793" t="inlineStr">
        <is>
          <t>2026-05-18</t>
        </is>
      </c>
    </row>
    <row r="794">
      <c r="A794" t="inlineStr">
        <is>
          <t>inv_255629b93686</t>
        </is>
      </c>
      <c r="B794" t="inlineStr">
        <is>
          <t>Peggy</t>
        </is>
      </c>
      <c r="C794" t="inlineStr">
        <is>
          <t>2025-12-31</t>
        </is>
      </c>
      <c r="D794" t="inlineStr">
        <is>
          <t>2899798</t>
        </is>
      </c>
      <c r="E794" t="inlineStr"/>
      <c r="F794" t="inlineStr">
        <is>
          <t>2026-01-05</t>
        </is>
      </c>
      <c r="G794" t="inlineStr"/>
      <c r="H794" t="inlineStr">
        <is>
          <t>cus_9ad075234312</t>
        </is>
      </c>
      <c r="I794" t="inlineStr">
        <is>
          <t>岡鍵實業股份有限公司</t>
        </is>
      </c>
      <c r="J794" t="inlineStr">
        <is>
          <t>43831336</t>
        </is>
      </c>
      <c r="K794" t="n">
        <v>13333</v>
      </c>
      <c r="L794" t="n">
        <v>14000</v>
      </c>
      <c r="M794" t="inlineStr">
        <is>
          <t>發票數據受眾包</t>
        </is>
      </c>
      <c r="N794" t="inlineStr">
        <is>
          <t>陳韋儒 Roy</t>
        </is>
      </c>
      <c r="O794" t="inlineStr">
        <is>
          <t>臺北市吉林路299巷11樓1號</t>
        </is>
      </c>
      <c r="P794" t="inlineStr">
        <is>
          <t>roy.chen@t-fence.com.tw</t>
        </is>
      </c>
      <c r="Q794" t="inlineStr">
        <is>
          <t>0966-802-958</t>
        </is>
      </c>
      <c r="R794" t="inlineStr"/>
      <c r="S794" t="inlineStr">
        <is>
          <t>已收款</t>
        </is>
      </c>
      <c r="T794" t="inlineStr">
        <is>
          <t>防御工事
來源：單次型發票及收款紀錄 第 320 列</t>
        </is>
      </c>
      <c r="U794" t="inlineStr"/>
      <c r="V794" t="inlineStr">
        <is>
          <t>2026-05-18</t>
        </is>
      </c>
    </row>
    <row r="795">
      <c r="A795" t="inlineStr">
        <is>
          <t>inv_efae44f103eb</t>
        </is>
      </c>
      <c r="B795" t="inlineStr">
        <is>
          <t>Peggy</t>
        </is>
      </c>
      <c r="C795" t="inlineStr">
        <is>
          <t>2025-12-24</t>
        </is>
      </c>
      <c r="D795" t="inlineStr">
        <is>
          <t>2899800</t>
        </is>
      </c>
      <c r="E795" t="inlineStr"/>
      <c r="F795" t="inlineStr">
        <is>
          <t>2026-01-05</t>
        </is>
      </c>
      <c r="G795" t="inlineStr"/>
      <c r="H795" t="inlineStr">
        <is>
          <t>cus_d37d7a6d8a4e</t>
        </is>
      </c>
      <c r="I795" t="inlineStr">
        <is>
          <t>黑蓮生技有限公司</t>
        </is>
      </c>
      <c r="J795" t="inlineStr">
        <is>
          <t>83206470</t>
        </is>
      </c>
      <c r="K795" t="n">
        <v>54000</v>
      </c>
      <c r="L795" t="n">
        <v>56700</v>
      </c>
      <c r="M795" t="inlineStr">
        <is>
          <t>發票數據受眾包</t>
        </is>
      </c>
      <c r="N795" t="inlineStr">
        <is>
          <t>何明</t>
        </is>
      </c>
      <c r="O795" t="inlineStr">
        <is>
          <t>台中市西區忠明南路303號10樓之3A</t>
        </is>
      </c>
      <c r="P795" t="inlineStr">
        <is>
          <t>lasalle.freud@gmail.com</t>
        </is>
      </c>
      <c r="Q795" t="inlineStr">
        <is>
          <t>04-23059191</t>
        </is>
      </c>
      <c r="R795" t="inlineStr"/>
      <c r="S795" t="inlineStr">
        <is>
          <t>已收款</t>
        </is>
      </c>
      <c r="T795" t="inlineStr">
        <is>
          <t>受眾包買斷+共享
來源：單次型發票及收款紀錄 第 321 列</t>
        </is>
      </c>
      <c r="U795" t="inlineStr">
        <is>
          <t>預付</t>
        </is>
      </c>
      <c r="V795" t="inlineStr">
        <is>
          <t>2026-05-18</t>
        </is>
      </c>
    </row>
    <row r="796">
      <c r="A796" t="inlineStr">
        <is>
          <t>inv_8a741258b766</t>
        </is>
      </c>
      <c r="B796" t="inlineStr">
        <is>
          <t>Stanley</t>
        </is>
      </c>
      <c r="C796" t="inlineStr">
        <is>
          <t>2026-02-25</t>
        </is>
      </c>
      <c r="D796" t="inlineStr">
        <is>
          <t>2899801</t>
        </is>
      </c>
      <c r="E796" t="inlineStr"/>
      <c r="F796" t="inlineStr">
        <is>
          <t>2026-01-05</t>
        </is>
      </c>
      <c r="G796" t="inlineStr"/>
      <c r="H796" t="inlineStr">
        <is>
          <t>cus_9117758d2ff8</t>
        </is>
      </c>
      <c r="I796" t="inlineStr">
        <is>
          <t>星醫美學股份有限公司</t>
        </is>
      </c>
      <c r="J796" t="inlineStr">
        <is>
          <t>53317111</t>
        </is>
      </c>
      <c r="K796" t="n">
        <v>476190</v>
      </c>
      <c r="L796" t="n">
        <v>500000</v>
      </c>
      <c r="M796" t="inlineStr">
        <is>
          <t>廣告費</t>
        </is>
      </c>
      <c r="N796" t="inlineStr">
        <is>
          <t>Max</t>
        </is>
      </c>
      <c r="O796" t="inlineStr">
        <is>
          <t>新北市新店區北新路3段225號13樓</t>
        </is>
      </c>
      <c r="P796" t="inlineStr">
        <is>
          <t>max.chen@starnic.com.tw</t>
        </is>
      </c>
      <c r="Q796" t="inlineStr">
        <is>
          <t>02-23899929#254</t>
        </is>
      </c>
      <c r="R796" t="inlineStr"/>
      <c r="S796" t="inlineStr">
        <is>
          <t>已收款</t>
        </is>
      </c>
      <c r="T796" t="inlineStr">
        <is>
          <t>11月安慰獎
來源：單次型發票及收款紀錄 第 322 列</t>
        </is>
      </c>
      <c r="U796" t="inlineStr">
        <is>
          <t>2/25付款(遇假日順延)</t>
        </is>
      </c>
      <c r="V796" t="inlineStr">
        <is>
          <t>2026-05-18</t>
        </is>
      </c>
    </row>
    <row r="797">
      <c r="A797" t="inlineStr">
        <is>
          <t>inv_8a52310ba59c</t>
        </is>
      </c>
      <c r="B797" t="inlineStr">
        <is>
          <t>Kate</t>
        </is>
      </c>
      <c r="C797" t="inlineStr">
        <is>
          <t>2026-03-02</t>
        </is>
      </c>
      <c r="D797" t="inlineStr">
        <is>
          <t>2899803</t>
        </is>
      </c>
      <c r="E797" t="inlineStr"/>
      <c r="F797" t="inlineStr">
        <is>
          <t>2026-01-05</t>
        </is>
      </c>
      <c r="G797" t="inlineStr"/>
      <c r="H797" t="inlineStr">
        <is>
          <t>cus_ee0cc57cfefa</t>
        </is>
      </c>
      <c r="I797" t="inlineStr">
        <is>
          <t>聖洋科技股份有限公司</t>
        </is>
      </c>
      <c r="J797" t="inlineStr">
        <is>
          <t>28112580</t>
        </is>
      </c>
      <c r="K797" t="n">
        <v>100000</v>
      </c>
      <c r="L797" t="n">
        <v>105000</v>
      </c>
      <c r="M797" t="inlineStr">
        <is>
          <t>發票數據受眾包</t>
        </is>
      </c>
      <c r="N797" t="inlineStr">
        <is>
          <t>蔡念瑾 Candie</t>
        </is>
      </c>
      <c r="O797" t="inlineStr">
        <is>
          <t>台北市大安區基隆路二段172-1號13樓</t>
        </is>
      </c>
      <c r="P797" t="inlineStr">
        <is>
          <t>candie@cacafly.com</t>
        </is>
      </c>
      <c r="Q797" t="inlineStr">
        <is>
          <t>(02)6631-5699 #991</t>
        </is>
      </c>
      <c r="R797" t="inlineStr"/>
      <c r="S797" t="inlineStr">
        <is>
          <t>已收款</t>
        </is>
      </c>
      <c r="T797" t="inlineStr">
        <is>
          <t>cacafly
來源：單次型發票及收款紀錄 第 323 列</t>
        </is>
      </c>
      <c r="U797" t="inlineStr">
        <is>
          <t>月結45天</t>
        </is>
      </c>
      <c r="V797" t="inlineStr">
        <is>
          <t>2026-05-18</t>
        </is>
      </c>
    </row>
    <row r="798">
      <c r="A798" t="inlineStr">
        <is>
          <t>inv_e719635a31cd</t>
        </is>
      </c>
      <c r="B798" t="inlineStr">
        <is>
          <t>Erin</t>
        </is>
      </c>
      <c r="C798" t="inlineStr">
        <is>
          <t>2026-04-01</t>
        </is>
      </c>
      <c r="D798" t="inlineStr">
        <is>
          <t>2899804</t>
        </is>
      </c>
      <c r="E798" t="inlineStr"/>
      <c r="F798" t="inlineStr">
        <is>
          <t>2026-01-05</t>
        </is>
      </c>
      <c r="G798" t="inlineStr"/>
      <c r="H798" t="inlineStr">
        <is>
          <t>cus_769b585645b5</t>
        </is>
      </c>
      <c r="I798" t="inlineStr">
        <is>
          <t>香港商陽獅銳奇媒體股份有限公司台灣分公司
星傳媒體事業處</t>
        </is>
      </c>
      <c r="J798" t="inlineStr">
        <is>
          <t>26287090</t>
        </is>
      </c>
      <c r="K798" t="n">
        <v>53000</v>
      </c>
      <c r="L798" t="n">
        <v>55650</v>
      </c>
      <c r="M798" t="inlineStr">
        <is>
          <t>離線轉換API+發票數據受眾包</t>
        </is>
      </c>
      <c r="N798" t="inlineStr">
        <is>
          <t>kelly.chang</t>
        </is>
      </c>
      <c r="O798" t="inlineStr">
        <is>
          <t>106 台北市大安區信義路四段6號8樓</t>
        </is>
      </c>
      <c r="P798" t="inlineStr">
        <is>
          <t>erin_yeh@cmoney.com.tw</t>
        </is>
      </c>
      <c r="Q798" t="inlineStr">
        <is>
          <t>02-7734-8711</t>
        </is>
      </c>
      <c r="R798" t="inlineStr"/>
      <c r="S798" t="inlineStr">
        <is>
          <t>已收款</t>
        </is>
      </c>
      <c r="T798" t="inlineStr">
        <is>
          <t>OLAY離線轉換
來源：單次型發票及收款紀錄 第 324 列</t>
        </is>
      </c>
      <c r="U798" t="inlineStr">
        <is>
          <t>收到發票隔月起95天</t>
        </is>
      </c>
      <c r="V798" t="inlineStr">
        <is>
          <t>2026-05-18</t>
        </is>
      </c>
    </row>
    <row r="799">
      <c r="A799" t="inlineStr">
        <is>
          <t>inv_543624b2a787</t>
        </is>
      </c>
      <c r="B799" t="inlineStr">
        <is>
          <t>Erin</t>
        </is>
      </c>
      <c r="C799" t="inlineStr">
        <is>
          <t>2026-04-01</t>
        </is>
      </c>
      <c r="D799" t="inlineStr">
        <is>
          <t>2899805</t>
        </is>
      </c>
      <c r="E799" t="inlineStr"/>
      <c r="F799" t="inlineStr">
        <is>
          <t>2026-01-05</t>
        </is>
      </c>
      <c r="G799" t="inlineStr"/>
      <c r="H799" t="inlineStr">
        <is>
          <t>cus_769b585645b5</t>
        </is>
      </c>
      <c r="I799" t="inlineStr">
        <is>
          <t>香港商陽獅銳奇媒體股份有限公司台灣分公司
星傳媒體事業處</t>
        </is>
      </c>
      <c r="J799" t="inlineStr">
        <is>
          <t>26287090</t>
        </is>
      </c>
      <c r="K799" t="n">
        <v>5000</v>
      </c>
      <c r="L799" t="n">
        <v>5250</v>
      </c>
      <c r="M799" t="inlineStr">
        <is>
          <t>發票數據受眾包</t>
        </is>
      </c>
      <c r="N799" t="inlineStr">
        <is>
          <t>Esther Huang</t>
        </is>
      </c>
      <c r="O799" t="inlineStr">
        <is>
          <t>106 台北市大安區信義路四段6號8樓</t>
        </is>
      </c>
      <c r="P799" t="inlineStr">
        <is>
          <t>erin_yeh@cmoney.com.tw</t>
        </is>
      </c>
      <c r="Q799" t="inlineStr">
        <is>
          <t>02-77348715</t>
        </is>
      </c>
      <c r="R799" t="inlineStr"/>
      <c r="S799" t="inlineStr">
        <is>
          <t>已收款</t>
        </is>
      </c>
      <c r="T799" t="inlineStr">
        <is>
          <t>Ariel
來源：單次型發票及收款紀錄 第 325 列</t>
        </is>
      </c>
      <c r="U799" t="inlineStr">
        <is>
          <t>收到發票隔月起95天</t>
        </is>
      </c>
      <c r="V799" t="inlineStr">
        <is>
          <t>2026-05-18</t>
        </is>
      </c>
    </row>
    <row r="800">
      <c r="A800" t="inlineStr">
        <is>
          <t>inv_06ed0bb14f4e</t>
        </is>
      </c>
      <c r="B800" t="inlineStr">
        <is>
          <t>Erin</t>
        </is>
      </c>
      <c r="C800" t="inlineStr">
        <is>
          <t>2026-04-01</t>
        </is>
      </c>
      <c r="D800" t="inlineStr">
        <is>
          <t>2899806</t>
        </is>
      </c>
      <c r="E800" t="inlineStr"/>
      <c r="F800" t="inlineStr">
        <is>
          <t>2026-01-05</t>
        </is>
      </c>
      <c r="G800" t="inlineStr"/>
      <c r="H800" t="inlineStr">
        <is>
          <t>cus_769b585645b5</t>
        </is>
      </c>
      <c r="I800" t="inlineStr">
        <is>
          <t>香港商陽獅銳奇媒體股份有限公司台灣分公司
星傳媒體事業處</t>
        </is>
      </c>
      <c r="J800" t="inlineStr">
        <is>
          <t>26287090</t>
        </is>
      </c>
      <c r="K800" t="n">
        <v>40000</v>
      </c>
      <c r="L800" t="n">
        <v>42000</v>
      </c>
      <c r="M800" t="inlineStr">
        <is>
          <t>廣告合作</t>
        </is>
      </c>
      <c r="N800" t="inlineStr">
        <is>
          <t>Livia Su</t>
        </is>
      </c>
      <c r="O800" t="inlineStr">
        <is>
          <t>106 台北市大安區信義路四段6號8樓</t>
        </is>
      </c>
      <c r="P800" t="inlineStr">
        <is>
          <t>erin_yeh@cmoney.com.tw</t>
        </is>
      </c>
      <c r="Q800" t="inlineStr">
        <is>
          <t>02-77428908</t>
        </is>
      </c>
      <c r="R800" t="inlineStr"/>
      <c r="S800" t="inlineStr">
        <is>
          <t>已收款</t>
        </is>
      </c>
      <c r="T800" t="inlineStr">
        <is>
          <t>Samsung
來源：單次型發票及收款紀錄 第 326 列</t>
        </is>
      </c>
      <c r="U800" t="inlineStr">
        <is>
          <t>收到發票隔月起95天</t>
        </is>
      </c>
      <c r="V800" t="inlineStr">
        <is>
          <t>2026-05-18</t>
        </is>
      </c>
    </row>
    <row r="801">
      <c r="A801" t="inlineStr">
        <is>
          <t>inv_e96c183b6ee1</t>
        </is>
      </c>
      <c r="B801" t="inlineStr">
        <is>
          <t>Cobi</t>
        </is>
      </c>
      <c r="C801" t="inlineStr">
        <is>
          <t>2026-01-26</t>
        </is>
      </c>
      <c r="D801" t="inlineStr">
        <is>
          <t>2899807</t>
        </is>
      </c>
      <c r="E801" t="inlineStr"/>
      <c r="F801" t="inlineStr">
        <is>
          <t>2026-01-05</t>
        </is>
      </c>
      <c r="G801" t="inlineStr"/>
      <c r="H801" t="inlineStr">
        <is>
          <t>cus_2397e7849eba</t>
        </is>
      </c>
      <c r="I801" t="inlineStr">
        <is>
          <t>睿鼎數位股份有限公司</t>
        </is>
      </c>
      <c r="J801" t="inlineStr">
        <is>
          <t>42837620</t>
        </is>
      </c>
      <c r="K801" t="n">
        <v>0</v>
      </c>
      <c r="L801" t="n">
        <v>60000</v>
      </c>
      <c r="M801" t="inlineStr">
        <is>
          <t>發票API月租</t>
        </is>
      </c>
      <c r="N801" t="inlineStr">
        <is>
          <t>羅聖耀</t>
        </is>
      </c>
      <c r="O801" t="inlineStr">
        <is>
          <t>台北市大安區信義路四段89-1號8樓</t>
        </is>
      </c>
      <c r="P801" t="inlineStr">
        <is>
          <t>davidlo@12cm.com.tw</t>
        </is>
      </c>
      <c r="Q801" t="inlineStr"/>
      <c r="R801" t="inlineStr"/>
      <c r="S801" t="inlineStr">
        <is>
          <t>已收款</t>
        </is>
      </c>
      <c r="T801" t="inlineStr">
        <is>
          <t>來源：單次型發票及收款紀錄 第 327 列</t>
        </is>
      </c>
      <c r="U801" t="inlineStr">
        <is>
          <t>收到發票隔月起30天</t>
        </is>
      </c>
      <c r="V801" t="inlineStr">
        <is>
          <t>2026-05-18</t>
        </is>
      </c>
    </row>
    <row r="802">
      <c r="A802" t="inlineStr">
        <is>
          <t>inv_73ba6ea552ad</t>
        </is>
      </c>
      <c r="B802" t="inlineStr">
        <is>
          <t>Kate</t>
        </is>
      </c>
      <c r="C802" t="inlineStr">
        <is>
          <t>2026-04-30</t>
        </is>
      </c>
      <c r="D802" t="inlineStr">
        <is>
          <t>2901534</t>
        </is>
      </c>
      <c r="E802" t="inlineStr"/>
      <c r="F802" t="inlineStr">
        <is>
          <t>2026-01-06</t>
        </is>
      </c>
      <c r="G802" t="inlineStr"/>
      <c r="H802" t="inlineStr">
        <is>
          <t>cus_11ce6c1312cf</t>
        </is>
      </c>
      <c r="I802" t="inlineStr">
        <is>
          <t>電通商業顧問股份有限公司</t>
        </is>
      </c>
      <c r="J802" t="inlineStr">
        <is>
          <t>24546918</t>
        </is>
      </c>
      <c r="K802" t="n">
        <v>137000</v>
      </c>
      <c r="L802" t="n">
        <v>143850</v>
      </c>
      <c r="M802" t="inlineStr">
        <is>
          <t>發票數據受眾包</t>
        </is>
      </c>
      <c r="N802" t="inlineStr">
        <is>
          <t>趙慧騥 Malo Chao</t>
        </is>
      </c>
      <c r="O802" t="inlineStr">
        <is>
          <t>11073台北市信義區松高路77號43樓</t>
        </is>
      </c>
      <c r="P802" t="inlineStr">
        <is>
          <t>Malo.Chao@dentsu.com</t>
        </is>
      </c>
      <c r="Q802" t="inlineStr">
        <is>
          <t>0933318219</t>
        </is>
      </c>
      <c r="R802" t="inlineStr"/>
      <c r="S802" t="inlineStr">
        <is>
          <t>已收款</t>
        </is>
      </c>
      <c r="T802" t="inlineStr">
        <is>
          <t>Dentsu
來源：單次型發票及收款紀錄 第 328 列</t>
        </is>
      </c>
      <c r="U802" t="inlineStr">
        <is>
          <t>收到發票隔月起60天</t>
        </is>
      </c>
      <c r="V802" t="inlineStr">
        <is>
          <t>2026-05-18</t>
        </is>
      </c>
    </row>
    <row r="803">
      <c r="A803" t="inlineStr">
        <is>
          <t>inv_d5cddd8c5246</t>
        </is>
      </c>
      <c r="B803" t="inlineStr">
        <is>
          <t>Kate</t>
        </is>
      </c>
      <c r="C803" t="inlineStr">
        <is>
          <t>2026-01-30</t>
        </is>
      </c>
      <c r="D803" t="inlineStr">
        <is>
          <t>2903058</t>
        </is>
      </c>
      <c r="E803" t="inlineStr"/>
      <c r="F803" t="inlineStr">
        <is>
          <t>2026-01-07</t>
        </is>
      </c>
      <c r="G803" t="inlineStr"/>
      <c r="H803" t="inlineStr">
        <is>
          <t>cus_253c0ef1fab2</t>
        </is>
      </c>
      <c r="I803" t="inlineStr">
        <is>
          <t>東方線上股份有限公司</t>
        </is>
      </c>
      <c r="J803" t="inlineStr">
        <is>
          <t>70570643</t>
        </is>
      </c>
      <c r="K803" t="n">
        <v>5000</v>
      </c>
      <c r="L803" t="n">
        <v>5250</v>
      </c>
      <c r="M803" t="inlineStr">
        <is>
          <t>問券調查服務</t>
        </is>
      </c>
      <c r="N803" t="inlineStr">
        <is>
          <t>洪立瑄  Lily Hung</t>
        </is>
      </c>
      <c r="O803" t="inlineStr">
        <is>
          <t>106台北市大安區信義路四段306號7樓</t>
        </is>
      </c>
      <c r="P803" t="inlineStr">
        <is>
          <t>lilyred@isurvey.com.tw</t>
        </is>
      </c>
      <c r="Q803" t="inlineStr">
        <is>
          <t>02-2706-4865 #839</t>
        </is>
      </c>
      <c r="R803" t="inlineStr"/>
      <c r="S803" t="inlineStr">
        <is>
          <t>已收款</t>
        </is>
      </c>
      <c r="T803" t="inlineStr">
        <is>
          <t>超市問券調查
來源：單次型發票及收款紀錄 第 329 列</t>
        </is>
      </c>
      <c r="U803" t="inlineStr"/>
      <c r="V803" t="inlineStr">
        <is>
          <t>2026-05-18</t>
        </is>
      </c>
    </row>
    <row r="804">
      <c r="A804" t="inlineStr">
        <is>
          <t>inv_7657036af0ed</t>
        </is>
      </c>
      <c r="B804" t="inlineStr">
        <is>
          <t>Peggy</t>
        </is>
      </c>
      <c r="C804" t="inlineStr">
        <is>
          <t>2026-02-13</t>
        </is>
      </c>
      <c r="D804" t="inlineStr">
        <is>
          <t>2903059</t>
        </is>
      </c>
      <c r="E804" t="inlineStr"/>
      <c r="F804" t="inlineStr">
        <is>
          <t>2026-01-07</t>
        </is>
      </c>
      <c r="G804" t="inlineStr"/>
      <c r="H804" t="inlineStr">
        <is>
          <t>cus_c5dc9d1310ce</t>
        </is>
      </c>
      <c r="I804" t="inlineStr">
        <is>
          <t>沛星互動科技股份有限公司</t>
        </is>
      </c>
      <c r="J804" t="inlineStr">
        <is>
          <t>53102168</t>
        </is>
      </c>
      <c r="K804" t="n">
        <v>40000</v>
      </c>
      <c r="L804" t="n">
        <v>42000</v>
      </c>
      <c r="M804" t="inlineStr">
        <is>
          <t>發票數據受眾包</t>
        </is>
      </c>
      <c r="N804" t="inlineStr">
        <is>
          <t>Chih Chi Wang</t>
        </is>
      </c>
      <c r="O804" t="inlineStr">
        <is>
          <t>110 台北市信義區松仁路123號6樓</t>
        </is>
      </c>
      <c r="P804" t="inlineStr">
        <is>
          <t>billing@appier.com; eddie.chen@appier.com ; chihchi.wang@appier.com</t>
        </is>
      </c>
      <c r="Q804" t="inlineStr">
        <is>
          <t>02-87802880</t>
        </is>
      </c>
      <c r="R804" t="inlineStr"/>
      <c r="S804" t="inlineStr">
        <is>
          <t>已收款</t>
        </is>
      </c>
      <c r="T804" t="inlineStr">
        <is>
          <t>Appier
來源：單次型發票及收款紀錄 第 330 列</t>
        </is>
      </c>
      <c r="U804" t="inlineStr">
        <is>
          <t>收到發票隔月底前</t>
        </is>
      </c>
      <c r="V804" t="inlineStr">
        <is>
          <t>2026-05-18</t>
        </is>
      </c>
    </row>
    <row r="805">
      <c r="A805" t="inlineStr">
        <is>
          <t>inv_a2c6d9f5dfe2</t>
        </is>
      </c>
      <c r="B805" t="inlineStr">
        <is>
          <t>Kate</t>
        </is>
      </c>
      <c r="C805" t="inlineStr">
        <is>
          <t>2026-02-04</t>
        </is>
      </c>
      <c r="D805" t="inlineStr">
        <is>
          <t>2903060</t>
        </is>
      </c>
      <c r="E805" t="inlineStr"/>
      <c r="F805" t="inlineStr">
        <is>
          <t>2026-01-07</t>
        </is>
      </c>
      <c r="G805" t="inlineStr"/>
      <c r="H805" t="inlineStr">
        <is>
          <t>cus_a8aff9f57d27</t>
        </is>
      </c>
      <c r="I805" t="inlineStr">
        <is>
          <t>好事威行銷工作室</t>
        </is>
      </c>
      <c r="J805" t="inlineStr">
        <is>
          <t>81012667</t>
        </is>
      </c>
      <c r="K805" t="n">
        <v>55000</v>
      </c>
      <c r="L805" t="n">
        <v>57750</v>
      </c>
      <c r="M805" t="inlineStr">
        <is>
          <t>發票數據受眾包</t>
        </is>
      </c>
      <c r="N805" t="inlineStr">
        <is>
          <t>陳建程</t>
        </is>
      </c>
      <c r="O805" t="inlineStr">
        <is>
          <t>高雄市大寮區後庄里民昌街68號</t>
        </is>
      </c>
      <c r="P805" t="inlineStr">
        <is>
          <t>houseway.com@gmail.com</t>
        </is>
      </c>
      <c r="Q805" t="inlineStr">
        <is>
          <t>0919854139</t>
        </is>
      </c>
      <c r="R805" t="inlineStr"/>
      <c r="S805" t="inlineStr">
        <is>
          <t>已收款</t>
        </is>
      </c>
      <c r="T805" t="inlineStr">
        <is>
          <t>建案房地產受眾
來源：單次型發票及收款紀錄 第 331 列</t>
        </is>
      </c>
      <c r="U805" t="inlineStr"/>
      <c r="V805" t="inlineStr">
        <is>
          <t>2026-05-18</t>
        </is>
      </c>
    </row>
    <row r="806">
      <c r="A806" t="inlineStr">
        <is>
          <t>inv_9970a7ba3ea7</t>
        </is>
      </c>
      <c r="B806" t="inlineStr">
        <is>
          <t>謝孟倢</t>
        </is>
      </c>
      <c r="C806" t="inlineStr"/>
      <c r="D806" t="inlineStr">
        <is>
          <t>2916267</t>
        </is>
      </c>
      <c r="E806" t="inlineStr"/>
      <c r="F806" t="inlineStr">
        <is>
          <t>2026-01-15</t>
        </is>
      </c>
      <c r="G806" t="inlineStr"/>
      <c r="H806" t="inlineStr">
        <is>
          <t>cus_8a60a50db6a6</t>
        </is>
      </c>
      <c r="I806" t="inlineStr">
        <is>
          <t>希立媒體行銷有限公司</t>
        </is>
      </c>
      <c r="J806" t="inlineStr">
        <is>
          <t>93649988</t>
        </is>
      </c>
      <c r="K806" t="n">
        <v>14857</v>
      </c>
      <c r="L806" t="n">
        <v>15600</v>
      </c>
      <c r="M806" t="inlineStr">
        <is>
          <t>永豐開戶分潤合作費用</t>
        </is>
      </c>
      <c r="N806" t="inlineStr">
        <is>
          <t>巢文玉</t>
        </is>
      </c>
      <c r="O806" t="inlineStr">
        <is>
          <t>台北市萬華區峨眉街100號11樓之2</t>
        </is>
      </c>
      <c r="P806" t="inlineStr">
        <is>
          <t>joanna0935614816@gmail.com</t>
        </is>
      </c>
      <c r="Q806" t="inlineStr">
        <is>
          <t>935614816.0</t>
        </is>
      </c>
      <c r="R806" t="inlineStr"/>
      <c r="S806" t="inlineStr">
        <is>
          <t>未收款</t>
        </is>
      </c>
      <c r="T806" t="inlineStr">
        <is>
          <t>來源：單次型發票及收款紀錄 第 332 列</t>
        </is>
      </c>
      <c r="U806" t="inlineStr"/>
      <c r="V806" t="inlineStr">
        <is>
          <t>2026-05-18</t>
        </is>
      </c>
    </row>
    <row r="807">
      <c r="A807" t="inlineStr">
        <is>
          <t>inv_9b77e680fa1d</t>
        </is>
      </c>
      <c r="B807" t="inlineStr">
        <is>
          <t>Erin</t>
        </is>
      </c>
      <c r="C807" t="inlineStr">
        <is>
          <t>2026-04-01</t>
        </is>
      </c>
      <c r="D807" t="inlineStr">
        <is>
          <t>2925530</t>
        </is>
      </c>
      <c r="E807" t="inlineStr"/>
      <c r="F807" t="inlineStr">
        <is>
          <t>2026-01-21</t>
        </is>
      </c>
      <c r="G807" t="inlineStr"/>
      <c r="H807" t="inlineStr">
        <is>
          <t>cus_769b585645b5</t>
        </is>
      </c>
      <c r="I807" t="inlineStr">
        <is>
          <t>香港商陽獅銳奇媒體股份有限公司台灣分公司
星傳媒體事業處</t>
        </is>
      </c>
      <c r="J807" t="inlineStr">
        <is>
          <t>26287090</t>
        </is>
      </c>
      <c r="K807" t="n">
        <v>10000</v>
      </c>
      <c r="L807" t="n">
        <v>10500</v>
      </c>
      <c r="M807" t="inlineStr">
        <is>
          <t>發票數據受眾包</t>
        </is>
      </c>
      <c r="N807" t="inlineStr">
        <is>
          <t>Esther Huang</t>
        </is>
      </c>
      <c r="O807" t="inlineStr">
        <is>
          <t>106 台北市大安區信義路四段6號8樓</t>
        </is>
      </c>
      <c r="P807" t="inlineStr">
        <is>
          <t>erin_yeh@cmoney.com.tw</t>
        </is>
      </c>
      <c r="Q807" t="inlineStr">
        <is>
          <t>02-77348715</t>
        </is>
      </c>
      <c r="R807" t="inlineStr"/>
      <c r="S807" t="inlineStr">
        <is>
          <t>已收款</t>
        </is>
      </c>
      <c r="T807" t="inlineStr">
        <is>
          <t>Febreze
來源：單次型發票及收款紀錄 第 333 列</t>
        </is>
      </c>
      <c r="U807" t="inlineStr">
        <is>
          <t>收到發票隔月起95天</t>
        </is>
      </c>
      <c r="V807" t="inlineStr">
        <is>
          <t>2026-05-18</t>
        </is>
      </c>
    </row>
    <row r="808">
      <c r="A808" t="inlineStr">
        <is>
          <t>inv_e5c8bd3bef49</t>
        </is>
      </c>
      <c r="B808" t="inlineStr">
        <is>
          <t>Kate</t>
        </is>
      </c>
      <c r="C808" t="inlineStr">
        <is>
          <t>2026-02-27</t>
        </is>
      </c>
      <c r="D808" t="inlineStr">
        <is>
          <t>2927896</t>
        </is>
      </c>
      <c r="E808" t="inlineStr"/>
      <c r="F808" t="inlineStr">
        <is>
          <t>2026-01-23</t>
        </is>
      </c>
      <c r="G808" t="inlineStr"/>
      <c r="H808" t="inlineStr">
        <is>
          <t>cus_7fe65642b817</t>
        </is>
      </c>
      <c r="I808" t="inlineStr">
        <is>
          <t>驚點股份有限公司</t>
        </is>
      </c>
      <c r="J808" t="inlineStr">
        <is>
          <t>43907433</t>
        </is>
      </c>
      <c r="K808" t="n">
        <v>15000</v>
      </c>
      <c r="L808" t="n">
        <v>15750</v>
      </c>
      <c r="M808" t="inlineStr">
        <is>
          <t>發票數據受眾包</t>
        </is>
      </c>
      <c r="N808" t="inlineStr">
        <is>
          <t>Eunice Chen</t>
        </is>
      </c>
      <c r="O808" t="inlineStr">
        <is>
          <t>10681 台北市大安區敦化南路二段57號20樓</t>
        </is>
      </c>
      <c r="P808" t="inlineStr">
        <is>
          <t>eunice@freakout.net</t>
        </is>
      </c>
      <c r="Q808" t="inlineStr">
        <is>
          <t>02-2707-0712 Ext.115</t>
        </is>
      </c>
      <c r="R808" t="inlineStr"/>
      <c r="S808" t="inlineStr">
        <is>
          <t>已收款</t>
        </is>
      </c>
      <c r="T808" t="inlineStr">
        <is>
          <t>來源：單次型發票及收款紀錄 第 334 列</t>
        </is>
      </c>
      <c r="U808" t="inlineStr">
        <is>
          <t>收到發票隔月月底</t>
        </is>
      </c>
      <c r="V808" t="inlineStr">
        <is>
          <t>2026-05-18</t>
        </is>
      </c>
    </row>
    <row r="809">
      <c r="A809" t="inlineStr">
        <is>
          <t>inv_302744c7feb8</t>
        </is>
      </c>
      <c r="B809" t="inlineStr">
        <is>
          <t>Peggy</t>
        </is>
      </c>
      <c r="C809" t="inlineStr">
        <is>
          <t>2025-12-31</t>
        </is>
      </c>
      <c r="D809" t="inlineStr">
        <is>
          <t>2931098</t>
        </is>
      </c>
      <c r="E809" t="inlineStr"/>
      <c r="F809" t="inlineStr">
        <is>
          <t>2026-01-26</t>
        </is>
      </c>
      <c r="G809" t="inlineStr"/>
      <c r="H809" t="inlineStr">
        <is>
          <t>cus_9ad075234312</t>
        </is>
      </c>
      <c r="I809" t="inlineStr">
        <is>
          <t>岡鍵實業股份有限公司</t>
        </is>
      </c>
      <c r="J809" t="inlineStr">
        <is>
          <t>43831336</t>
        </is>
      </c>
      <c r="K809" t="n">
        <v>26667</v>
      </c>
      <c r="L809" t="n">
        <v>28000</v>
      </c>
      <c r="M809" t="inlineStr">
        <is>
          <t>發票數據受眾包</t>
        </is>
      </c>
      <c r="N809" t="inlineStr">
        <is>
          <t>陳韋儒 Roy</t>
        </is>
      </c>
      <c r="O809" t="inlineStr">
        <is>
          <t>臺北市吉林路299巷11樓1號</t>
        </is>
      </c>
      <c r="P809" t="inlineStr">
        <is>
          <t>roy.chen@t-fence.com.tw</t>
        </is>
      </c>
      <c r="Q809" t="inlineStr">
        <is>
          <t>0966-802-958</t>
        </is>
      </c>
      <c r="R809" t="inlineStr"/>
      <c r="S809" t="inlineStr">
        <is>
          <t>已收款</t>
        </is>
      </c>
      <c r="T809" t="inlineStr">
        <is>
          <t>防御工事
來源：單次型發票及收款紀錄 第 335 列</t>
        </is>
      </c>
      <c r="U809" t="inlineStr"/>
      <c r="V809" t="inlineStr">
        <is>
          <t>2026-05-18</t>
        </is>
      </c>
    </row>
    <row r="810">
      <c r="A810" t="inlineStr">
        <is>
          <t>inv_3cf8acad0fa5</t>
        </is>
      </c>
      <c r="B810" t="inlineStr">
        <is>
          <t>Erin</t>
        </is>
      </c>
      <c r="C810" t="inlineStr">
        <is>
          <t>2026-05-04</t>
        </is>
      </c>
      <c r="D810" t="inlineStr">
        <is>
          <t>2941471</t>
        </is>
      </c>
      <c r="E810" t="inlineStr"/>
      <c r="F810" t="inlineStr">
        <is>
          <t>2026-02-04</t>
        </is>
      </c>
      <c r="G810" t="inlineStr"/>
      <c r="H810" t="inlineStr">
        <is>
          <t>cus_769b585645b5</t>
        </is>
      </c>
      <c r="I810" t="inlineStr">
        <is>
          <t>香港商陽獅銳奇媒體股份有限公司台灣分公司
星傳媒體事業處</t>
        </is>
      </c>
      <c r="J810" t="inlineStr">
        <is>
          <t>26287090</t>
        </is>
      </c>
      <c r="K810" t="n">
        <v>15000</v>
      </c>
      <c r="L810" t="n">
        <v>15750</v>
      </c>
      <c r="M810" t="inlineStr">
        <is>
          <t>廣告受眾包</t>
        </is>
      </c>
      <c r="N810" t="inlineStr">
        <is>
          <t>Daisy Lee</t>
        </is>
      </c>
      <c r="O810" t="inlineStr">
        <is>
          <t>106 台北市大安區信義路四段6號8樓</t>
        </is>
      </c>
      <c r="P810" t="inlineStr">
        <is>
          <t>erin_yeh@cmoney.com.tw</t>
        </is>
      </c>
      <c r="Q810" t="inlineStr"/>
      <c r="R810" t="inlineStr"/>
      <c r="S810" t="inlineStr">
        <is>
          <t>已收款</t>
        </is>
      </c>
      <c r="T810" t="inlineStr">
        <is>
          <t>來源：單次型發票及收款紀錄 第 338 列</t>
        </is>
      </c>
      <c r="U810" t="inlineStr"/>
      <c r="V810" t="inlineStr">
        <is>
          <t>2026-05-18</t>
        </is>
      </c>
    </row>
    <row r="811">
      <c r="A811" t="inlineStr">
        <is>
          <t>inv_8d74ec4550d2</t>
        </is>
      </c>
      <c r="B811" t="inlineStr">
        <is>
          <t>Erin</t>
        </is>
      </c>
      <c r="C811" t="inlineStr">
        <is>
          <t>2026-05-04</t>
        </is>
      </c>
      <c r="D811" t="inlineStr">
        <is>
          <t>2941472</t>
        </is>
      </c>
      <c r="E811" t="inlineStr"/>
      <c r="F811" t="inlineStr">
        <is>
          <t>2026-02-04</t>
        </is>
      </c>
      <c r="G811" t="inlineStr"/>
      <c r="H811" t="inlineStr">
        <is>
          <t>cus_769b585645b5</t>
        </is>
      </c>
      <c r="I811" t="inlineStr">
        <is>
          <t>香港商陽獅銳奇媒體股份有限公司台灣分公司
星傳媒體事業處</t>
        </is>
      </c>
      <c r="J811" t="inlineStr">
        <is>
          <t>26287090</t>
        </is>
      </c>
      <c r="K811" t="n">
        <v>45000</v>
      </c>
      <c r="L811" t="n">
        <v>47250</v>
      </c>
      <c r="M811" t="inlineStr">
        <is>
          <t>廣告受眾包</t>
        </is>
      </c>
      <c r="N811" t="inlineStr">
        <is>
          <t>JoyceYJ Chen</t>
        </is>
      </c>
      <c r="O811" t="inlineStr">
        <is>
          <t>106 台北市大安區信義路四段6號8樓</t>
        </is>
      </c>
      <c r="P811" t="inlineStr">
        <is>
          <t>erin_yeh@cmoney.com.tw</t>
        </is>
      </c>
      <c r="Q811" t="inlineStr"/>
      <c r="R811" t="inlineStr"/>
      <c r="S811" t="inlineStr">
        <is>
          <t>已收款</t>
        </is>
      </c>
      <c r="T811" t="inlineStr">
        <is>
          <t>來源：單次型發票及收款紀錄 第 339 列</t>
        </is>
      </c>
      <c r="U811" t="inlineStr"/>
      <c r="V811" t="inlineStr">
        <is>
          <t>2026-05-18</t>
        </is>
      </c>
    </row>
    <row r="812">
      <c r="A812" t="inlineStr">
        <is>
          <t>inv_87cc72dcb86a</t>
        </is>
      </c>
      <c r="B812" t="inlineStr">
        <is>
          <t>Erin</t>
        </is>
      </c>
      <c r="C812" t="inlineStr">
        <is>
          <t>2026-05-04</t>
        </is>
      </c>
      <c r="D812" t="inlineStr">
        <is>
          <t>2941473</t>
        </is>
      </c>
      <c r="E812" t="inlineStr"/>
      <c r="F812" t="inlineStr">
        <is>
          <t>2026-02-04</t>
        </is>
      </c>
      <c r="G812" t="inlineStr"/>
      <c r="H812" t="inlineStr">
        <is>
          <t>cus_950ead3db6e5</t>
        </is>
      </c>
      <c r="I812" t="inlineStr">
        <is>
          <t>香港商陽獅銳奇媒體股份有限公司台灣分公司</t>
        </is>
      </c>
      <c r="J812" t="inlineStr">
        <is>
          <t>70810257</t>
        </is>
      </c>
      <c r="K812" t="n">
        <v>60000</v>
      </c>
      <c r="L812" t="n">
        <v>63000</v>
      </c>
      <c r="M812" t="inlineStr">
        <is>
          <t>廣告受眾包</t>
        </is>
      </c>
      <c r="N812" t="inlineStr">
        <is>
          <t>Tapir Chang</t>
        </is>
      </c>
      <c r="O812" t="inlineStr">
        <is>
          <t>106 台北市大安區信義路四段6號8樓</t>
        </is>
      </c>
      <c r="P812" t="inlineStr">
        <is>
          <t>erin_yeh@cmoney.com.tw</t>
        </is>
      </c>
      <c r="Q812" t="inlineStr"/>
      <c r="R812" t="inlineStr"/>
      <c r="S812" t="inlineStr">
        <is>
          <t>已收款</t>
        </is>
      </c>
      <c r="T812" t="inlineStr">
        <is>
          <t>來源：單次型發票及收款紀錄 第 340 列</t>
        </is>
      </c>
      <c r="U812" t="inlineStr"/>
      <c r="V812" t="inlineStr">
        <is>
          <t>2026-05-18</t>
        </is>
      </c>
    </row>
    <row r="813">
      <c r="A813" t="inlineStr">
        <is>
          <t>inv_a00e8d05c962</t>
        </is>
      </c>
      <c r="B813" t="inlineStr">
        <is>
          <t>Erin</t>
        </is>
      </c>
      <c r="C813" t="inlineStr">
        <is>
          <t>2026-05-04</t>
        </is>
      </c>
      <c r="D813" t="inlineStr">
        <is>
          <t>2941474</t>
        </is>
      </c>
      <c r="E813" t="inlineStr"/>
      <c r="F813" t="inlineStr">
        <is>
          <t>2026-02-04</t>
        </is>
      </c>
      <c r="G813" t="inlineStr"/>
      <c r="H813" t="inlineStr">
        <is>
          <t>cus_769b585645b5</t>
        </is>
      </c>
      <c r="I813" t="inlineStr">
        <is>
          <t>香港商陽獅銳奇媒體股份有限公司台灣分公司
星傳媒體事業處</t>
        </is>
      </c>
      <c r="J813" t="inlineStr">
        <is>
          <t>26287090</t>
        </is>
      </c>
      <c r="K813" t="n">
        <v>5000</v>
      </c>
      <c r="L813" t="n">
        <v>5250</v>
      </c>
      <c r="M813" t="inlineStr">
        <is>
          <t>廣告受眾包</t>
        </is>
      </c>
      <c r="N813" t="inlineStr">
        <is>
          <t>Kelly Chang</t>
        </is>
      </c>
      <c r="O813" t="inlineStr">
        <is>
          <t>106 台北市大安區信義路四段6號8樓</t>
        </is>
      </c>
      <c r="P813" t="inlineStr">
        <is>
          <t>erin_yeh@cmoney.com.tw</t>
        </is>
      </c>
      <c r="Q813" t="inlineStr"/>
      <c r="R813" t="inlineStr"/>
      <c r="S813" t="inlineStr">
        <is>
          <t>已收款</t>
        </is>
      </c>
      <c r="T813" t="inlineStr">
        <is>
          <t>來源：單次型發票及收款紀錄 第 341 列</t>
        </is>
      </c>
      <c r="U813" t="inlineStr"/>
      <c r="V813" t="inlineStr">
        <is>
          <t>2026-05-18</t>
        </is>
      </c>
    </row>
    <row r="814">
      <c r="A814" t="inlineStr">
        <is>
          <t>inv_e0ac7e4b4814</t>
        </is>
      </c>
      <c r="B814" t="inlineStr">
        <is>
          <t>Stanley</t>
        </is>
      </c>
      <c r="C814" t="inlineStr">
        <is>
          <t>2026-03-20</t>
        </is>
      </c>
      <c r="D814" t="inlineStr">
        <is>
          <t>2944150</t>
        </is>
      </c>
      <c r="E814" t="inlineStr"/>
      <c r="F814" t="inlineStr">
        <is>
          <t>2026-02-06</t>
        </is>
      </c>
      <c r="G814" t="inlineStr"/>
      <c r="H814" t="inlineStr">
        <is>
          <t>cus_bdd658582436</t>
        </is>
      </c>
      <c r="I814" t="inlineStr">
        <is>
          <t>富利餐飲股份有限公司</t>
        </is>
      </c>
      <c r="J814" t="inlineStr">
        <is>
          <t>97161500</t>
        </is>
      </c>
      <c r="K814" t="n">
        <v>29312</v>
      </c>
      <c r="L814" t="n">
        <v>30778</v>
      </c>
      <c r="M814" t="inlineStr">
        <is>
          <t>發票載具中獎放大</t>
        </is>
      </c>
      <c r="N814" t="inlineStr">
        <is>
          <t>Ian</t>
        </is>
      </c>
      <c r="O814" t="inlineStr">
        <is>
          <t>10489台北市建國北路1段96號9樓</t>
        </is>
      </c>
      <c r="P814" t="inlineStr">
        <is>
          <t>Ian.Yang@jrgtw.com</t>
        </is>
      </c>
      <c r="Q814" t="inlineStr">
        <is>
          <t>02-2503-6889 #8298</t>
        </is>
      </c>
      <c r="R814" t="inlineStr"/>
      <c r="S814" t="inlineStr">
        <is>
          <t>已收款</t>
        </is>
      </c>
      <c r="T814" t="inlineStr">
        <is>
          <t>必勝客
來源：單次型發票及收款紀錄 第 342 列</t>
        </is>
      </c>
      <c r="U814" t="inlineStr">
        <is>
          <t>收到發票隔月30號</t>
        </is>
      </c>
      <c r="V814" t="inlineStr">
        <is>
          <t>2026-05-18</t>
        </is>
      </c>
    </row>
    <row r="815">
      <c r="A815" t="inlineStr">
        <is>
          <t>inv_1599201ee4c9</t>
        </is>
      </c>
      <c r="B815" t="inlineStr">
        <is>
          <t>Stanley</t>
        </is>
      </c>
      <c r="C815" t="inlineStr">
        <is>
          <t>2026-03-31</t>
        </is>
      </c>
      <c r="D815" t="inlineStr">
        <is>
          <t>2944151</t>
        </is>
      </c>
      <c r="E815" t="inlineStr"/>
      <c r="F815" t="inlineStr">
        <is>
          <t>2026-02-06</t>
        </is>
      </c>
      <c r="G815" t="inlineStr"/>
      <c r="H815" t="inlineStr">
        <is>
          <t>cus_bdd658582436</t>
        </is>
      </c>
      <c r="I815" t="inlineStr">
        <is>
          <t>富利餐飲股份有限公司</t>
        </is>
      </c>
      <c r="J815" t="inlineStr">
        <is>
          <t>97161500</t>
        </is>
      </c>
      <c r="K815" t="n">
        <v>6543</v>
      </c>
      <c r="L815" t="n">
        <v>6870</v>
      </c>
      <c r="M815" t="inlineStr">
        <is>
          <t>發票載具中獎放大</t>
        </is>
      </c>
      <c r="N815" t="inlineStr">
        <is>
          <t>Ian</t>
        </is>
      </c>
      <c r="O815" t="inlineStr">
        <is>
          <t>10489台北市建國北路1段96號9樓</t>
        </is>
      </c>
      <c r="P815" t="inlineStr">
        <is>
          <t>Ian.Yang@jrgtw.com</t>
        </is>
      </c>
      <c r="Q815" t="inlineStr">
        <is>
          <t>02-2503-6889 #8298</t>
        </is>
      </c>
      <c r="R815" t="inlineStr"/>
      <c r="S815" t="inlineStr">
        <is>
          <t>已收款</t>
        </is>
      </c>
      <c r="T815" t="inlineStr">
        <is>
          <t>肯德基
來源：單次型發票及收款紀錄 第 343 列</t>
        </is>
      </c>
      <c r="U815" t="inlineStr">
        <is>
          <t>收到發票隔月30號</t>
        </is>
      </c>
      <c r="V815" t="inlineStr">
        <is>
          <t>2026-05-18</t>
        </is>
      </c>
    </row>
    <row r="816">
      <c r="A816" t="inlineStr">
        <is>
          <t>inv_ed86ee2603f0</t>
        </is>
      </c>
      <c r="B816" t="inlineStr">
        <is>
          <t>Stanley</t>
        </is>
      </c>
      <c r="C816" t="inlineStr">
        <is>
          <t>2026-03-20</t>
        </is>
      </c>
      <c r="D816" t="inlineStr">
        <is>
          <t>2944152</t>
        </is>
      </c>
      <c r="E816" t="inlineStr"/>
      <c r="F816" t="inlineStr">
        <is>
          <t>2026-02-06</t>
        </is>
      </c>
      <c r="G816" t="inlineStr"/>
      <c r="H816" t="inlineStr">
        <is>
          <t>cus_bdd658582436</t>
        </is>
      </c>
      <c r="I816" t="inlineStr">
        <is>
          <t>富利餐飲股份有限公司</t>
        </is>
      </c>
      <c r="J816" t="inlineStr">
        <is>
          <t>97161500</t>
        </is>
      </c>
      <c r="K816" t="n">
        <v>10734</v>
      </c>
      <c r="L816" t="n">
        <v>11271</v>
      </c>
      <c r="M816" t="inlineStr">
        <is>
          <t>發票載具中獎放大</t>
        </is>
      </c>
      <c r="N816" t="inlineStr">
        <is>
          <t>Ian</t>
        </is>
      </c>
      <c r="O816" t="inlineStr">
        <is>
          <t>10489台北市建國北路1段96號9樓</t>
        </is>
      </c>
      <c r="P816" t="inlineStr">
        <is>
          <t>Ian.Yang@jrgtw.com</t>
        </is>
      </c>
      <c r="Q816" t="inlineStr">
        <is>
          <t>02-2503-6889 #8298</t>
        </is>
      </c>
      <c r="R816" t="inlineStr"/>
      <c r="S816" t="inlineStr">
        <is>
          <t>已收款</t>
        </is>
      </c>
      <c r="T816" t="inlineStr">
        <is>
          <t>必勝客
來源：單次型發票及收款紀錄 第 344 列</t>
        </is>
      </c>
      <c r="U816" t="inlineStr">
        <is>
          <t>收到發票隔月30號</t>
        </is>
      </c>
      <c r="V816" t="inlineStr">
        <is>
          <t>2026-05-18</t>
        </is>
      </c>
    </row>
    <row r="817">
      <c r="A817" t="inlineStr">
        <is>
          <t>inv_d73ea9aff109</t>
        </is>
      </c>
      <c r="B817" t="inlineStr">
        <is>
          <t>Stanley</t>
        </is>
      </c>
      <c r="C817" t="inlineStr">
        <is>
          <t>2026-03-31</t>
        </is>
      </c>
      <c r="D817" t="inlineStr">
        <is>
          <t>2944153</t>
        </is>
      </c>
      <c r="E817" t="inlineStr"/>
      <c r="F817" t="inlineStr">
        <is>
          <t>2026-02-06</t>
        </is>
      </c>
      <c r="G817" t="inlineStr"/>
      <c r="H817" t="inlineStr">
        <is>
          <t>cus_bdd658582436</t>
        </is>
      </c>
      <c r="I817" t="inlineStr">
        <is>
          <t>富利餐飲股份有限公司</t>
        </is>
      </c>
      <c r="J817" t="inlineStr">
        <is>
          <t>97161500</t>
        </is>
      </c>
      <c r="K817" t="n">
        <v>6229</v>
      </c>
      <c r="L817" t="n">
        <v>6540</v>
      </c>
      <c r="M817" t="inlineStr">
        <is>
          <t>發票載具中獎放大</t>
        </is>
      </c>
      <c r="N817" t="inlineStr">
        <is>
          <t>Ian</t>
        </is>
      </c>
      <c r="O817" t="inlineStr">
        <is>
          <t>10489台北市建國北路1段96號9樓</t>
        </is>
      </c>
      <c r="P817" t="inlineStr">
        <is>
          <t>Ian.Yang@jrgtw.com</t>
        </is>
      </c>
      <c r="Q817" t="inlineStr">
        <is>
          <t>02-2503-6889 #8298</t>
        </is>
      </c>
      <c r="R817" t="inlineStr"/>
      <c r="S817" t="inlineStr">
        <is>
          <t>已收款</t>
        </is>
      </c>
      <c r="T817" t="inlineStr">
        <is>
          <t>肯德基
來源：單次型發票及收款紀錄 第 345 列</t>
        </is>
      </c>
      <c r="U817" t="inlineStr">
        <is>
          <t>收到發票隔月30號</t>
        </is>
      </c>
      <c r="V817" t="inlineStr">
        <is>
          <t>2026-05-18</t>
        </is>
      </c>
    </row>
    <row r="818">
      <c r="A818" t="inlineStr">
        <is>
          <t>inv_d3657e6d44a5</t>
        </is>
      </c>
      <c r="B818" t="inlineStr">
        <is>
          <t>Stanley</t>
        </is>
      </c>
      <c r="C818" t="inlineStr">
        <is>
          <t>2026-03-26</t>
        </is>
      </c>
      <c r="D818" t="inlineStr">
        <is>
          <t>2944154</t>
        </is>
      </c>
      <c r="E818" t="inlineStr"/>
      <c r="F818" t="inlineStr">
        <is>
          <t>2026-02-06</t>
        </is>
      </c>
      <c r="G818" t="inlineStr"/>
      <c r="H818" t="inlineStr">
        <is>
          <t>cus_d85c0eed3b4a</t>
        </is>
      </c>
      <c r="I818" t="inlineStr">
        <is>
          <t>瓦城泰統股份有限公司</t>
        </is>
      </c>
      <c r="J818" t="inlineStr">
        <is>
          <t>70843031</t>
        </is>
      </c>
      <c r="K818" t="n">
        <v>0</v>
      </c>
      <c r="L818" t="n">
        <v>250000</v>
      </c>
      <c r="M818" t="inlineStr">
        <is>
          <t>發票載具品牌加碼獎</t>
        </is>
      </c>
      <c r="N818" t="inlineStr">
        <is>
          <t>陳允琦</t>
        </is>
      </c>
      <c r="O818" t="inlineStr">
        <is>
          <t>新北市中和區建一路176號7樓之1</t>
        </is>
      </c>
      <c r="P818" t="inlineStr">
        <is>
          <t>yunchichen@ttfb.com</t>
        </is>
      </c>
      <c r="Q818" t="inlineStr">
        <is>
          <t>02-8227-1280</t>
        </is>
      </c>
      <c r="R818" t="inlineStr"/>
      <c r="S818" t="inlineStr">
        <is>
          <t>已收款</t>
        </is>
      </c>
      <c r="T818" t="inlineStr">
        <is>
          <t>來源：單次型發票及收款紀錄 第 346 列</t>
        </is>
      </c>
      <c r="U818" t="inlineStr">
        <is>
          <t>2月遇到春節連假，原2/26的撥款日會延至3/26</t>
        </is>
      </c>
      <c r="V818" t="inlineStr">
        <is>
          <t>2026-05-18</t>
        </is>
      </c>
    </row>
    <row r="819">
      <c r="A819" t="inlineStr">
        <is>
          <t>inv_b596c14c36ca</t>
        </is>
      </c>
      <c r="B819" t="inlineStr">
        <is>
          <t>Stanley</t>
        </is>
      </c>
      <c r="C819" t="inlineStr"/>
      <c r="D819" t="inlineStr">
        <is>
          <t>2944155</t>
        </is>
      </c>
      <c r="E819" t="inlineStr"/>
      <c r="F819" t="inlineStr">
        <is>
          <t>2026-02-06</t>
        </is>
      </c>
      <c r="G819" t="inlineStr"/>
      <c r="H819" t="inlineStr">
        <is>
          <t>cus_91a04eb262ec</t>
        </is>
      </c>
      <c r="I819" t="inlineStr">
        <is>
          <t>酷遊天國際旅行社股份有限公司</t>
        </is>
      </c>
      <c r="J819" t="inlineStr">
        <is>
          <t>24977417</t>
        </is>
      </c>
      <c r="K819" t="n">
        <v>0</v>
      </c>
      <c r="L819" t="n">
        <v>110</v>
      </c>
      <c r="M819" t="inlineStr">
        <is>
          <t>發票載具中獎放大分潤</t>
        </is>
      </c>
      <c r="N819" t="inlineStr">
        <is>
          <t>Max</t>
        </is>
      </c>
      <c r="O819" t="inlineStr">
        <is>
          <t>11494臺北市內湖區新湖一路128巷15號5樓</t>
        </is>
      </c>
      <c r="P819" t="inlineStr">
        <is>
          <t>stanley_cheng@cmoney.com.tw</t>
        </is>
      </c>
      <c r="Q819" t="inlineStr">
        <is>
          <t>02-8227-1280</t>
        </is>
      </c>
      <c r="R819" t="inlineStr"/>
      <c r="S819" t="inlineStr">
        <is>
          <t>未收款</t>
        </is>
      </c>
      <c r="T819" t="inlineStr">
        <is>
          <t>來源：單次型發票及收款紀錄 第 347 列</t>
        </is>
      </c>
      <c r="U819" t="inlineStr">
        <is>
          <t>收到發票隔月30號</t>
        </is>
      </c>
      <c r="V819" t="inlineStr">
        <is>
          <t>2026-05-18</t>
        </is>
      </c>
    </row>
    <row r="820">
      <c r="A820" t="inlineStr">
        <is>
          <t>inv_6688688017d4</t>
        </is>
      </c>
      <c r="B820" t="inlineStr">
        <is>
          <t>Stanley</t>
        </is>
      </c>
      <c r="C820" t="inlineStr"/>
      <c r="D820" t="inlineStr">
        <is>
          <t>2944156</t>
        </is>
      </c>
      <c r="E820" t="inlineStr"/>
      <c r="F820" t="inlineStr">
        <is>
          <t>2026-02-06</t>
        </is>
      </c>
      <c r="G820" t="inlineStr"/>
      <c r="H820" t="inlineStr">
        <is>
          <t>cus_91a04eb262ec</t>
        </is>
      </c>
      <c r="I820" t="inlineStr">
        <is>
          <t>酷遊天國際旅行社股份有限公司</t>
        </is>
      </c>
      <c r="J820" t="inlineStr">
        <is>
          <t>24977417</t>
        </is>
      </c>
      <c r="K820" t="n">
        <v>0</v>
      </c>
      <c r="L820" t="n">
        <v>351</v>
      </c>
      <c r="M820" t="inlineStr">
        <is>
          <t>發票載具中獎放大分潤</t>
        </is>
      </c>
      <c r="N820" t="inlineStr">
        <is>
          <t>Max</t>
        </is>
      </c>
      <c r="O820" t="inlineStr">
        <is>
          <t>11494臺北市內湖區新湖一路128巷15號5樓</t>
        </is>
      </c>
      <c r="P820" t="inlineStr">
        <is>
          <t>stanley_cheng@cmoney.com.tw</t>
        </is>
      </c>
      <c r="Q820" t="inlineStr">
        <is>
          <t>02-8227-1280</t>
        </is>
      </c>
      <c r="R820" t="inlineStr"/>
      <c r="S820" t="inlineStr">
        <is>
          <t>未收款</t>
        </is>
      </c>
      <c r="T820" t="inlineStr">
        <is>
          <t>來源：單次型發票及收款紀錄 第 348 列</t>
        </is>
      </c>
      <c r="U820" t="inlineStr">
        <is>
          <t>收到發票隔月30號</t>
        </is>
      </c>
      <c r="V820" t="inlineStr">
        <is>
          <t>2026-05-18</t>
        </is>
      </c>
    </row>
    <row r="821">
      <c r="A821" t="inlineStr">
        <is>
          <t>inv_b845dd8620d2</t>
        </is>
      </c>
      <c r="B821" t="inlineStr">
        <is>
          <t>Stanley</t>
        </is>
      </c>
      <c r="C821" t="inlineStr"/>
      <c r="D821" t="inlineStr">
        <is>
          <t>2944157</t>
        </is>
      </c>
      <c r="E821" t="inlineStr"/>
      <c r="F821" t="inlineStr">
        <is>
          <t>2026-02-06</t>
        </is>
      </c>
      <c r="G821" t="inlineStr"/>
      <c r="H821" t="inlineStr">
        <is>
          <t>cus_91a04eb262ec</t>
        </is>
      </c>
      <c r="I821" t="inlineStr">
        <is>
          <t>酷遊天國際旅行社股份有限公司</t>
        </is>
      </c>
      <c r="J821" t="inlineStr">
        <is>
          <t>24977417</t>
        </is>
      </c>
      <c r="K821" t="n">
        <v>0</v>
      </c>
      <c r="L821" t="n">
        <v>1668</v>
      </c>
      <c r="M821" t="inlineStr">
        <is>
          <t>發票載具中獎放大分潤</t>
        </is>
      </c>
      <c r="N821" t="inlineStr">
        <is>
          <t>Max</t>
        </is>
      </c>
      <c r="O821" t="inlineStr">
        <is>
          <t>11494臺北市內湖區新湖一路128巷15號5樓</t>
        </is>
      </c>
      <c r="P821" t="inlineStr">
        <is>
          <t>stanley_cheng@cmoney.com.tw</t>
        </is>
      </c>
      <c r="Q821" t="inlineStr">
        <is>
          <t>02-8227-1280</t>
        </is>
      </c>
      <c r="R821" t="inlineStr"/>
      <c r="S821" t="inlineStr">
        <is>
          <t>未收款</t>
        </is>
      </c>
      <c r="T821" t="inlineStr">
        <is>
          <t>來源：單次型發票及收款紀錄 第 349 列</t>
        </is>
      </c>
      <c r="U821" t="inlineStr">
        <is>
          <t>收到發票隔月30號</t>
        </is>
      </c>
      <c r="V821" t="inlineStr">
        <is>
          <t>2026-05-18</t>
        </is>
      </c>
    </row>
    <row r="822">
      <c r="A822" t="inlineStr">
        <is>
          <t>inv_0b2809b8ad6c</t>
        </is>
      </c>
      <c r="B822" t="inlineStr">
        <is>
          <t>Stanley</t>
        </is>
      </c>
      <c r="C822" t="inlineStr"/>
      <c r="D822" t="inlineStr">
        <is>
          <t>2944158</t>
        </is>
      </c>
      <c r="E822" t="inlineStr"/>
      <c r="F822" t="inlineStr">
        <is>
          <t>2026-02-06</t>
        </is>
      </c>
      <c r="G822" t="inlineStr"/>
      <c r="H822" t="inlineStr">
        <is>
          <t>cus_91a04eb262ec</t>
        </is>
      </c>
      <c r="I822" t="inlineStr">
        <is>
          <t>酷遊天國際旅行社股份有限公司</t>
        </is>
      </c>
      <c r="J822" t="inlineStr">
        <is>
          <t>24977417</t>
        </is>
      </c>
      <c r="K822" t="n">
        <v>0</v>
      </c>
      <c r="L822" t="n">
        <v>18604</v>
      </c>
      <c r="M822" t="inlineStr">
        <is>
          <t>發票載具中獎放大分潤</t>
        </is>
      </c>
      <c r="N822" t="inlineStr">
        <is>
          <t>Max</t>
        </is>
      </c>
      <c r="O822" t="inlineStr">
        <is>
          <t>11494臺北市內湖區新湖一路128巷15號5樓</t>
        </is>
      </c>
      <c r="P822" t="inlineStr">
        <is>
          <t>stanley_cheng@cmoney.com.tw</t>
        </is>
      </c>
      <c r="Q822" t="inlineStr">
        <is>
          <t>02-8227-1280</t>
        </is>
      </c>
      <c r="R822" t="inlineStr"/>
      <c r="S822" t="inlineStr">
        <is>
          <t>未收款</t>
        </is>
      </c>
      <c r="T822" t="inlineStr">
        <is>
          <t>來源：單次型發票及收款紀錄 第 350 列</t>
        </is>
      </c>
      <c r="U822" t="inlineStr">
        <is>
          <t>收到發票隔月30號</t>
        </is>
      </c>
      <c r="V822" t="inlineStr">
        <is>
          <t>2026-05-18</t>
        </is>
      </c>
    </row>
    <row r="823">
      <c r="A823" t="inlineStr">
        <is>
          <t>inv_082103e256cf</t>
        </is>
      </c>
      <c r="B823" t="inlineStr">
        <is>
          <t>Peggy</t>
        </is>
      </c>
      <c r="C823" t="inlineStr">
        <is>
          <t>2026-02-11</t>
        </is>
      </c>
      <c r="D823" t="inlineStr">
        <is>
          <t>2944159</t>
        </is>
      </c>
      <c r="E823" t="inlineStr"/>
      <c r="F823" t="inlineStr">
        <is>
          <t>2026-02-06</t>
        </is>
      </c>
      <c r="G823" t="inlineStr"/>
      <c r="H823" t="inlineStr">
        <is>
          <t>cus_2dcbf927e90b</t>
        </is>
      </c>
      <c r="I823" t="inlineStr">
        <is>
          <t>臺灣各種吧股份有限公司</t>
        </is>
      </c>
      <c r="J823" t="inlineStr">
        <is>
          <t>24765574</t>
        </is>
      </c>
      <c r="K823" t="n">
        <v>85500</v>
      </c>
      <c r="L823" t="n">
        <v>89775</v>
      </c>
      <c r="M823" t="inlineStr">
        <is>
          <t>發票數據受眾包</t>
        </is>
      </c>
      <c r="N823" t="inlineStr">
        <is>
          <t>張柏葦</t>
        </is>
      </c>
      <c r="O823" t="inlineStr">
        <is>
          <t>103台北市大同區承德路二段193號2樓</t>
        </is>
      </c>
      <c r="P823" t="inlineStr">
        <is>
          <t>bowei850817@gmail.com</t>
        </is>
      </c>
      <c r="Q823" t="inlineStr">
        <is>
          <t>0970-647647</t>
        </is>
      </c>
      <c r="R823" t="inlineStr"/>
      <c r="S823" t="inlineStr">
        <is>
          <t>已收款</t>
        </is>
      </c>
      <c r="T823" t="inlineStr">
        <is>
          <t>預付
來源：單次型發票及收款紀錄 第 351 列</t>
        </is>
      </c>
      <c r="U823" t="inlineStr">
        <is>
          <t>2/11付款</t>
        </is>
      </c>
      <c r="V823" t="inlineStr">
        <is>
          <t>2026-05-18</t>
        </is>
      </c>
    </row>
    <row r="824">
      <c r="A824" t="inlineStr">
        <is>
          <t>inv_548de79cdfd5</t>
        </is>
      </c>
      <c r="B824" t="inlineStr">
        <is>
          <t>Kate</t>
        </is>
      </c>
      <c r="C824" t="inlineStr"/>
      <c r="D824" t="inlineStr">
        <is>
          <t>2944160</t>
        </is>
      </c>
      <c r="E824" t="inlineStr"/>
      <c r="F824" t="inlineStr">
        <is>
          <t>2026-02-06</t>
        </is>
      </c>
      <c r="G824" t="inlineStr"/>
      <c r="H824" t="inlineStr">
        <is>
          <t>cus_dd529e19734e</t>
        </is>
      </c>
      <c r="I824" t="inlineStr">
        <is>
          <t>騰學廣告科技股份有限公司</t>
        </is>
      </c>
      <c r="J824" t="inlineStr">
        <is>
          <t>24748750</t>
        </is>
      </c>
      <c r="K824" t="n">
        <v>4750</v>
      </c>
      <c r="L824" t="n">
        <v>4988</v>
      </c>
      <c r="M824" t="inlineStr">
        <is>
          <t>發票數據受眾包</t>
        </is>
      </c>
      <c r="N824" t="inlineStr">
        <is>
          <t>林怡君Caroline</t>
        </is>
      </c>
      <c r="O824" t="inlineStr">
        <is>
          <t>106台北市大安區基隆路二段172-1號11樓</t>
        </is>
      </c>
      <c r="P824" t="inlineStr">
        <is>
          <t>caroline.lin@tenmax.io</t>
        </is>
      </c>
      <c r="Q824" t="inlineStr">
        <is>
          <t>02-6631-5799 *872</t>
        </is>
      </c>
      <c r="R824" t="inlineStr"/>
      <c r="S824" t="inlineStr">
        <is>
          <t>未收款</t>
        </is>
      </c>
      <c r="T824" t="inlineStr">
        <is>
          <t>TenMax
來源：單次型發票及收款紀錄 第 352 列</t>
        </is>
      </c>
      <c r="U824" t="inlineStr">
        <is>
          <t>月結60天</t>
        </is>
      </c>
      <c r="V824" t="inlineStr">
        <is>
          <t>2026-05-18</t>
        </is>
      </c>
    </row>
    <row r="825">
      <c r="A825" t="inlineStr">
        <is>
          <t>inv_13b875a00318</t>
        </is>
      </c>
      <c r="B825" t="inlineStr">
        <is>
          <t>Kate</t>
        </is>
      </c>
      <c r="C825" t="inlineStr"/>
      <c r="D825" t="inlineStr">
        <is>
          <t>2944161</t>
        </is>
      </c>
      <c r="E825" t="inlineStr"/>
      <c r="F825" t="inlineStr">
        <is>
          <t>2026-02-06</t>
        </is>
      </c>
      <c r="G825" t="inlineStr"/>
      <c r="H825" t="inlineStr">
        <is>
          <t>cus_11ce6c1312cf</t>
        </is>
      </c>
      <c r="I825" t="inlineStr">
        <is>
          <t>電通商業顧問股份有限公司</t>
        </is>
      </c>
      <c r="J825" t="inlineStr">
        <is>
          <t>24546918</t>
        </is>
      </c>
      <c r="K825" t="n">
        <v>50000</v>
      </c>
      <c r="L825" t="n">
        <v>52500</v>
      </c>
      <c r="M825" t="inlineStr">
        <is>
          <t>發票數據受眾包</t>
        </is>
      </c>
      <c r="N825" t="inlineStr">
        <is>
          <t>趙慧騥 Malo Chao</t>
        </is>
      </c>
      <c r="O825" t="inlineStr">
        <is>
          <t>11073台北市信義區松高路77號43樓</t>
        </is>
      </c>
      <c r="P825" t="inlineStr">
        <is>
          <t>Malo.Chao@dentsu.com</t>
        </is>
      </c>
      <c r="Q825" t="inlineStr">
        <is>
          <t>0933318219</t>
        </is>
      </c>
      <c r="R825" t="inlineStr"/>
      <c r="S825" t="inlineStr">
        <is>
          <t>未收款</t>
        </is>
      </c>
      <c r="T825" t="inlineStr">
        <is>
          <t>Dentsu
來源：單次型發票及收款紀錄 第 353 列</t>
        </is>
      </c>
      <c r="U825" t="inlineStr">
        <is>
          <t>收到發票隔月起60天</t>
        </is>
      </c>
      <c r="V825" t="inlineStr">
        <is>
          <t>2026-05-18</t>
        </is>
      </c>
    </row>
    <row r="826">
      <c r="A826" t="inlineStr">
        <is>
          <t>inv_af25f0de5a78</t>
        </is>
      </c>
      <c r="B826" t="inlineStr">
        <is>
          <t>Kate</t>
        </is>
      </c>
      <c r="C826" t="inlineStr"/>
      <c r="D826" t="inlineStr">
        <is>
          <t>2944162</t>
        </is>
      </c>
      <c r="E826" t="inlineStr"/>
      <c r="F826" t="inlineStr">
        <is>
          <t>2026-02-06</t>
        </is>
      </c>
      <c r="G826" t="inlineStr"/>
      <c r="H826" t="inlineStr">
        <is>
          <t>cus_11ce6c1312cf</t>
        </is>
      </c>
      <c r="I826" t="inlineStr">
        <is>
          <t>電通商業顧問股份有限公司</t>
        </is>
      </c>
      <c r="J826" t="inlineStr">
        <is>
          <t>24546918</t>
        </is>
      </c>
      <c r="K826" t="n">
        <v>65000</v>
      </c>
      <c r="L826" t="n">
        <v>68250</v>
      </c>
      <c r="M826" t="inlineStr">
        <is>
          <t>發票數據受眾包</t>
        </is>
      </c>
      <c r="N826" t="inlineStr">
        <is>
          <t>趙慧騥 Malo Chao</t>
        </is>
      </c>
      <c r="O826" t="inlineStr">
        <is>
          <t>11073台北市信義區松高路77號43樓</t>
        </is>
      </c>
      <c r="P826" t="inlineStr">
        <is>
          <t>Malo.Chao@dentsu.com</t>
        </is>
      </c>
      <c r="Q826" t="inlineStr">
        <is>
          <t>0933318219</t>
        </is>
      </c>
      <c r="R826" t="inlineStr"/>
      <c r="S826" t="inlineStr">
        <is>
          <t>未收款</t>
        </is>
      </c>
      <c r="T826" t="inlineStr">
        <is>
          <t>Dentsu
來源：單次型發票及收款紀錄 第 354 列</t>
        </is>
      </c>
      <c r="U826" t="inlineStr">
        <is>
          <t>收到發票隔月起60天</t>
        </is>
      </c>
      <c r="V826" t="inlineStr">
        <is>
          <t>2026-05-18</t>
        </is>
      </c>
    </row>
    <row r="827">
      <c r="A827" t="inlineStr">
        <is>
          <t>inv_d66fe927878a</t>
        </is>
      </c>
      <c r="B827" t="inlineStr">
        <is>
          <t>Kate</t>
        </is>
      </c>
      <c r="C827" t="inlineStr"/>
      <c r="D827" t="inlineStr">
        <is>
          <t>2944163</t>
        </is>
      </c>
      <c r="E827" t="inlineStr"/>
      <c r="F827" t="inlineStr">
        <is>
          <t>2026-02-06</t>
        </is>
      </c>
      <c r="G827" t="inlineStr"/>
      <c r="H827" t="inlineStr">
        <is>
          <t>cus_11ce6c1312cf</t>
        </is>
      </c>
      <c r="I827" t="inlineStr">
        <is>
          <t>電通商業顧問股份有限公司</t>
        </is>
      </c>
      <c r="J827" t="inlineStr">
        <is>
          <t>24546918</t>
        </is>
      </c>
      <c r="K827" t="n">
        <v>95000</v>
      </c>
      <c r="L827" t="n">
        <v>99750</v>
      </c>
      <c r="M827" t="inlineStr">
        <is>
          <t>發票數據受眾包</t>
        </is>
      </c>
      <c r="N827" t="inlineStr">
        <is>
          <t>趙慧騥 Malo Chao</t>
        </is>
      </c>
      <c r="O827" t="inlineStr">
        <is>
          <t>11073台北市信義區松高路77號43樓</t>
        </is>
      </c>
      <c r="P827" t="inlineStr">
        <is>
          <t>Malo.Chao@dentsu.com</t>
        </is>
      </c>
      <c r="Q827" t="inlineStr">
        <is>
          <t>0933318219</t>
        </is>
      </c>
      <c r="R827" t="inlineStr"/>
      <c r="S827" t="inlineStr">
        <is>
          <t>未收款</t>
        </is>
      </c>
      <c r="T827" t="inlineStr">
        <is>
          <t>Dentsu
來源：單次型發票及收款紀錄 第 355 列</t>
        </is>
      </c>
      <c r="U827" t="inlineStr">
        <is>
          <t>收到發票隔月起60天</t>
        </is>
      </c>
      <c r="V827" t="inlineStr">
        <is>
          <t>2026-05-18</t>
        </is>
      </c>
    </row>
    <row r="828">
      <c r="A828" t="inlineStr">
        <is>
          <t>inv_5ccf13c2f88e</t>
        </is>
      </c>
      <c r="B828" t="inlineStr">
        <is>
          <t>Kate</t>
        </is>
      </c>
      <c r="C828" t="inlineStr"/>
      <c r="D828" t="inlineStr">
        <is>
          <t>2944164</t>
        </is>
      </c>
      <c r="E828" t="inlineStr"/>
      <c r="F828" t="inlineStr">
        <is>
          <t>2026-02-06</t>
        </is>
      </c>
      <c r="G828" t="inlineStr"/>
      <c r="H828" t="inlineStr">
        <is>
          <t>cus_11ce6c1312cf</t>
        </is>
      </c>
      <c r="I828" t="inlineStr">
        <is>
          <t>電通商業顧問股份有限公司</t>
        </is>
      </c>
      <c r="J828" t="inlineStr">
        <is>
          <t>24546918</t>
        </is>
      </c>
      <c r="K828" t="n">
        <v>125000</v>
      </c>
      <c r="L828" t="n">
        <v>131250</v>
      </c>
      <c r="M828" t="inlineStr">
        <is>
          <t>發票數據受眾包</t>
        </is>
      </c>
      <c r="N828" t="inlineStr">
        <is>
          <t>趙慧騥 Malo Chao</t>
        </is>
      </c>
      <c r="O828" t="inlineStr">
        <is>
          <t>11073台北市信義區松高路77號43樓</t>
        </is>
      </c>
      <c r="P828" t="inlineStr">
        <is>
          <t>Malo.Chao@dentsu.com</t>
        </is>
      </c>
      <c r="Q828" t="inlineStr">
        <is>
          <t>0933318219</t>
        </is>
      </c>
      <c r="R828" t="inlineStr"/>
      <c r="S828" t="inlineStr">
        <is>
          <t>未收款</t>
        </is>
      </c>
      <c r="T828" t="inlineStr">
        <is>
          <t>Dentsu
來源：單次型發票及收款紀錄 第 356 列</t>
        </is>
      </c>
      <c r="U828" t="inlineStr">
        <is>
          <t>收到發票隔月起60天</t>
        </is>
      </c>
      <c r="V828" t="inlineStr">
        <is>
          <t>2026-05-18</t>
        </is>
      </c>
    </row>
    <row r="829">
      <c r="A829" t="inlineStr">
        <is>
          <t>inv_ba6ee35cc41a</t>
        </is>
      </c>
      <c r="B829" t="inlineStr">
        <is>
          <t>Kate</t>
        </is>
      </c>
      <c r="C829" t="inlineStr"/>
      <c r="D829" t="inlineStr">
        <is>
          <t>2944165</t>
        </is>
      </c>
      <c r="E829" t="inlineStr"/>
      <c r="F829" t="inlineStr">
        <is>
          <t>2026-02-06</t>
        </is>
      </c>
      <c r="G829" t="inlineStr"/>
      <c r="H829" t="inlineStr">
        <is>
          <t>cus_11ce6c1312cf</t>
        </is>
      </c>
      <c r="I829" t="inlineStr">
        <is>
          <t>電通商業顧問股份有限公司</t>
        </is>
      </c>
      <c r="J829" t="inlineStr">
        <is>
          <t>24546918</t>
        </is>
      </c>
      <c r="K829" t="n">
        <v>50000</v>
      </c>
      <c r="L829" t="n">
        <v>52500</v>
      </c>
      <c r="M829" t="inlineStr">
        <is>
          <t>發票數據受眾包</t>
        </is>
      </c>
      <c r="N829" t="inlineStr">
        <is>
          <t>趙慧騥 Malo Chao</t>
        </is>
      </c>
      <c r="O829" t="inlineStr">
        <is>
          <t>11073台北市信義區松高路77號43樓</t>
        </is>
      </c>
      <c r="P829" t="inlineStr">
        <is>
          <t>Malo.Chao@dentsu.com</t>
        </is>
      </c>
      <c r="Q829" t="inlineStr">
        <is>
          <t>0933318219</t>
        </is>
      </c>
      <c r="R829" t="inlineStr"/>
      <c r="S829" t="inlineStr">
        <is>
          <t>未收款</t>
        </is>
      </c>
      <c r="T829" t="inlineStr">
        <is>
          <t>Dentsu
來源：單次型發票及收款紀錄 第 357 列</t>
        </is>
      </c>
      <c r="U829" t="inlineStr">
        <is>
          <t>收到發票隔月起60天</t>
        </is>
      </c>
      <c r="V829" t="inlineStr">
        <is>
          <t>2026-05-18</t>
        </is>
      </c>
    </row>
    <row r="830">
      <c r="A830" t="inlineStr">
        <is>
          <t>inv_6d8012227131</t>
        </is>
      </c>
      <c r="B830" t="inlineStr">
        <is>
          <t>Cobi</t>
        </is>
      </c>
      <c r="C830" t="inlineStr">
        <is>
          <t>2026-05-05</t>
        </is>
      </c>
      <c r="D830" t="inlineStr">
        <is>
          <t>2944166</t>
        </is>
      </c>
      <c r="E830" t="inlineStr"/>
      <c r="F830" t="inlineStr">
        <is>
          <t>2026-02-06</t>
        </is>
      </c>
      <c r="G830" t="inlineStr"/>
      <c r="H830" t="inlineStr">
        <is>
          <t>cus_3816722e3e66</t>
        </is>
      </c>
      <c r="I830" t="inlineStr">
        <is>
          <t>全聯實業股份有限公司</t>
        </is>
      </c>
      <c r="J830" t="inlineStr">
        <is>
          <t>16740494</t>
        </is>
      </c>
      <c r="K830" t="n">
        <v>0</v>
      </c>
      <c r="L830" t="n">
        <v>151200</v>
      </c>
      <c r="M830" t="inlineStr">
        <is>
          <t>發票記帳資安優化(第一期)</t>
        </is>
      </c>
      <c r="N830" t="inlineStr">
        <is>
          <t>邱俊皓 Howard</t>
        </is>
      </c>
      <c r="O830" t="inlineStr">
        <is>
          <t>台北市中山區敬業四路33號4樓</t>
        </is>
      </c>
      <c r="P830" t="inlineStr">
        <is>
          <t>howard_chiu@pxmart.com.tw</t>
        </is>
      </c>
      <c r="Q830" t="inlineStr">
        <is>
          <t>02-2532-8000 ext. 1207</t>
        </is>
      </c>
      <c r="R830" t="inlineStr"/>
      <c r="S830" t="inlineStr">
        <is>
          <t>已收款</t>
        </is>
      </c>
      <c r="T830" t="inlineStr">
        <is>
          <t>記帳專案
來源：單次型發票及收款紀錄 第 358 列</t>
        </is>
      </c>
      <c r="U830" t="inlineStr">
        <is>
          <t>收到發票隔月30號</t>
        </is>
      </c>
      <c r="V830" t="inlineStr">
        <is>
          <t>2026-05-18</t>
        </is>
      </c>
    </row>
    <row r="831">
      <c r="A831" t="inlineStr">
        <is>
          <t>inv_0ad2e51d8bc8</t>
        </is>
      </c>
      <c r="B831" t="inlineStr">
        <is>
          <t>Kate</t>
        </is>
      </c>
      <c r="C831" t="inlineStr">
        <is>
          <t>2026-03-31</t>
        </is>
      </c>
      <c r="D831" t="inlineStr">
        <is>
          <t>2948526</t>
        </is>
      </c>
      <c r="E831" t="inlineStr"/>
      <c r="F831" t="inlineStr">
        <is>
          <t>2026-02-10</t>
        </is>
      </c>
      <c r="G831" t="inlineStr"/>
      <c r="H831" t="inlineStr">
        <is>
          <t>cus_00cf1d9fc303</t>
        </is>
      </c>
      <c r="I831" t="inlineStr">
        <is>
          <t>鮮速冷鏈科技股份有限公司</t>
        </is>
      </c>
      <c r="J831" t="inlineStr">
        <is>
          <t>42585899</t>
        </is>
      </c>
      <c r="K831" t="n">
        <v>300000</v>
      </c>
      <c r="L831" t="n">
        <v>315000</v>
      </c>
      <c r="M831" t="inlineStr">
        <is>
          <t>專案-
電商通路_蝦皮/酷澎_8/9月+美妝中分類</t>
        </is>
      </c>
      <c r="N831" t="inlineStr">
        <is>
          <t>李芷氤 Serene</t>
        </is>
      </c>
      <c r="O831" t="inlineStr">
        <is>
          <t>台北市松山區民生東路三段156號9樓</t>
        </is>
      </c>
      <c r="P831" t="inlineStr">
        <is>
          <t>serene.lee@gogoffcc.com</t>
        </is>
      </c>
      <c r="Q831" t="inlineStr">
        <is>
          <t>03-6215252/0920-438893</t>
        </is>
      </c>
      <c r="R831" t="inlineStr"/>
      <c r="S831" t="inlineStr">
        <is>
          <t>已收款</t>
        </is>
      </c>
      <c r="T831" t="inlineStr">
        <is>
          <t>未來流通研究所
來源：單次型發票及收款紀錄 第 359 列</t>
        </is>
      </c>
      <c r="U831" t="inlineStr">
        <is>
          <t>預計入帳</t>
        </is>
      </c>
      <c r="V831" t="inlineStr">
        <is>
          <t>2026-05-18</t>
        </is>
      </c>
    </row>
    <row r="832">
      <c r="A832" t="inlineStr">
        <is>
          <t>inv_243372cbdb63</t>
        </is>
      </c>
      <c r="B832" t="inlineStr">
        <is>
          <t>Cobi</t>
        </is>
      </c>
      <c r="C832" t="inlineStr"/>
      <c r="D832" t="inlineStr">
        <is>
          <t>2948527(2/12金額錯誤作廢)</t>
        </is>
      </c>
      <c r="E832" t="inlineStr"/>
      <c r="F832" t="inlineStr">
        <is>
          <t>2026-02-10</t>
        </is>
      </c>
      <c r="G832" t="inlineStr"/>
      <c r="H832" t="inlineStr">
        <is>
          <t>cus_2397e7849eba</t>
        </is>
      </c>
      <c r="I832" t="inlineStr">
        <is>
          <t>睿鼎數位股份有限公司</t>
        </is>
      </c>
      <c r="J832" t="inlineStr">
        <is>
          <t>42837620</t>
        </is>
      </c>
      <c r="K832" t="n">
        <v>0</v>
      </c>
      <c r="L832" t="n">
        <v>60000</v>
      </c>
      <c r="M832" t="inlineStr">
        <is>
          <t>發票API月租</t>
        </is>
      </c>
      <c r="N832" t="inlineStr">
        <is>
          <t>羅聖耀</t>
        </is>
      </c>
      <c r="O832" t="inlineStr">
        <is>
          <t>台北市大安區信義路四段89-1號8樓</t>
        </is>
      </c>
      <c r="P832" t="inlineStr">
        <is>
          <t>davidlo@12cm.com.tw</t>
        </is>
      </c>
      <c r="Q832" t="inlineStr"/>
      <c r="R832" t="inlineStr"/>
      <c r="S832" t="inlineStr">
        <is>
          <t>未收款</t>
        </is>
      </c>
      <c r="T832" t="inlineStr">
        <is>
          <t>來源：單次型發票及收款紀錄 第 360 列</t>
        </is>
      </c>
      <c r="U832" t="inlineStr">
        <is>
          <t>收到發票隔月起30天</t>
        </is>
      </c>
      <c r="V832" t="inlineStr">
        <is>
          <t>2026-05-18</t>
        </is>
      </c>
    </row>
    <row r="833">
      <c r="A833" t="inlineStr">
        <is>
          <t>inv_78c5b29d140c</t>
        </is>
      </c>
      <c r="B833" t="inlineStr">
        <is>
          <t>Cobi</t>
        </is>
      </c>
      <c r="C833" t="inlineStr">
        <is>
          <t>2026-02-25</t>
        </is>
      </c>
      <c r="D833" t="inlineStr">
        <is>
          <t>2950636</t>
        </is>
      </c>
      <c r="E833" t="inlineStr"/>
      <c r="F833" t="inlineStr"/>
      <c r="G833" t="inlineStr"/>
      <c r="H833" t="inlineStr">
        <is>
          <t>cus_2397e7849eba</t>
        </is>
      </c>
      <c r="I833" t="inlineStr">
        <is>
          <t>睿鼎數位股份有限公司</t>
        </is>
      </c>
      <c r="J833" t="inlineStr">
        <is>
          <t>42837620</t>
        </is>
      </c>
      <c r="K833" t="n">
        <v>0</v>
      </c>
      <c r="L833" t="n">
        <v>40000</v>
      </c>
      <c r="M833" t="inlineStr">
        <is>
          <t>發票API月租(雀巢、益節)</t>
        </is>
      </c>
      <c r="N833" t="inlineStr">
        <is>
          <t>羅聖耀</t>
        </is>
      </c>
      <c r="O833" t="inlineStr">
        <is>
          <t>台北市大安區信義路四段89-1號8樓</t>
        </is>
      </c>
      <c r="P833" t="inlineStr">
        <is>
          <t>davidlo@12cm.com.tw</t>
        </is>
      </c>
      <c r="Q833" t="inlineStr"/>
      <c r="R833" t="inlineStr"/>
      <c r="S833" t="inlineStr">
        <is>
          <t>已收款</t>
        </is>
      </c>
      <c r="T833" t="inlineStr">
        <is>
          <t>來源：單次型發票及收款紀錄 第 361 列</t>
        </is>
      </c>
      <c r="U833" t="inlineStr">
        <is>
          <t>收到發票隔月起30天</t>
        </is>
      </c>
      <c r="V833" t="inlineStr">
        <is>
          <t>2026-05-18</t>
        </is>
      </c>
    </row>
    <row r="834">
      <c r="A834" t="inlineStr">
        <is>
          <t>inv_cca8581ccd9c</t>
        </is>
      </c>
      <c r="B834" t="inlineStr">
        <is>
          <t>Kate</t>
        </is>
      </c>
      <c r="C834" t="inlineStr">
        <is>
          <t>2026-03-25</t>
        </is>
      </c>
      <c r="D834" t="inlineStr">
        <is>
          <t>2961984</t>
        </is>
      </c>
      <c r="E834" t="inlineStr"/>
      <c r="F834" t="inlineStr">
        <is>
          <t>2025-02-25</t>
        </is>
      </c>
      <c r="G834" t="inlineStr"/>
      <c r="H834" t="inlineStr">
        <is>
          <t>cus_9117758d2ff8</t>
        </is>
      </c>
      <c r="I834" t="inlineStr">
        <is>
          <t>星醫美學股份有限公司</t>
        </is>
      </c>
      <c r="J834" t="inlineStr">
        <is>
          <t>53317111</t>
        </is>
      </c>
      <c r="K834" t="n">
        <v>45000</v>
      </c>
      <c r="L834" t="n">
        <v>47250</v>
      </c>
      <c r="M834" t="inlineStr">
        <is>
          <t>發票數據受眾包</t>
        </is>
      </c>
      <c r="N834" t="inlineStr">
        <is>
          <t>Max Chen 陳暐勲</t>
        </is>
      </c>
      <c r="O834" t="inlineStr">
        <is>
          <t>新北市新店區北新路3段225號13樓</t>
        </is>
      </c>
      <c r="P834" t="inlineStr">
        <is>
          <t>max.chen@starnic.com.tw</t>
        </is>
      </c>
      <c r="Q834" t="inlineStr">
        <is>
          <t>(02)2389-9929 # 254</t>
        </is>
      </c>
      <c r="R834" t="inlineStr"/>
      <c r="S834" t="inlineStr">
        <is>
          <t>已收款</t>
        </is>
      </c>
      <c r="T834" t="inlineStr">
        <is>
          <t>主題包
來源：單次型發票及收款紀錄 第 362 列</t>
        </is>
      </c>
      <c r="U834" t="inlineStr"/>
      <c r="V834" t="inlineStr">
        <is>
          <t>2026-05-18</t>
        </is>
      </c>
    </row>
    <row r="835">
      <c r="A835" t="inlineStr">
        <is>
          <t>inv_6934298d13d2</t>
        </is>
      </c>
      <c r="B835" t="inlineStr">
        <is>
          <t>Kate</t>
        </is>
      </c>
      <c r="C835" t="inlineStr">
        <is>
          <t>2026-03-20</t>
        </is>
      </c>
      <c r="D835" t="inlineStr">
        <is>
          <t>2966215</t>
        </is>
      </c>
      <c r="E835" t="inlineStr"/>
      <c r="F835" t="inlineStr">
        <is>
          <t>2026-03-02</t>
        </is>
      </c>
      <c r="G835" t="inlineStr"/>
      <c r="H835" t="inlineStr">
        <is>
          <t>cus_4ad97e802893</t>
        </is>
      </c>
      <c r="I835" t="inlineStr">
        <is>
          <t>大買家股份有限公司</t>
        </is>
      </c>
      <c r="J835" t="inlineStr">
        <is>
          <t>84442769</t>
        </is>
      </c>
      <c r="K835" t="n">
        <v>90000</v>
      </c>
      <c r="L835" t="n">
        <v>94500</v>
      </c>
      <c r="M835" t="inlineStr">
        <is>
          <t>Q4季報</t>
        </is>
      </c>
      <c r="N835" t="inlineStr">
        <is>
          <t>劉嘉文 Karen</t>
        </is>
      </c>
      <c r="O835" t="inlineStr">
        <is>
          <t>台中市西區大隆路20號14樓-8(B棟)</t>
        </is>
      </c>
      <c r="P835" t="inlineStr">
        <is>
          <t>karen4263@gmail.com</t>
        </is>
      </c>
      <c r="Q835" t="inlineStr">
        <is>
          <t>04-23106677 #2805</t>
        </is>
      </c>
      <c r="R835" t="inlineStr"/>
      <c r="S835" t="inlineStr">
        <is>
          <t>已收款</t>
        </is>
      </c>
      <c r="T835" t="inlineStr">
        <is>
          <t>季報
來源：單次型發票及收款紀錄 第 366 列</t>
        </is>
      </c>
      <c r="U835" t="inlineStr">
        <is>
          <t>五號前收到發票當月20號付款</t>
        </is>
      </c>
      <c r="V835" t="inlineStr">
        <is>
          <t>2026-05-18</t>
        </is>
      </c>
    </row>
    <row r="836">
      <c r="A836" t="inlineStr">
        <is>
          <t>inv_fd7b842dff27</t>
        </is>
      </c>
      <c r="B836" t="inlineStr">
        <is>
          <t>Stanley</t>
        </is>
      </c>
      <c r="C836" t="inlineStr"/>
      <c r="D836" t="inlineStr">
        <is>
          <t>2970443</t>
        </is>
      </c>
      <c r="E836" t="inlineStr"/>
      <c r="F836" t="inlineStr">
        <is>
          <t>2026-03-05</t>
        </is>
      </c>
      <c r="G836" t="inlineStr"/>
      <c r="H836" t="inlineStr">
        <is>
          <t>cus_91a04eb262ec</t>
        </is>
      </c>
      <c r="I836" t="inlineStr">
        <is>
          <t>酷遊天國際旅行社股份有限公司</t>
        </is>
      </c>
      <c r="J836" t="inlineStr">
        <is>
          <t>24977417</t>
        </is>
      </c>
      <c r="K836" t="n">
        <v>0</v>
      </c>
      <c r="L836" t="n">
        <v>16949</v>
      </c>
      <c r="M836" t="inlineStr">
        <is>
          <t>發票載具中獎放大分潤</t>
        </is>
      </c>
      <c r="N836" t="inlineStr">
        <is>
          <t>Max</t>
        </is>
      </c>
      <c r="O836" t="inlineStr">
        <is>
          <t>11494臺北市內湖區新湖一路128巷15號5樓</t>
        </is>
      </c>
      <c r="P836" t="inlineStr">
        <is>
          <t>stanley_cheng@cmoney.com.tw</t>
        </is>
      </c>
      <c r="Q836" t="inlineStr">
        <is>
          <t>02-8227-1280</t>
        </is>
      </c>
      <c r="R836" t="inlineStr"/>
      <c r="S836" t="inlineStr">
        <is>
          <t>未收款</t>
        </is>
      </c>
      <c r="T836" t="inlineStr">
        <is>
          <t>來源：單次型發票及收款紀錄 第 367 列</t>
        </is>
      </c>
      <c r="U836" t="inlineStr">
        <is>
          <t>收到發票隔月30號</t>
        </is>
      </c>
      <c r="V836" t="inlineStr">
        <is>
          <t>2026-05-18</t>
        </is>
      </c>
    </row>
    <row r="837">
      <c r="A837" t="inlineStr">
        <is>
          <t>inv_8002df6245b0</t>
        </is>
      </c>
      <c r="B837" t="inlineStr">
        <is>
          <t>Stanley</t>
        </is>
      </c>
      <c r="C837" t="inlineStr">
        <is>
          <t>2026-04-27</t>
        </is>
      </c>
      <c r="D837" t="inlineStr">
        <is>
          <t>2970449</t>
        </is>
      </c>
      <c r="E837" t="inlineStr"/>
      <c r="F837" t="inlineStr">
        <is>
          <t>2026-03-05</t>
        </is>
      </c>
      <c r="G837" t="inlineStr"/>
      <c r="H837" t="inlineStr">
        <is>
          <t>cus_bdd658582436</t>
        </is>
      </c>
      <c r="I837" t="inlineStr">
        <is>
          <t>富利餐飲股份有限公司</t>
        </is>
      </c>
      <c r="J837" t="inlineStr">
        <is>
          <t>97161500</t>
        </is>
      </c>
      <c r="K837" t="n">
        <v>13953</v>
      </c>
      <c r="L837" t="n">
        <v>14651</v>
      </c>
      <c r="M837" t="inlineStr">
        <is>
          <t>發票載具中獎放大</t>
        </is>
      </c>
      <c r="N837" t="inlineStr">
        <is>
          <t>Ian</t>
        </is>
      </c>
      <c r="O837" t="inlineStr">
        <is>
          <t>10489台北市建國北路1段96號9樓</t>
        </is>
      </c>
      <c r="P837" t="inlineStr">
        <is>
          <t>Ian.Yang@jrgtw.com</t>
        </is>
      </c>
      <c r="Q837" t="inlineStr">
        <is>
          <t>02-2503-6889 #8298</t>
        </is>
      </c>
      <c r="R837" t="inlineStr"/>
      <c r="S837" t="inlineStr">
        <is>
          <t>已收款</t>
        </is>
      </c>
      <c r="T837" t="inlineStr">
        <is>
          <t>必勝客
來源：單次型發票及收款紀錄 第 368 列</t>
        </is>
      </c>
      <c r="U837" t="inlineStr">
        <is>
          <t>收到發票隔月30號</t>
        </is>
      </c>
      <c r="V837" t="inlineStr">
        <is>
          <t>2026-05-18</t>
        </is>
      </c>
    </row>
    <row r="838">
      <c r="A838" t="inlineStr">
        <is>
          <t>inv_9d13281c4d28</t>
        </is>
      </c>
      <c r="B838" t="inlineStr">
        <is>
          <t>Stanley</t>
        </is>
      </c>
      <c r="C838" t="inlineStr">
        <is>
          <t>2026-04-30</t>
        </is>
      </c>
      <c r="D838" t="inlineStr">
        <is>
          <t>2970450</t>
        </is>
      </c>
      <c r="E838" t="inlineStr"/>
      <c r="F838" t="inlineStr">
        <is>
          <t>2026-03-05</t>
        </is>
      </c>
      <c r="G838" t="inlineStr"/>
      <c r="H838" t="inlineStr">
        <is>
          <t>cus_bdd658582436</t>
        </is>
      </c>
      <c r="I838" t="inlineStr">
        <is>
          <t>富利餐飲股份有限公司</t>
        </is>
      </c>
      <c r="J838" t="inlineStr">
        <is>
          <t>97161500</t>
        </is>
      </c>
      <c r="K838" t="n">
        <v>7838</v>
      </c>
      <c r="L838" t="n">
        <v>8230</v>
      </c>
      <c r="M838" t="inlineStr">
        <is>
          <t>發票載具中獎放大</t>
        </is>
      </c>
      <c r="N838" t="inlineStr">
        <is>
          <t>Ian</t>
        </is>
      </c>
      <c r="O838" t="inlineStr">
        <is>
          <t>10489台北市建國北路1段96號9樓</t>
        </is>
      </c>
      <c r="P838" t="inlineStr">
        <is>
          <t>Ian.Yang@jrgtw.com</t>
        </is>
      </c>
      <c r="Q838" t="inlineStr">
        <is>
          <t>02-2503-6889 #8298</t>
        </is>
      </c>
      <c r="R838" t="inlineStr"/>
      <c r="S838" t="inlineStr">
        <is>
          <t>已收款</t>
        </is>
      </c>
      <c r="T838" t="inlineStr">
        <is>
          <t>肯德基
來源：單次型發票及收款紀錄 第 369 列</t>
        </is>
      </c>
      <c r="U838" t="inlineStr">
        <is>
          <t>收到發票隔月30號</t>
        </is>
      </c>
      <c r="V838" t="inlineStr">
        <is>
          <t>2026-05-18</t>
        </is>
      </c>
    </row>
    <row r="839">
      <c r="A839" t="inlineStr">
        <is>
          <t>inv_af043f4755a3</t>
        </is>
      </c>
      <c r="B839" t="inlineStr">
        <is>
          <t>Cobi</t>
        </is>
      </c>
      <c r="C839" t="inlineStr">
        <is>
          <t>2026-03-25</t>
        </is>
      </c>
      <c r="D839" t="inlineStr">
        <is>
          <t>2970444</t>
        </is>
      </c>
      <c r="E839" t="inlineStr"/>
      <c r="F839" t="inlineStr">
        <is>
          <t>2026-03-05</t>
        </is>
      </c>
      <c r="G839" t="inlineStr"/>
      <c r="H839" t="inlineStr">
        <is>
          <t>cus_2397e7849eba</t>
        </is>
      </c>
      <c r="I839" t="inlineStr">
        <is>
          <t>睿鼎數位股份有限公司</t>
        </is>
      </c>
      <c r="J839" t="inlineStr">
        <is>
          <t>42837620</t>
        </is>
      </c>
      <c r="K839" t="n">
        <v>0</v>
      </c>
      <c r="L839" t="n">
        <v>40000</v>
      </c>
      <c r="M839" t="inlineStr">
        <is>
          <t>發票API月租(雀巢、益節)</t>
        </is>
      </c>
      <c r="N839" t="inlineStr">
        <is>
          <t>pmteam</t>
        </is>
      </c>
      <c r="O839" t="inlineStr">
        <is>
          <t>台北市大安區信義路四段89-1號8樓</t>
        </is>
      </c>
      <c r="P839" t="inlineStr">
        <is>
          <t>pmteam@12cm.com.tw</t>
        </is>
      </c>
      <c r="Q839" t="inlineStr"/>
      <c r="R839" t="inlineStr"/>
      <c r="S839" t="inlineStr">
        <is>
          <t>已收款</t>
        </is>
      </c>
      <c r="T839" t="inlineStr">
        <is>
          <t>來源：單次型發票及收款紀錄 第 370 列</t>
        </is>
      </c>
      <c r="U839" t="inlineStr">
        <is>
          <t>收到發票隔月起30天</t>
        </is>
      </c>
      <c r="V839" t="inlineStr">
        <is>
          <t>2026-05-18</t>
        </is>
      </c>
    </row>
    <row r="840">
      <c r="A840" t="inlineStr">
        <is>
          <t>inv_fc6ca11b4db8</t>
        </is>
      </c>
      <c r="B840" t="inlineStr">
        <is>
          <t>Peggy</t>
        </is>
      </c>
      <c r="C840" t="inlineStr">
        <is>
          <t>2026-03-13</t>
        </is>
      </c>
      <c r="D840" t="inlineStr">
        <is>
          <t>2970445</t>
        </is>
      </c>
      <c r="E840" t="inlineStr"/>
      <c r="F840" t="inlineStr">
        <is>
          <t>2026-03-05</t>
        </is>
      </c>
      <c r="G840" t="inlineStr"/>
      <c r="H840" t="inlineStr">
        <is>
          <t>cus_a586aac3e559</t>
        </is>
      </c>
      <c r="I840" t="inlineStr">
        <is>
          <t>台灣綠金家園有限公司</t>
        </is>
      </c>
      <c r="J840" t="inlineStr">
        <is>
          <t>24978823</t>
        </is>
      </c>
      <c r="K840" t="n">
        <v>160000</v>
      </c>
      <c r="L840" t="n">
        <v>168000</v>
      </c>
      <c r="M840" t="inlineStr">
        <is>
          <t>發票數據受眾包</t>
        </is>
      </c>
      <c r="N840" t="inlineStr">
        <is>
          <t>黃品瑄</t>
        </is>
      </c>
      <c r="O840" t="inlineStr">
        <is>
          <t>台中市西區五權西路一段237號7F-1</t>
        </is>
      </c>
      <c r="P840" t="inlineStr">
        <is>
          <t>tgda24978823@gmail.com</t>
        </is>
      </c>
      <c r="Q840" t="inlineStr">
        <is>
          <t>04-3609-7575</t>
        </is>
      </c>
      <c r="R840" t="inlineStr"/>
      <c r="S840" t="inlineStr">
        <is>
          <t>已收款</t>
        </is>
      </c>
      <c r="T840" t="inlineStr">
        <is>
          <t>GREENGOLD
來源：單次型發票及收款紀錄 第 371 列</t>
        </is>
      </c>
      <c r="U840" t="inlineStr">
        <is>
          <t>預計3/13付款</t>
        </is>
      </c>
      <c r="V840" t="inlineStr">
        <is>
          <t>2026-05-18</t>
        </is>
      </c>
    </row>
    <row r="841">
      <c r="A841" t="inlineStr">
        <is>
          <t>inv_443e23283195</t>
        </is>
      </c>
      <c r="B841" t="inlineStr">
        <is>
          <t>Stanley</t>
        </is>
      </c>
      <c r="C841" t="inlineStr"/>
      <c r="D841" t="inlineStr">
        <is>
          <t>2970443</t>
        </is>
      </c>
      <c r="E841" t="inlineStr"/>
      <c r="F841" t="inlineStr">
        <is>
          <t>2026-03-05</t>
        </is>
      </c>
      <c r="G841" t="inlineStr"/>
      <c r="H841" t="inlineStr">
        <is>
          <t>cus_91a04eb262ec</t>
        </is>
      </c>
      <c r="I841" t="inlineStr">
        <is>
          <t>酷遊天國際旅行社股份有限公司</t>
        </is>
      </c>
      <c r="J841" t="inlineStr">
        <is>
          <t>24977417</t>
        </is>
      </c>
      <c r="K841" t="n">
        <v>0</v>
      </c>
      <c r="L841" t="n">
        <v>16949</v>
      </c>
      <c r="M841" t="inlineStr">
        <is>
          <t>發票載具中獎放大分潤</t>
        </is>
      </c>
      <c r="N841" t="inlineStr">
        <is>
          <t>Max</t>
        </is>
      </c>
      <c r="O841" t="inlineStr">
        <is>
          <t>11494臺北市內湖區新湖一路128巷15號5樓</t>
        </is>
      </c>
      <c r="P841" t="inlineStr">
        <is>
          <t>stanley_cheng@cmoney.com.tw</t>
        </is>
      </c>
      <c r="Q841" t="inlineStr">
        <is>
          <t>02-8227-1280</t>
        </is>
      </c>
      <c r="R841" t="inlineStr"/>
      <c r="S841" t="inlineStr">
        <is>
          <t>未收款</t>
        </is>
      </c>
      <c r="T841" t="inlineStr">
        <is>
          <t>來源：單次型發票及收款紀錄 第 372 列</t>
        </is>
      </c>
      <c r="U841" t="inlineStr">
        <is>
          <t>收到發票隔月30號</t>
        </is>
      </c>
      <c r="V841" t="inlineStr">
        <is>
          <t>2026-05-18</t>
        </is>
      </c>
    </row>
    <row r="842">
      <c r="A842" t="inlineStr">
        <is>
          <t>inv_178f66c8a597</t>
        </is>
      </c>
      <c r="B842" t="inlineStr">
        <is>
          <t>Erin</t>
        </is>
      </c>
      <c r="C842" t="inlineStr"/>
      <c r="D842" t="inlineStr">
        <is>
          <t>2970447</t>
        </is>
      </c>
      <c r="E842" t="inlineStr"/>
      <c r="F842" t="inlineStr">
        <is>
          <t>2026-03-05</t>
        </is>
      </c>
      <c r="G842" t="inlineStr"/>
      <c r="H842" t="inlineStr">
        <is>
          <t>cus_d70917d65656</t>
        </is>
      </c>
      <c r="I842" t="inlineStr">
        <is>
          <t>香港商陽獅銳奇媒體股份有限公司台灣分公司星傳媒體事業處</t>
        </is>
      </c>
      <c r="J842" t="inlineStr">
        <is>
          <t>26287090</t>
        </is>
      </c>
      <c r="K842" t="n">
        <v>70000</v>
      </c>
      <c r="L842" t="n">
        <v>73500</v>
      </c>
      <c r="M842" t="inlineStr">
        <is>
          <t>廣告受眾包</t>
        </is>
      </c>
      <c r="N842" t="inlineStr">
        <is>
          <t>Aida Chou</t>
        </is>
      </c>
      <c r="O842" t="inlineStr">
        <is>
          <t>台北市大安區信義路四段6號8樓</t>
        </is>
      </c>
      <c r="P842" t="inlineStr">
        <is>
          <t>erin_yeh@cmoney.com.tw</t>
        </is>
      </c>
      <c r="Q842" t="inlineStr">
        <is>
          <t>02-77342829</t>
        </is>
      </c>
      <c r="R842" t="inlineStr"/>
      <c r="S842" t="inlineStr">
        <is>
          <t>未收款</t>
        </is>
      </c>
      <c r="T842" t="inlineStr">
        <is>
          <t>Mars_
Petcare
來源：單次型發票及收款紀錄 第 373 列</t>
        </is>
      </c>
      <c r="U842" t="inlineStr">
        <is>
          <t>收到發票隔月起95天</t>
        </is>
      </c>
      <c r="V842" t="inlineStr">
        <is>
          <t>2026-05-18</t>
        </is>
      </c>
    </row>
    <row r="843">
      <c r="A843" t="inlineStr">
        <is>
          <t>inv_c94ebe3acc52</t>
        </is>
      </c>
      <c r="B843" t="inlineStr">
        <is>
          <t>Erin</t>
        </is>
      </c>
      <c r="C843" t="inlineStr"/>
      <c r="D843" t="inlineStr">
        <is>
          <t>2970448</t>
        </is>
      </c>
      <c r="E843" t="inlineStr"/>
      <c r="F843" t="inlineStr">
        <is>
          <t>2026-03-05</t>
        </is>
      </c>
      <c r="G843" t="inlineStr"/>
      <c r="H843" t="inlineStr">
        <is>
          <t>cus_d70917d65656</t>
        </is>
      </c>
      <c r="I843" t="inlineStr">
        <is>
          <t>香港商陽獅銳奇媒體股份有限公司台灣分公司星傳媒體事業處</t>
        </is>
      </c>
      <c r="J843" t="inlineStr">
        <is>
          <t>26287090</t>
        </is>
      </c>
      <c r="K843" t="n">
        <v>45000</v>
      </c>
      <c r="L843" t="n">
        <v>47250</v>
      </c>
      <c r="M843" t="inlineStr">
        <is>
          <t>廣告受眾包</t>
        </is>
      </c>
      <c r="N843" t="inlineStr">
        <is>
          <t>Cindy Wu</t>
        </is>
      </c>
      <c r="O843" t="inlineStr">
        <is>
          <t>台北市大安區信義路四段6號8樓</t>
        </is>
      </c>
      <c r="P843" t="inlineStr">
        <is>
          <t>erin_yeh@cmoney.com.tw</t>
        </is>
      </c>
      <c r="Q843" t="inlineStr">
        <is>
          <t>02-77348701</t>
        </is>
      </c>
      <c r="R843" t="inlineStr"/>
      <c r="S843" t="inlineStr">
        <is>
          <t>未收款</t>
        </is>
      </c>
      <c r="T843" t="inlineStr">
        <is>
          <t>P&amp;G_Oral-B
來源：單次型發票及收款紀錄 第 374 列</t>
        </is>
      </c>
      <c r="U843" t="inlineStr">
        <is>
          <t>收到發票隔月起95天</t>
        </is>
      </c>
      <c r="V843" t="inlineStr">
        <is>
          <t>2026-05-18</t>
        </is>
      </c>
    </row>
    <row r="844">
      <c r="A844" t="inlineStr">
        <is>
          <t>inv_7de792f96920</t>
        </is>
      </c>
      <c r="B844" t="inlineStr">
        <is>
          <t>Kate</t>
        </is>
      </c>
      <c r="C844" t="inlineStr"/>
      <c r="D844" t="inlineStr">
        <is>
          <t>2975083</t>
        </is>
      </c>
      <c r="E844" t="inlineStr"/>
      <c r="F844" t="inlineStr">
        <is>
          <t>2026-03-10</t>
        </is>
      </c>
      <c r="G844" t="inlineStr"/>
      <c r="H844" t="inlineStr">
        <is>
          <t>cus_11ce6c1312cf</t>
        </is>
      </c>
      <c r="I844" t="inlineStr">
        <is>
          <t>電通商業顧問股份有限公司</t>
        </is>
      </c>
      <c r="J844" t="inlineStr">
        <is>
          <t>24546918</t>
        </is>
      </c>
      <c r="K844" t="n">
        <v>255000</v>
      </c>
      <c r="L844" t="n">
        <v>267750</v>
      </c>
      <c r="M844" t="inlineStr">
        <is>
          <t>發票數據受眾包</t>
        </is>
      </c>
      <c r="N844" t="inlineStr">
        <is>
          <t>趙慧騥 Malo Chao</t>
        </is>
      </c>
      <c r="O844" t="inlineStr">
        <is>
          <t>11073台北市信義區松高路77號43樓</t>
        </is>
      </c>
      <c r="P844" t="inlineStr">
        <is>
          <t>Malo.Chao@dentsu.com</t>
        </is>
      </c>
      <c r="Q844" t="inlineStr">
        <is>
          <t>0933318219</t>
        </is>
      </c>
      <c r="R844" t="inlineStr"/>
      <c r="S844" t="inlineStr">
        <is>
          <t>未收款</t>
        </is>
      </c>
      <c r="T844" t="inlineStr">
        <is>
          <t>Dentsu
來源：單次型發票及收款紀錄 第 375 列</t>
        </is>
      </c>
      <c r="U844" t="inlineStr">
        <is>
          <t>收到發票隔月起60天</t>
        </is>
      </c>
      <c r="V844" t="inlineStr">
        <is>
          <t>2026-05-18</t>
        </is>
      </c>
    </row>
    <row r="845">
      <c r="A845" t="inlineStr">
        <is>
          <t>inv_fc7806d177f1</t>
        </is>
      </c>
      <c r="B845" t="inlineStr">
        <is>
          <t>Kate</t>
        </is>
      </c>
      <c r="C845" t="inlineStr"/>
      <c r="D845" t="inlineStr">
        <is>
          <t>2975084</t>
        </is>
      </c>
      <c r="E845" t="inlineStr"/>
      <c r="F845" t="inlineStr">
        <is>
          <t>2026-03-10</t>
        </is>
      </c>
      <c r="G845" t="inlineStr"/>
      <c r="H845" t="inlineStr">
        <is>
          <t>cus_11ce6c1312cf</t>
        </is>
      </c>
      <c r="I845" t="inlineStr">
        <is>
          <t>電通商業顧問股份有限公司</t>
        </is>
      </c>
      <c r="J845" t="inlineStr">
        <is>
          <t>24546918</t>
        </is>
      </c>
      <c r="K845" t="n">
        <v>60000</v>
      </c>
      <c r="L845" t="n">
        <v>63000</v>
      </c>
      <c r="M845" t="inlineStr">
        <is>
          <t>發票數據受眾包</t>
        </is>
      </c>
      <c r="N845" t="inlineStr">
        <is>
          <t>趙慧騥 Malo Chao</t>
        </is>
      </c>
      <c r="O845" t="inlineStr">
        <is>
          <t>11073台北市信義區松高路77號43樓</t>
        </is>
      </c>
      <c r="P845" t="inlineStr">
        <is>
          <t>Malo.Chao@dentsu.com</t>
        </is>
      </c>
      <c r="Q845" t="inlineStr">
        <is>
          <t>0933318219</t>
        </is>
      </c>
      <c r="R845" t="inlineStr"/>
      <c r="S845" t="inlineStr">
        <is>
          <t>未收款</t>
        </is>
      </c>
      <c r="T845" t="inlineStr">
        <is>
          <t>Dentsu
來源：單次型發票及收款紀錄 第 376 列</t>
        </is>
      </c>
      <c r="U845" t="inlineStr">
        <is>
          <t>收到發票隔月起60天</t>
        </is>
      </c>
      <c r="V845" t="inlineStr">
        <is>
          <t>2026-05-18</t>
        </is>
      </c>
    </row>
    <row r="846">
      <c r="A846" t="inlineStr">
        <is>
          <t>inv_844084eba678</t>
        </is>
      </c>
      <c r="B846" t="inlineStr">
        <is>
          <t>Peggy</t>
        </is>
      </c>
      <c r="C846" t="inlineStr">
        <is>
          <t>2026-03-19</t>
        </is>
      </c>
      <c r="D846" t="inlineStr">
        <is>
          <t>2992812</t>
        </is>
      </c>
      <c r="E846" t="inlineStr"/>
      <c r="F846" t="inlineStr">
        <is>
          <t>2026-03-20</t>
        </is>
      </c>
      <c r="G846" t="inlineStr"/>
      <c r="H846" t="inlineStr">
        <is>
          <t>cus_ae9dd5ab3f97</t>
        </is>
      </c>
      <c r="I846" t="inlineStr">
        <is>
          <t>嘉姿俐實業股份有限公司</t>
        </is>
      </c>
      <c r="J846" t="inlineStr">
        <is>
          <t>86028490</t>
        </is>
      </c>
      <c r="K846" t="n">
        <v>10000</v>
      </c>
      <c r="L846" t="n">
        <v>10500</v>
      </c>
      <c r="M846" t="inlineStr">
        <is>
          <t>發票數據受眾包</t>
        </is>
      </c>
      <c r="N846" t="inlineStr">
        <is>
          <t>翁芷卿 Blake</t>
        </is>
      </c>
      <c r="O846" t="inlineStr">
        <is>
          <t>台北市中山區南京東路三段28號11樓</t>
        </is>
      </c>
      <c r="P846" t="inlineStr">
        <is>
          <t>blake@starlace.com</t>
        </is>
      </c>
      <c r="Q846" t="inlineStr">
        <is>
          <t>02-2509-5585 ext.303</t>
        </is>
      </c>
      <c r="R846" t="inlineStr"/>
      <c r="S846" t="inlineStr">
        <is>
          <t>已收款</t>
        </is>
      </c>
      <c r="T846" t="inlineStr">
        <is>
          <t>STAR LACE
來源：單次型發票及收款紀錄 第 377 列</t>
        </is>
      </c>
      <c r="U846" t="inlineStr">
        <is>
          <t>預付</t>
        </is>
      </c>
      <c r="V846" t="inlineStr">
        <is>
          <t>2026-05-18</t>
        </is>
      </c>
    </row>
    <row r="847">
      <c r="A847" t="inlineStr">
        <is>
          <t>inv_36425e195461</t>
        </is>
      </c>
      <c r="B847" t="inlineStr">
        <is>
          <t>Erin</t>
        </is>
      </c>
      <c r="C847" t="inlineStr"/>
      <c r="D847" t="inlineStr">
        <is>
          <t>2992811</t>
        </is>
      </c>
      <c r="E847" t="inlineStr"/>
      <c r="F847" t="inlineStr">
        <is>
          <t>2026-03-20</t>
        </is>
      </c>
      <c r="G847" t="inlineStr"/>
      <c r="H847" t="inlineStr">
        <is>
          <t>cus_de6277deda5a</t>
        </is>
      </c>
      <c r="I847" t="inlineStr">
        <is>
          <t>樂獅創新股份有限公司</t>
        </is>
      </c>
      <c r="J847" t="inlineStr">
        <is>
          <t>60676713</t>
        </is>
      </c>
      <c r="K847" t="n">
        <v>30000</v>
      </c>
      <c r="L847" t="n">
        <v>31500</v>
      </c>
      <c r="M847" t="inlineStr">
        <is>
          <t>廣告受眾包</t>
        </is>
      </c>
      <c r="N847" t="inlineStr">
        <is>
          <t>Stephy Lu</t>
        </is>
      </c>
      <c r="O847" t="inlineStr">
        <is>
          <t>台北市大安區信義路四段6號18樓</t>
        </is>
      </c>
      <c r="P847" t="inlineStr">
        <is>
          <t>erin_yeh@cmoney.com.tw</t>
        </is>
      </c>
      <c r="Q847" t="inlineStr">
        <is>
          <t>02-77472156</t>
        </is>
      </c>
      <c r="R847" t="inlineStr"/>
      <c r="S847" t="inlineStr">
        <is>
          <t>未收款</t>
        </is>
      </c>
      <c r="T847" t="inlineStr">
        <is>
          <t>白蘭氏
來源：單次型發票及收款紀錄 第 378 列</t>
        </is>
      </c>
      <c r="U847" t="inlineStr">
        <is>
          <t>收到發票隔月起95天</t>
        </is>
      </c>
      <c r="V847" t="inlineStr">
        <is>
          <t>2026-05-18</t>
        </is>
      </c>
    </row>
    <row r="848">
      <c r="A848" t="inlineStr">
        <is>
          <t>inv_7ca42297ffdb</t>
        </is>
      </c>
      <c r="B848" t="inlineStr">
        <is>
          <t>Stanley</t>
        </is>
      </c>
      <c r="C848" t="inlineStr"/>
      <c r="D848" t="inlineStr"/>
      <c r="E848" t="inlineStr"/>
      <c r="F848" t="inlineStr">
        <is>
          <t>2026-04-07</t>
        </is>
      </c>
      <c r="G848" t="inlineStr"/>
      <c r="H848" t="inlineStr">
        <is>
          <t>cus_c68320992b22</t>
        </is>
      </c>
      <c r="I848" t="inlineStr">
        <is>
          <t>絕對科技股份有限公司</t>
        </is>
      </c>
      <c r="J848" t="inlineStr">
        <is>
          <t>53913498</t>
        </is>
      </c>
      <c r="K848" t="n">
        <v>10000</v>
      </c>
      <c r="L848" t="n">
        <v>10500</v>
      </c>
      <c r="M848" t="inlineStr">
        <is>
          <t>廣告受眾包</t>
        </is>
      </c>
      <c r="N848" t="inlineStr">
        <is>
          <t>Alan</t>
        </is>
      </c>
      <c r="O848" t="inlineStr">
        <is>
          <t>臺北市內湖區南京東路6段461號9樓之3</t>
        </is>
      </c>
      <c r="P848" t="inlineStr">
        <is>
          <t>alan@absolute.com.tw</t>
        </is>
      </c>
      <c r="Q848" t="inlineStr">
        <is>
          <t>0927566623</t>
        </is>
      </c>
      <c r="R848" t="inlineStr"/>
      <c r="S848" t="inlineStr">
        <is>
          <t>未收款</t>
        </is>
      </c>
      <c r="T848" t="inlineStr">
        <is>
          <t>絕對科技
來源：單次型發票及收款紀錄 第 380 列</t>
        </is>
      </c>
      <c r="U848" t="inlineStr">
        <is>
          <t>收到發票隔月30號</t>
        </is>
      </c>
      <c r="V848" t="inlineStr">
        <is>
          <t>2026-05-18</t>
        </is>
      </c>
    </row>
    <row r="849">
      <c r="A849" t="inlineStr">
        <is>
          <t>inv_512ca628e200</t>
        </is>
      </c>
      <c r="B849" t="inlineStr">
        <is>
          <t>Stanley</t>
        </is>
      </c>
      <c r="C849" t="inlineStr"/>
      <c r="D849" t="inlineStr"/>
      <c r="E849" t="inlineStr"/>
      <c r="F849" t="inlineStr">
        <is>
          <t>2026-04-07</t>
        </is>
      </c>
      <c r="G849" t="inlineStr"/>
      <c r="H849" t="inlineStr">
        <is>
          <t>cus_91a04eb262ec</t>
        </is>
      </c>
      <c r="I849" t="inlineStr">
        <is>
          <t>酷遊天國際旅行社股份有限公司</t>
        </is>
      </c>
      <c r="J849" t="inlineStr">
        <is>
          <t>24977417</t>
        </is>
      </c>
      <c r="K849" t="n">
        <v>0</v>
      </c>
      <c r="L849" t="n">
        <v>56094</v>
      </c>
      <c r="M849" t="inlineStr">
        <is>
          <t>發票載具中獎放大分潤</t>
        </is>
      </c>
      <c r="N849" t="inlineStr">
        <is>
          <t>Max</t>
        </is>
      </c>
      <c r="O849" t="inlineStr">
        <is>
          <t>11494臺北市內湖區新湖一路128巷15號5樓</t>
        </is>
      </c>
      <c r="P849" t="inlineStr">
        <is>
          <t>stanley_cheng@cmoney.com.tw</t>
        </is>
      </c>
      <c r="Q849" t="inlineStr">
        <is>
          <t>02-8227-1280</t>
        </is>
      </c>
      <c r="R849" t="inlineStr"/>
      <c r="S849" t="inlineStr">
        <is>
          <t>未收款</t>
        </is>
      </c>
      <c r="T849" t="inlineStr">
        <is>
          <t>來源：單次型發票及收款紀錄 第 381 列</t>
        </is>
      </c>
      <c r="U849" t="inlineStr">
        <is>
          <t>收到發票隔月30號</t>
        </is>
      </c>
      <c r="V849" t="inlineStr">
        <is>
          <t>2026-05-18</t>
        </is>
      </c>
    </row>
    <row r="850">
      <c r="A850" t="inlineStr">
        <is>
          <t>inv_66b5a726b395</t>
        </is>
      </c>
      <c r="B850" t="inlineStr">
        <is>
          <t>Erin</t>
        </is>
      </c>
      <c r="C850" t="inlineStr"/>
      <c r="D850" t="inlineStr">
        <is>
          <t>3020023</t>
        </is>
      </c>
      <c r="E850" t="inlineStr"/>
      <c r="F850" t="inlineStr">
        <is>
          <t>2026-04-10</t>
        </is>
      </c>
      <c r="G850" t="inlineStr"/>
      <c r="H850" t="inlineStr">
        <is>
          <t>cus_de6277deda5a</t>
        </is>
      </c>
      <c r="I850" t="inlineStr">
        <is>
          <t>樂獅創新股份有限公司</t>
        </is>
      </c>
      <c r="J850" t="inlineStr">
        <is>
          <t>60676713</t>
        </is>
      </c>
      <c r="K850" t="n">
        <v>10000</v>
      </c>
      <c r="L850" t="n">
        <v>10500</v>
      </c>
      <c r="M850" t="inlineStr">
        <is>
          <t>廣告受眾包</t>
        </is>
      </c>
      <c r="N850" t="inlineStr">
        <is>
          <t>Stephy Lu</t>
        </is>
      </c>
      <c r="O850" t="inlineStr">
        <is>
          <t>台北市大安區信義路四段6號18樓</t>
        </is>
      </c>
      <c r="P850" t="inlineStr">
        <is>
          <t>erin_yeh@cmoney.com.tw</t>
        </is>
      </c>
      <c r="Q850" t="inlineStr">
        <is>
          <t>02-77472156</t>
        </is>
      </c>
      <c r="R850" t="inlineStr"/>
      <c r="S850" t="inlineStr">
        <is>
          <t>未收款</t>
        </is>
      </c>
      <c r="T850" t="inlineStr">
        <is>
          <t>白蘭氏
來源：單次型發票及收款紀錄 第 382 列</t>
        </is>
      </c>
      <c r="U850" t="inlineStr">
        <is>
          <t>收到發票隔月起95天</t>
        </is>
      </c>
      <c r="V850" t="inlineStr">
        <is>
          <t>2026-05-18</t>
        </is>
      </c>
    </row>
    <row r="851">
      <c r="A851" t="inlineStr">
        <is>
          <t>inv_60efcf2b07a6</t>
        </is>
      </c>
      <c r="B851" t="inlineStr">
        <is>
          <t>Erin</t>
        </is>
      </c>
      <c r="C851" t="inlineStr"/>
      <c r="D851" t="inlineStr">
        <is>
          <t>3020024</t>
        </is>
      </c>
      <c r="E851" t="inlineStr"/>
      <c r="F851" t="inlineStr">
        <is>
          <t>2026-04-10</t>
        </is>
      </c>
      <c r="G851" t="inlineStr"/>
      <c r="H851" t="inlineStr">
        <is>
          <t>cus_0ebf11dc9756</t>
        </is>
      </c>
      <c r="I851" t="inlineStr">
        <is>
          <t>香港商陽獅銳奇媒體股份有限公司台灣分公司實力媒體事業處</t>
        </is>
      </c>
      <c r="J851" t="inlineStr">
        <is>
          <t>26287084</t>
        </is>
      </c>
      <c r="K851" t="n">
        <v>40000</v>
      </c>
      <c r="L851" t="n">
        <v>42000</v>
      </c>
      <c r="M851" t="inlineStr">
        <is>
          <t>廣告受眾包</t>
        </is>
      </c>
      <c r="N851" t="inlineStr">
        <is>
          <t>Daniel Huang</t>
        </is>
      </c>
      <c r="O851" t="inlineStr">
        <is>
          <t>台北市大安區信義路四段6號8樓</t>
        </is>
      </c>
      <c r="P851" t="inlineStr">
        <is>
          <t>erin_yeh@cmoney.com.tw</t>
        </is>
      </c>
      <c r="Q851" t="inlineStr">
        <is>
          <t>02-77473304</t>
        </is>
      </c>
      <c r="R851" t="inlineStr"/>
      <c r="S851" t="inlineStr">
        <is>
          <t>未收款</t>
        </is>
      </c>
      <c r="T851" t="inlineStr">
        <is>
          <t>石頭科技
來源：單次型發票及收款紀錄 第 383 列</t>
        </is>
      </c>
      <c r="U851" t="inlineStr">
        <is>
          <t>收到發票隔月起95天</t>
        </is>
      </c>
      <c r="V851" t="inlineStr">
        <is>
          <t>2026-05-18</t>
        </is>
      </c>
    </row>
    <row r="852">
      <c r="A852" t="inlineStr">
        <is>
          <t>inv_7165c96985b8</t>
        </is>
      </c>
      <c r="B852" t="inlineStr">
        <is>
          <t>Erin</t>
        </is>
      </c>
      <c r="C852" t="inlineStr"/>
      <c r="D852" t="inlineStr">
        <is>
          <t>3020025</t>
        </is>
      </c>
      <c r="E852" t="inlineStr"/>
      <c r="F852" t="inlineStr">
        <is>
          <t>2026-04-10</t>
        </is>
      </c>
      <c r="G852" t="inlineStr"/>
      <c r="H852" t="inlineStr">
        <is>
          <t>cus_d70917d65656</t>
        </is>
      </c>
      <c r="I852" t="inlineStr">
        <is>
          <t>香港商陽獅銳奇媒體股份有限公司台灣分公司星傳媒體事業處</t>
        </is>
      </c>
      <c r="J852" t="inlineStr">
        <is>
          <t>26287090</t>
        </is>
      </c>
      <c r="K852" t="n">
        <v>10000</v>
      </c>
      <c r="L852" t="n">
        <v>10500</v>
      </c>
      <c r="M852" t="inlineStr">
        <is>
          <t>廣告受眾包</t>
        </is>
      </c>
      <c r="N852" t="inlineStr">
        <is>
          <t>Kelly Chang</t>
        </is>
      </c>
      <c r="O852" t="inlineStr">
        <is>
          <t>台北市大安區信義路四段6號8樓</t>
        </is>
      </c>
      <c r="P852" t="inlineStr">
        <is>
          <t>erin_yeh@cmoney.com.tw</t>
        </is>
      </c>
      <c r="Q852" t="inlineStr">
        <is>
          <t>02-77348711</t>
        </is>
      </c>
      <c r="R852" t="inlineStr"/>
      <c r="S852" t="inlineStr">
        <is>
          <t>未收款</t>
        </is>
      </c>
      <c r="T852" t="inlineStr">
        <is>
          <t>Pampers
來源：單次型發票及收款紀錄 第 384 列</t>
        </is>
      </c>
      <c r="U852" t="inlineStr">
        <is>
          <t>收到發票隔月起95天</t>
        </is>
      </c>
      <c r="V852" t="inlineStr">
        <is>
          <t>2026-05-18</t>
        </is>
      </c>
    </row>
    <row r="853">
      <c r="A853" t="inlineStr">
        <is>
          <t>inv_7d046dda3f02</t>
        </is>
      </c>
      <c r="B853" t="inlineStr">
        <is>
          <t>Erin</t>
        </is>
      </c>
      <c r="C853" t="inlineStr"/>
      <c r="D853" t="inlineStr">
        <is>
          <t>3020026</t>
        </is>
      </c>
      <c r="E853" t="inlineStr"/>
      <c r="F853" t="inlineStr">
        <is>
          <t>2026-04-10</t>
        </is>
      </c>
      <c r="G853" t="inlineStr"/>
      <c r="H853" t="inlineStr">
        <is>
          <t>cus_d70917d65656</t>
        </is>
      </c>
      <c r="I853" t="inlineStr">
        <is>
          <t>香港商陽獅銳奇媒體股份有限公司台灣分公司星傳媒體事業處</t>
        </is>
      </c>
      <c r="J853" t="inlineStr">
        <is>
          <t>26287090</t>
        </is>
      </c>
      <c r="K853" t="n">
        <v>5000</v>
      </c>
      <c r="L853" t="n">
        <v>5250</v>
      </c>
      <c r="M853" t="inlineStr">
        <is>
          <t>廣告受眾包</t>
        </is>
      </c>
      <c r="N853" t="inlineStr">
        <is>
          <t>Esther Huang</t>
        </is>
      </c>
      <c r="O853" t="inlineStr">
        <is>
          <t>台北市大安區信義路四段6號8樓</t>
        </is>
      </c>
      <c r="P853" t="inlineStr">
        <is>
          <t>erin_yeh@cmoney.com.tw</t>
        </is>
      </c>
      <c r="Q853" t="inlineStr">
        <is>
          <t>02-77348715</t>
        </is>
      </c>
      <c r="R853" t="inlineStr"/>
      <c r="S853" t="inlineStr">
        <is>
          <t>未收款</t>
        </is>
      </c>
      <c r="T853" t="inlineStr">
        <is>
          <t>Ariel
來源：單次型發票及收款紀錄 第 385 列</t>
        </is>
      </c>
      <c r="U853" t="inlineStr">
        <is>
          <t>收到發票隔月起95天</t>
        </is>
      </c>
      <c r="V853" t="inlineStr">
        <is>
          <t>2026-05-18</t>
        </is>
      </c>
    </row>
    <row r="854">
      <c r="A854" t="inlineStr">
        <is>
          <t>inv_1cd41e3bb273</t>
        </is>
      </c>
      <c r="B854" t="inlineStr">
        <is>
          <t>Erin</t>
        </is>
      </c>
      <c r="C854" t="inlineStr"/>
      <c r="D854" t="inlineStr"/>
      <c r="E854" t="inlineStr"/>
      <c r="F854" t="inlineStr">
        <is>
          <t>2026-04-07</t>
        </is>
      </c>
      <c r="G854" t="inlineStr"/>
      <c r="H854" t="inlineStr">
        <is>
          <t>cus_41298eb9466b</t>
        </is>
      </c>
      <c r="I854" t="inlineStr">
        <is>
          <t>王品餐飲股份有限公司</t>
        </is>
      </c>
      <c r="J854" t="inlineStr">
        <is>
          <t>84630426</t>
        </is>
      </c>
      <c r="K854" t="n">
        <v>150000</v>
      </c>
      <c r="L854" t="n">
        <v>157500</v>
      </c>
      <c r="M854" t="inlineStr">
        <is>
          <t>消費者分析</t>
        </is>
      </c>
      <c r="N854" t="inlineStr">
        <is>
          <t>林書宇</t>
        </is>
      </c>
      <c r="O854" t="inlineStr">
        <is>
          <t>台中市西區臺灣大道二段218號25樓</t>
        </is>
      </c>
      <c r="P854" t="inlineStr">
        <is>
          <t>shuyu.lin@wowprime.com</t>
        </is>
      </c>
      <c r="Q854" t="inlineStr">
        <is>
          <t>04-2322-1868 # 1173</t>
        </is>
      </c>
      <c r="R854" t="inlineStr"/>
      <c r="S854" t="inlineStr">
        <is>
          <t>未收款</t>
        </is>
      </c>
      <c r="T854" t="inlineStr">
        <is>
          <t>來源：單次型發票及收款紀錄 第 386 列</t>
        </is>
      </c>
      <c r="U854" t="inlineStr">
        <is>
          <t>收到發票次月25日前支付</t>
        </is>
      </c>
      <c r="V854" t="inlineStr">
        <is>
          <t>2026-05-18</t>
        </is>
      </c>
    </row>
    <row r="855">
      <c r="A855" t="inlineStr">
        <is>
          <t>inv_3ad1e1d66760</t>
        </is>
      </c>
      <c r="B855" t="inlineStr">
        <is>
          <t>Cobi</t>
        </is>
      </c>
      <c r="C855" t="inlineStr">
        <is>
          <t>2026-04-27</t>
        </is>
      </c>
      <c r="D855" t="inlineStr"/>
      <c r="E855" t="inlineStr"/>
      <c r="F855" t="inlineStr">
        <is>
          <t>2026-04-07</t>
        </is>
      </c>
      <c r="G855" t="inlineStr"/>
      <c r="H855" t="inlineStr">
        <is>
          <t>cus_2397e7849eba</t>
        </is>
      </c>
      <c r="I855" t="inlineStr">
        <is>
          <t>睿鼎數位股份有限公司</t>
        </is>
      </c>
      <c r="J855" t="inlineStr">
        <is>
          <t>42837620</t>
        </is>
      </c>
      <c r="K855" t="n">
        <v>0</v>
      </c>
      <c r="L855" t="n">
        <v>40000</v>
      </c>
      <c r="M855" t="inlineStr">
        <is>
          <t>發票API月租(雀巢、益節)</t>
        </is>
      </c>
      <c r="N855" t="inlineStr">
        <is>
          <t>羅聖耀</t>
        </is>
      </c>
      <c r="O855" t="inlineStr">
        <is>
          <t>台北市大安區信義路四段89-1號8樓</t>
        </is>
      </c>
      <c r="P855" t="inlineStr">
        <is>
          <t>opteam@12cm.com.tw</t>
        </is>
      </c>
      <c r="Q855" t="inlineStr"/>
      <c r="R855" t="inlineStr"/>
      <c r="S855" t="inlineStr">
        <is>
          <t>已收款</t>
        </is>
      </c>
      <c r="T855" t="inlineStr">
        <is>
          <t>來源：單次型發票及收款紀錄 第 387 列</t>
        </is>
      </c>
      <c r="U855" t="inlineStr">
        <is>
          <t>收到發票隔月起30天</t>
        </is>
      </c>
      <c r="V855" t="inlineStr">
        <is>
          <t>2026-05-18</t>
        </is>
      </c>
    </row>
    <row r="856">
      <c r="A856" t="inlineStr">
        <is>
          <t>inv_5554a2eb794e</t>
        </is>
      </c>
      <c r="B856" t="inlineStr">
        <is>
          <t>Cobi</t>
        </is>
      </c>
      <c r="C856" t="inlineStr"/>
      <c r="D856" t="inlineStr"/>
      <c r="E856" t="inlineStr"/>
      <c r="F856" t="inlineStr">
        <is>
          <t>2026-04-07</t>
        </is>
      </c>
      <c r="G856" t="inlineStr"/>
      <c r="H856" t="inlineStr">
        <is>
          <t>cus_3816722e3e66</t>
        </is>
      </c>
      <c r="I856" t="inlineStr">
        <is>
          <t>全聯實業股份有限公司</t>
        </is>
      </c>
      <c r="J856" t="inlineStr">
        <is>
          <t>16740494</t>
        </is>
      </c>
      <c r="K856" t="n">
        <v>0</v>
      </c>
      <c r="L856" t="n">
        <v>201600</v>
      </c>
      <c r="M856" t="inlineStr">
        <is>
          <t>發票記帳資安優化(第二期)</t>
        </is>
      </c>
      <c r="N856" t="inlineStr">
        <is>
          <t>邱俊皓 Howard</t>
        </is>
      </c>
      <c r="O856" t="inlineStr">
        <is>
          <t>台北市中山區敬業四路33號4樓</t>
        </is>
      </c>
      <c r="P856" t="inlineStr">
        <is>
          <t>howard_chiu@pxmart.com.tw</t>
        </is>
      </c>
      <c r="Q856" t="inlineStr">
        <is>
          <t>02-2532-8000 ext. 1207</t>
        </is>
      </c>
      <c r="R856" t="inlineStr"/>
      <c r="S856" t="inlineStr">
        <is>
          <t>未收款</t>
        </is>
      </c>
      <c r="T856" t="inlineStr">
        <is>
          <t>記帳專案
來源：單次型發票及收款紀錄 第 388 列</t>
        </is>
      </c>
      <c r="U856" t="inlineStr">
        <is>
          <t>收到發票隔月30號</t>
        </is>
      </c>
      <c r="V856" t="inlineStr">
        <is>
          <t>2026-05-18</t>
        </is>
      </c>
    </row>
    <row r="857">
      <c r="A857" t="inlineStr">
        <is>
          <t>inv_77f84d64a4b1</t>
        </is>
      </c>
      <c r="B857" t="inlineStr">
        <is>
          <t>Cobi</t>
        </is>
      </c>
      <c r="C857" t="inlineStr"/>
      <c r="D857" t="inlineStr"/>
      <c r="E857" t="inlineStr"/>
      <c r="F857" t="inlineStr">
        <is>
          <t>2026-04-07</t>
        </is>
      </c>
      <c r="G857" t="inlineStr"/>
      <c r="H857" t="inlineStr">
        <is>
          <t>cus_3816722e3e66</t>
        </is>
      </c>
      <c r="I857" t="inlineStr">
        <is>
          <t>全聯實業股份有限公司</t>
        </is>
      </c>
      <c r="J857" t="inlineStr">
        <is>
          <t>16740494</t>
        </is>
      </c>
      <c r="K857" t="n">
        <v>0</v>
      </c>
      <c r="L857" t="n">
        <v>152000</v>
      </c>
      <c r="M857" t="inlineStr">
        <is>
          <t>加碼獎(第二期)</t>
        </is>
      </c>
      <c r="N857" t="inlineStr">
        <is>
          <t>邱俊皓 Howard</t>
        </is>
      </c>
      <c r="O857" t="inlineStr">
        <is>
          <t>台北市中山區敬業四路33號4樓</t>
        </is>
      </c>
      <c r="P857" t="inlineStr">
        <is>
          <t>howard_chiu@pxmart.com.tw</t>
        </is>
      </c>
      <c r="Q857" t="inlineStr">
        <is>
          <t>02-2532-8000 ext. 1207</t>
        </is>
      </c>
      <c r="R857" t="inlineStr"/>
      <c r="S857" t="inlineStr">
        <is>
          <t>未收款</t>
        </is>
      </c>
      <c r="T857" t="inlineStr">
        <is>
          <t>記帳專案
來源：單次型發票及收款紀錄 第 389 列</t>
        </is>
      </c>
      <c r="U857" t="inlineStr">
        <is>
          <t>收到發票隔月30號</t>
        </is>
      </c>
      <c r="V857" t="inlineStr">
        <is>
          <t>2026-05-18</t>
        </is>
      </c>
    </row>
    <row r="858">
      <c r="A858" t="inlineStr">
        <is>
          <t>inv_dd7a9f1b3c37</t>
        </is>
      </c>
      <c r="B858" t="inlineStr">
        <is>
          <t>Kate</t>
        </is>
      </c>
      <c r="C858" t="inlineStr"/>
      <c r="D858" t="inlineStr">
        <is>
          <t>B01205</t>
        </is>
      </c>
      <c r="E858" t="inlineStr"/>
      <c r="F858" t="inlineStr">
        <is>
          <t>2026-04-15</t>
        </is>
      </c>
      <c r="G858" t="inlineStr">
        <is>
          <t>ZA96391419</t>
        </is>
      </c>
      <c r="H858" t="inlineStr">
        <is>
          <t>cus_11ce6c1312cf</t>
        </is>
      </c>
      <c r="I858" t="inlineStr">
        <is>
          <t>電通商業顧問股份有限公司</t>
        </is>
      </c>
      <c r="J858" t="inlineStr">
        <is>
          <t>24546918</t>
        </is>
      </c>
      <c r="K858" t="n">
        <v>173000</v>
      </c>
      <c r="L858" t="n">
        <v>181650</v>
      </c>
      <c r="M858" t="inlineStr">
        <is>
          <t>發票數據受眾包</t>
        </is>
      </c>
      <c r="N858" t="inlineStr">
        <is>
          <t>趙慧騥 Malo Chao</t>
        </is>
      </c>
      <c r="O858" t="inlineStr">
        <is>
          <t>11073台北市信義區松高路77號43樓</t>
        </is>
      </c>
      <c r="P858" t="inlineStr">
        <is>
          <t>Malo.Chao@dentsu.com</t>
        </is>
      </c>
      <c r="Q858" t="inlineStr">
        <is>
          <t>0933318219</t>
        </is>
      </c>
      <c r="R858" t="inlineStr"/>
      <c r="S858" t="inlineStr">
        <is>
          <t>未收款</t>
        </is>
      </c>
      <c r="T858" t="inlineStr">
        <is>
          <t>Dentsu
來源：單次型發票及收款紀錄 第 390 列</t>
        </is>
      </c>
      <c r="U858" t="inlineStr">
        <is>
          <t>收到發票隔月起60天</t>
        </is>
      </c>
      <c r="V858" t="inlineStr">
        <is>
          <t>2026-05-18</t>
        </is>
      </c>
    </row>
    <row r="859">
      <c r="A859" t="inlineStr">
        <is>
          <t>inv_18c175ec9a97</t>
        </is>
      </c>
      <c r="B859" t="inlineStr">
        <is>
          <t>Kate</t>
        </is>
      </c>
      <c r="C859" t="inlineStr"/>
      <c r="D859" t="inlineStr">
        <is>
          <t>B01206</t>
        </is>
      </c>
      <c r="E859" t="inlineStr"/>
      <c r="F859" t="inlineStr">
        <is>
          <t>2026-04-15</t>
        </is>
      </c>
      <c r="G859" t="inlineStr">
        <is>
          <t>ZA96391420</t>
        </is>
      </c>
      <c r="H859" t="inlineStr">
        <is>
          <t>cus_11ce6c1312cf</t>
        </is>
      </c>
      <c r="I859" t="inlineStr">
        <is>
          <t>電通商業顧問股份有限公司</t>
        </is>
      </c>
      <c r="J859" t="inlineStr">
        <is>
          <t>24546918</t>
        </is>
      </c>
      <c r="K859" t="n">
        <v>95000</v>
      </c>
      <c r="L859" t="n">
        <v>99750</v>
      </c>
      <c r="M859" t="inlineStr">
        <is>
          <t>發票數據受眾包</t>
        </is>
      </c>
      <c r="N859" t="inlineStr">
        <is>
          <t>趙慧騥 Malo Chao</t>
        </is>
      </c>
      <c r="O859" t="inlineStr">
        <is>
          <t>11073台北市信義區松高路77號43樓</t>
        </is>
      </c>
      <c r="P859" t="inlineStr">
        <is>
          <t>Malo.Chao@dentsu.com</t>
        </is>
      </c>
      <c r="Q859" t="inlineStr">
        <is>
          <t>0933318219</t>
        </is>
      </c>
      <c r="R859" t="inlineStr"/>
      <c r="S859" t="inlineStr">
        <is>
          <t>未收款</t>
        </is>
      </c>
      <c r="T859" t="inlineStr">
        <is>
          <t>Dentsu
來源：單次型發票及收款紀錄 第 391 列</t>
        </is>
      </c>
      <c r="U859" t="inlineStr">
        <is>
          <t>收到發票隔月起60天</t>
        </is>
      </c>
      <c r="V859" t="inlineStr">
        <is>
          <t>2026-05-18</t>
        </is>
      </c>
    </row>
    <row r="860">
      <c r="A860" t="inlineStr">
        <is>
          <t>inv_26b8e5bc02c4</t>
        </is>
      </c>
      <c r="B860" t="inlineStr">
        <is>
          <t>Kate</t>
        </is>
      </c>
      <c r="C860" t="inlineStr"/>
      <c r="D860" t="inlineStr">
        <is>
          <t>B01207</t>
        </is>
      </c>
      <c r="E860" t="inlineStr"/>
      <c r="F860" t="inlineStr">
        <is>
          <t>2026-04-15</t>
        </is>
      </c>
      <c r="G860" t="inlineStr">
        <is>
          <t>ZA96391422</t>
        </is>
      </c>
      <c r="H860" t="inlineStr">
        <is>
          <t>cus_11ce6c1312cf</t>
        </is>
      </c>
      <c r="I860" t="inlineStr">
        <is>
          <t>電通商業顧問股份有限公司</t>
        </is>
      </c>
      <c r="J860" t="inlineStr">
        <is>
          <t>24546918</t>
        </is>
      </c>
      <c r="K860" t="n">
        <v>90000</v>
      </c>
      <c r="L860" t="n">
        <v>94500</v>
      </c>
      <c r="M860" t="inlineStr">
        <is>
          <t>發票數據受眾包</t>
        </is>
      </c>
      <c r="N860" t="inlineStr">
        <is>
          <t>趙慧騥 Malo Chao</t>
        </is>
      </c>
      <c r="O860" t="inlineStr">
        <is>
          <t>11073台北市信義區松高路77號43樓</t>
        </is>
      </c>
      <c r="P860" t="inlineStr">
        <is>
          <t>Malo.Chao@dentsu.com</t>
        </is>
      </c>
      <c r="Q860" t="inlineStr">
        <is>
          <t>0933318219</t>
        </is>
      </c>
      <c r="R860" t="inlineStr"/>
      <c r="S860" t="inlineStr">
        <is>
          <t>未收款</t>
        </is>
      </c>
      <c r="T860" t="inlineStr">
        <is>
          <t>Dentsu
來源：單次型發票及收款紀錄 第 392 列</t>
        </is>
      </c>
      <c r="U860" t="inlineStr">
        <is>
          <t>收到發票隔月起60天</t>
        </is>
      </c>
      <c r="V860" t="inlineStr">
        <is>
          <t>2026-05-18</t>
        </is>
      </c>
    </row>
    <row r="861">
      <c r="A861" t="inlineStr">
        <is>
          <t>inv_f330378ba30e</t>
        </is>
      </c>
      <c r="B861" t="inlineStr">
        <is>
          <t>Kate</t>
        </is>
      </c>
      <c r="C861" t="inlineStr"/>
      <c r="D861" t="inlineStr"/>
      <c r="E861" t="inlineStr"/>
      <c r="F861" t="inlineStr">
        <is>
          <t>2026-04-07</t>
        </is>
      </c>
      <c r="G861" t="inlineStr"/>
      <c r="H861" t="inlineStr">
        <is>
          <t>cus_ea78377525ac</t>
        </is>
      </c>
      <c r="I861" t="inlineStr">
        <is>
          <t>麟數據科技股份有限公司</t>
        </is>
      </c>
      <c r="J861" t="inlineStr">
        <is>
          <t>42840667</t>
        </is>
      </c>
      <c r="K861" t="n">
        <v>5000</v>
      </c>
      <c r="L861" t="n">
        <v>5250</v>
      </c>
      <c r="M861" t="inlineStr">
        <is>
          <t>發票數據受眾包</t>
        </is>
      </c>
      <c r="N861" t="inlineStr">
        <is>
          <t>徐靖詠Jenny</t>
        </is>
      </c>
      <c r="O861" t="inlineStr">
        <is>
          <t>台北市信義區松德路159號16樓之1</t>
        </is>
      </c>
      <c r="P861" t="inlineStr">
        <is>
          <t>Jenny.hsu@LnData.com，可收電子發票</t>
        </is>
      </c>
      <c r="Q861" t="inlineStr">
        <is>
          <t>02 23948800 #118</t>
        </is>
      </c>
      <c r="R861" t="inlineStr"/>
      <c r="S861" t="inlineStr">
        <is>
          <t>未收款</t>
        </is>
      </c>
      <c r="T861" t="inlineStr">
        <is>
          <t>來源：單次型發票及收款紀錄 第 393 列</t>
        </is>
      </c>
      <c r="U861" t="inlineStr">
        <is>
          <t>收到發票後45天</t>
        </is>
      </c>
      <c r="V861" t="inlineStr">
        <is>
          <t>2026-05-18</t>
        </is>
      </c>
    </row>
    <row r="862">
      <c r="A862" t="inlineStr">
        <is>
          <t>inv_4866753a8527</t>
        </is>
      </c>
      <c r="B862" t="inlineStr">
        <is>
          <t>Stanley</t>
        </is>
      </c>
      <c r="C862" t="inlineStr"/>
      <c r="D862" t="inlineStr"/>
      <c r="E862" t="inlineStr"/>
      <c r="F862" t="inlineStr">
        <is>
          <t>2026-04-07</t>
        </is>
      </c>
      <c r="G862" t="inlineStr"/>
      <c r="H862" t="inlineStr">
        <is>
          <t>cus_bdd658582436</t>
        </is>
      </c>
      <c r="I862" t="inlineStr">
        <is>
          <t>富利餐飲股份有限公司</t>
        </is>
      </c>
      <c r="J862" t="inlineStr">
        <is>
          <t>97161500</t>
        </is>
      </c>
      <c r="K862" t="n">
        <v>16657</v>
      </c>
      <c r="L862" t="n">
        <v>17490</v>
      </c>
      <c r="M862" t="inlineStr">
        <is>
          <t>發票載具中獎放大</t>
        </is>
      </c>
      <c r="N862" t="inlineStr">
        <is>
          <t>Shannon Lin</t>
        </is>
      </c>
      <c r="O862" t="inlineStr">
        <is>
          <t>10489台北市建國北路1段96號9樓</t>
        </is>
      </c>
      <c r="P862" t="inlineStr">
        <is>
          <t>Shannon.Lin@jrgtw.com</t>
        </is>
      </c>
      <c r="Q862" t="inlineStr">
        <is>
          <t>02-2503-6889 #8298</t>
        </is>
      </c>
      <c r="R862" t="inlineStr"/>
      <c r="S862" t="inlineStr">
        <is>
          <t>未收款</t>
        </is>
      </c>
      <c r="T862" t="inlineStr">
        <is>
          <t>必勝客
來源：單次型發票及收款紀錄 第 394 列</t>
        </is>
      </c>
      <c r="U862" t="inlineStr">
        <is>
          <t>收到發票隔月30號</t>
        </is>
      </c>
      <c r="V862" t="inlineStr">
        <is>
          <t>2026-05-18</t>
        </is>
      </c>
    </row>
    <row r="863">
      <c r="A863" t="inlineStr">
        <is>
          <t>inv_4461f18bdfb2</t>
        </is>
      </c>
      <c r="B863" t="inlineStr">
        <is>
          <t>Stanley</t>
        </is>
      </c>
      <c r="C863" t="inlineStr"/>
      <c r="D863" t="inlineStr"/>
      <c r="E863" t="inlineStr"/>
      <c r="F863" t="inlineStr">
        <is>
          <t>2026-04-07</t>
        </is>
      </c>
      <c r="G863" t="inlineStr"/>
      <c r="H863" t="inlineStr">
        <is>
          <t>cus_bdd658582436</t>
        </is>
      </c>
      <c r="I863" t="inlineStr">
        <is>
          <t>富利餐飲股份有限公司</t>
        </is>
      </c>
      <c r="J863" t="inlineStr">
        <is>
          <t>97161500</t>
        </is>
      </c>
      <c r="K863" t="n">
        <v>3942</v>
      </c>
      <c r="L863" t="n">
        <v>4139</v>
      </c>
      <c r="M863" t="inlineStr">
        <is>
          <t>發票載具中獎放大</t>
        </is>
      </c>
      <c r="N863" t="inlineStr">
        <is>
          <t>Shannon Lin</t>
        </is>
      </c>
      <c r="O863" t="inlineStr">
        <is>
          <t>10489台北市建國北路1段96號9樓</t>
        </is>
      </c>
      <c r="P863" t="inlineStr">
        <is>
          <t>Shannon.Lin@jrgtw.com</t>
        </is>
      </c>
      <c r="Q863" t="inlineStr">
        <is>
          <t>02-2503-6889 #8298</t>
        </is>
      </c>
      <c r="R863" t="inlineStr"/>
      <c r="S863" t="inlineStr">
        <is>
          <t>未收款</t>
        </is>
      </c>
      <c r="T863" t="inlineStr">
        <is>
          <t>肯德基
來源：單次型發票及收款紀錄 第 395 列</t>
        </is>
      </c>
      <c r="U863" t="inlineStr">
        <is>
          <t>收到發票隔月30號</t>
        </is>
      </c>
      <c r="V863" t="inlineStr">
        <is>
          <t>2026-05-18</t>
        </is>
      </c>
    </row>
    <row r="864">
      <c r="A864" t="inlineStr">
        <is>
          <t>inv_69fcd990f421</t>
        </is>
      </c>
      <c r="B864" t="inlineStr">
        <is>
          <t>Stanley</t>
        </is>
      </c>
      <c r="C864" t="inlineStr"/>
      <c r="D864" t="inlineStr"/>
      <c r="E864" t="inlineStr"/>
      <c r="F864" t="inlineStr">
        <is>
          <t>2026-04-07</t>
        </is>
      </c>
      <c r="G864" t="inlineStr"/>
      <c r="H864" t="inlineStr">
        <is>
          <t>cus_91a04eb262ec</t>
        </is>
      </c>
      <c r="I864" t="inlineStr">
        <is>
          <t>酷遊天國際旅行社股份有限公司</t>
        </is>
      </c>
      <c r="J864" t="inlineStr">
        <is>
          <t>24977417</t>
        </is>
      </c>
      <c r="K864" t="n">
        <v>0</v>
      </c>
      <c r="L864" t="n">
        <v>22518</v>
      </c>
      <c r="M864" t="inlineStr">
        <is>
          <t>發票載具中獎放大分潤</t>
        </is>
      </c>
      <c r="N864" t="inlineStr">
        <is>
          <t>Max</t>
        </is>
      </c>
      <c r="O864" t="inlineStr">
        <is>
          <t>11494臺北市內湖區新湖一路128巷15號5樓</t>
        </is>
      </c>
      <c r="P864" t="inlineStr">
        <is>
          <t>stanley_cheng@cmoney.com.tw</t>
        </is>
      </c>
      <c r="Q864" t="inlineStr">
        <is>
          <t>02-8227-1280</t>
        </is>
      </c>
      <c r="R864" t="inlineStr"/>
      <c r="S864" t="inlineStr">
        <is>
          <t>未收款</t>
        </is>
      </c>
      <c r="T864" t="inlineStr">
        <is>
          <t>來源：單次型發票及收款紀錄 第 396 列</t>
        </is>
      </c>
      <c r="U864" t="inlineStr">
        <is>
          <t>收到發票隔月30號</t>
        </is>
      </c>
      <c r="V864" t="inlineStr">
        <is>
          <t>2026-05-18</t>
        </is>
      </c>
    </row>
    <row r="865">
      <c r="A865" t="inlineStr">
        <is>
          <t>inv_bafde68cf907</t>
        </is>
      </c>
      <c r="B865" t="inlineStr">
        <is>
          <t>Cobi</t>
        </is>
      </c>
      <c r="C865" t="inlineStr"/>
      <c r="D865" t="inlineStr"/>
      <c r="E865" t="inlineStr"/>
      <c r="F865" t="inlineStr">
        <is>
          <t>2026-04-07</t>
        </is>
      </c>
      <c r="G865" t="inlineStr"/>
      <c r="H865" t="inlineStr">
        <is>
          <t>cus_a63074f217c0</t>
        </is>
      </c>
      <c r="I865" t="inlineStr">
        <is>
          <t>第一電商有限公司</t>
        </is>
      </c>
      <c r="J865" t="inlineStr">
        <is>
          <t>12963120</t>
        </is>
      </c>
      <c r="K865" t="n">
        <v>0</v>
      </c>
      <c r="L865" t="n">
        <v>75000</v>
      </c>
      <c r="M865" t="inlineStr">
        <is>
          <t>發票API月租</t>
        </is>
      </c>
      <c r="N865" t="inlineStr">
        <is>
          <t>謝佩芳</t>
        </is>
      </c>
      <c r="O865" t="inlineStr">
        <is>
          <t>台北市士林區忠誠路一段63號7樓</t>
        </is>
      </c>
      <c r="P865" t="inlineStr">
        <is>
          <t>nicky.hsieh@gmail.com</t>
        </is>
      </c>
      <c r="Q865" t="inlineStr"/>
      <c r="R865" t="inlineStr"/>
      <c r="S865" t="inlineStr">
        <is>
          <t>未收款</t>
        </is>
      </c>
      <c r="T865" t="inlineStr">
        <is>
          <t>4-6月
來源：單次型發票及收款紀錄 第 397 列</t>
        </is>
      </c>
      <c r="U865" t="inlineStr">
        <is>
          <t>收到發票隔月起30天</t>
        </is>
      </c>
      <c r="V865" t="inlineStr">
        <is>
          <t>2026-05-18</t>
        </is>
      </c>
    </row>
    <row r="866">
      <c r="A866" t="inlineStr">
        <is>
          <t>inv_a6b68583b717</t>
        </is>
      </c>
      <c r="B866" t="inlineStr">
        <is>
          <t>Peggy</t>
        </is>
      </c>
      <c r="C866" t="inlineStr">
        <is>
          <t>2026-04-10</t>
        </is>
      </c>
      <c r="D866" t="inlineStr">
        <is>
          <t>3043352</t>
        </is>
      </c>
      <c r="E866" t="inlineStr"/>
      <c r="F866" t="inlineStr">
        <is>
          <t>2026-04-24</t>
        </is>
      </c>
      <c r="G866" t="inlineStr"/>
      <c r="H866" t="inlineStr">
        <is>
          <t>cus_b8e52468d76b</t>
        </is>
      </c>
      <c r="I866" t="inlineStr">
        <is>
          <t>麥麥生技國際有限公司</t>
        </is>
      </c>
      <c r="J866" t="inlineStr">
        <is>
          <t>96590617</t>
        </is>
      </c>
      <c r="K866" t="n">
        <v>54000</v>
      </c>
      <c r="L866" t="n">
        <v>56700</v>
      </c>
      <c r="M866" t="inlineStr">
        <is>
          <t>發票數據受眾包</t>
        </is>
      </c>
      <c r="N866" t="inlineStr">
        <is>
          <t>陳彥均 Mike</t>
        </is>
      </c>
      <c r="O866" t="inlineStr">
        <is>
          <t>臺北市大安區信義路4段1號2樓</t>
        </is>
      </c>
      <c r="P866" t="inlineStr">
        <is>
          <t>3minskincare@gmail.com</t>
        </is>
      </c>
      <c r="Q866" t="inlineStr">
        <is>
          <t>02-77538597</t>
        </is>
      </c>
      <c r="R866" t="inlineStr"/>
      <c r="S866" t="inlineStr">
        <is>
          <t>已收款</t>
        </is>
      </c>
      <c r="T866" t="inlineStr">
        <is>
          <t>美妝保養/受眾共享
來源：單次型發票及收款紀錄 第 398 列</t>
        </is>
      </c>
      <c r="U866" t="inlineStr">
        <is>
          <t>預付</t>
        </is>
      </c>
      <c r="V866" t="inlineStr">
        <is>
          <t>2026-05-18</t>
        </is>
      </c>
    </row>
    <row r="867">
      <c r="A867" t="inlineStr">
        <is>
          <t>inv_3072fc303168</t>
        </is>
      </c>
      <c r="B867" t="inlineStr">
        <is>
          <t>Stanley</t>
        </is>
      </c>
      <c r="C867" t="inlineStr"/>
      <c r="D867" t="inlineStr"/>
      <c r="E867" t="inlineStr"/>
      <c r="F867" t="inlineStr">
        <is>
          <t>2026-04-07</t>
        </is>
      </c>
      <c r="G867" t="inlineStr"/>
      <c r="H867" t="inlineStr">
        <is>
          <t>cus_bdd658582436</t>
        </is>
      </c>
      <c r="I867" t="inlineStr">
        <is>
          <t>富利餐飲股份有限公司</t>
        </is>
      </c>
      <c r="J867" t="inlineStr">
        <is>
          <t>97161500</t>
        </is>
      </c>
      <c r="K867" t="n">
        <v>16657</v>
      </c>
      <c r="L867" t="n">
        <v>17490</v>
      </c>
      <c r="M867" t="inlineStr">
        <is>
          <t>發票載具中獎放大</t>
        </is>
      </c>
      <c r="N867" t="inlineStr">
        <is>
          <t>Shannon Lin</t>
        </is>
      </c>
      <c r="O867" t="inlineStr">
        <is>
          <t>10489台北市建國北路1段96號9樓</t>
        </is>
      </c>
      <c r="P867" t="inlineStr">
        <is>
          <t>Shannon.Lin@jrgtw.com</t>
        </is>
      </c>
      <c r="Q867" t="inlineStr">
        <is>
          <t>02-2503-6889 #8298</t>
        </is>
      </c>
      <c r="R867" t="inlineStr"/>
      <c r="S867" t="inlineStr">
        <is>
          <t>未收款</t>
        </is>
      </c>
      <c r="T867" t="inlineStr">
        <is>
          <t>必勝客
來源：單次型發票及收款紀錄 第 399 列</t>
        </is>
      </c>
      <c r="U867" t="inlineStr">
        <is>
          <t>收到發票隔月30號</t>
        </is>
      </c>
      <c r="V867" t="inlineStr">
        <is>
          <t>2026-05-18</t>
        </is>
      </c>
    </row>
    <row r="868">
      <c r="A868" t="inlineStr">
        <is>
          <t>inv_ac82e6a6c194</t>
        </is>
      </c>
      <c r="B868" t="inlineStr">
        <is>
          <t>Stanley</t>
        </is>
      </c>
      <c r="C868" t="inlineStr"/>
      <c r="D868" t="inlineStr"/>
      <c r="E868" t="inlineStr"/>
      <c r="F868" t="inlineStr">
        <is>
          <t>2026-04-07</t>
        </is>
      </c>
      <c r="G868" t="inlineStr"/>
      <c r="H868" t="inlineStr">
        <is>
          <t>cus_bdd658582436</t>
        </is>
      </c>
      <c r="I868" t="inlineStr">
        <is>
          <t>富利餐飲股份有限公司</t>
        </is>
      </c>
      <c r="J868" t="inlineStr">
        <is>
          <t>97161500</t>
        </is>
      </c>
      <c r="K868" t="n">
        <v>3942</v>
      </c>
      <c r="L868" t="n">
        <v>4139</v>
      </c>
      <c r="M868" t="inlineStr">
        <is>
          <t>發票載具中獎放大</t>
        </is>
      </c>
      <c r="N868" t="inlineStr">
        <is>
          <t>Shannon Lin</t>
        </is>
      </c>
      <c r="O868" t="inlineStr">
        <is>
          <t>10489台北市建國北路1段96號9樓</t>
        </is>
      </c>
      <c r="P868" t="inlineStr">
        <is>
          <t>Shannon.Lin@jrgtw.com</t>
        </is>
      </c>
      <c r="Q868" t="inlineStr">
        <is>
          <t>02-2503-6889 #8298</t>
        </is>
      </c>
      <c r="R868" t="inlineStr"/>
      <c r="S868" t="inlineStr">
        <is>
          <t>未收款</t>
        </is>
      </c>
      <c r="T868" t="inlineStr">
        <is>
          <t>肯德基
來源：單次型發票及收款紀錄 第 400 列</t>
        </is>
      </c>
      <c r="U868" t="inlineStr">
        <is>
          <t>收到發票隔月30號</t>
        </is>
      </c>
      <c r="V868" t="inlineStr">
        <is>
          <t>2026-05-18</t>
        </is>
      </c>
    </row>
    <row r="869">
      <c r="A869" t="inlineStr">
        <is>
          <t>inv_699672953276</t>
        </is>
      </c>
      <c r="B869" t="inlineStr">
        <is>
          <t>Stanley</t>
        </is>
      </c>
      <c r="C869" t="inlineStr"/>
      <c r="D869" t="inlineStr"/>
      <c r="E869" t="inlineStr"/>
      <c r="F869" t="inlineStr">
        <is>
          <t>2026-04-07</t>
        </is>
      </c>
      <c r="G869" t="inlineStr"/>
      <c r="H869" t="inlineStr">
        <is>
          <t>cus_91a04eb262ec</t>
        </is>
      </c>
      <c r="I869" t="inlineStr">
        <is>
          <t>酷遊天國際旅行社股份有限公司</t>
        </is>
      </c>
      <c r="J869" t="inlineStr">
        <is>
          <t>24977417</t>
        </is>
      </c>
      <c r="K869" t="n">
        <v>0</v>
      </c>
      <c r="L869" t="n">
        <v>22518</v>
      </c>
      <c r="M869" t="inlineStr">
        <is>
          <t>發票載具中獎放大分潤</t>
        </is>
      </c>
      <c r="N869" t="inlineStr">
        <is>
          <t>Max</t>
        </is>
      </c>
      <c r="O869" t="inlineStr">
        <is>
          <t>11494臺北市內湖區新湖一路128巷15號5樓</t>
        </is>
      </c>
      <c r="P869" t="inlineStr">
        <is>
          <t>stanley_cheng@cmoney.com.tw</t>
        </is>
      </c>
      <c r="Q869" t="inlineStr">
        <is>
          <t>02-8227-1280</t>
        </is>
      </c>
      <c r="R869" t="inlineStr"/>
      <c r="S869" t="inlineStr">
        <is>
          <t>未收款</t>
        </is>
      </c>
      <c r="T869" t="inlineStr">
        <is>
          <t>來源：單次型發票及收款紀錄 第 401 列</t>
        </is>
      </c>
      <c r="U869" t="inlineStr">
        <is>
          <t>收到發票隔月30號</t>
        </is>
      </c>
      <c r="V869" t="inlineStr">
        <is>
          <t>2026-05-18</t>
        </is>
      </c>
    </row>
    <row r="870">
      <c r="A870" t="inlineStr">
        <is>
          <t>inv_0608defa795f</t>
        </is>
      </c>
      <c r="B870" t="inlineStr">
        <is>
          <t>Cobi</t>
        </is>
      </c>
      <c r="C870" t="inlineStr"/>
      <c r="D870" t="inlineStr"/>
      <c r="E870" t="inlineStr"/>
      <c r="F870" t="inlineStr">
        <is>
          <t>2026-04-07</t>
        </is>
      </c>
      <c r="G870" t="inlineStr"/>
      <c r="H870" t="inlineStr">
        <is>
          <t>cus_a63074f217c0</t>
        </is>
      </c>
      <c r="I870" t="inlineStr">
        <is>
          <t>第一電商有限公司</t>
        </is>
      </c>
      <c r="J870" t="inlineStr">
        <is>
          <t>12963120</t>
        </is>
      </c>
      <c r="K870" t="n">
        <v>0</v>
      </c>
      <c r="L870" t="n">
        <v>75000</v>
      </c>
      <c r="M870" t="inlineStr">
        <is>
          <t>發票API月租</t>
        </is>
      </c>
      <c r="N870" t="inlineStr">
        <is>
          <t>謝佩芳</t>
        </is>
      </c>
      <c r="O870" t="inlineStr">
        <is>
          <t>台北市士林區忠誠路一段63號7樓</t>
        </is>
      </c>
      <c r="P870" t="inlineStr">
        <is>
          <t>nicky.hsieh@gmail.com</t>
        </is>
      </c>
      <c r="Q870" t="inlineStr"/>
      <c r="R870" t="inlineStr"/>
      <c r="S870" t="inlineStr">
        <is>
          <t>未收款</t>
        </is>
      </c>
      <c r="T870" t="inlineStr">
        <is>
          <t>4-6月
來源：單次型發票及收款紀錄 第 402 列</t>
        </is>
      </c>
      <c r="U870" t="inlineStr">
        <is>
          <t>收到發票隔月起30天</t>
        </is>
      </c>
      <c r="V870" t="inlineStr">
        <is>
          <t>2026-05-18</t>
        </is>
      </c>
    </row>
    <row r="871">
      <c r="A871" t="inlineStr">
        <is>
          <t>inv_fcc177ab3467</t>
        </is>
      </c>
      <c r="B871" t="inlineStr">
        <is>
          <t>Peggy</t>
        </is>
      </c>
      <c r="C871" t="inlineStr">
        <is>
          <t>2026-04-10</t>
        </is>
      </c>
      <c r="D871" t="inlineStr">
        <is>
          <t>3043352</t>
        </is>
      </c>
      <c r="E871" t="inlineStr"/>
      <c r="F871" t="inlineStr">
        <is>
          <t>2026-04-24</t>
        </is>
      </c>
      <c r="G871" t="inlineStr"/>
      <c r="H871" t="inlineStr">
        <is>
          <t>cus_b8e52468d76b</t>
        </is>
      </c>
      <c r="I871" t="inlineStr">
        <is>
          <t>麥麥生技國際有限公司</t>
        </is>
      </c>
      <c r="J871" t="inlineStr">
        <is>
          <t>96590617</t>
        </is>
      </c>
      <c r="K871" t="n">
        <v>54000</v>
      </c>
      <c r="L871" t="n">
        <v>56700</v>
      </c>
      <c r="M871" t="inlineStr">
        <is>
          <t>發票數據受眾包</t>
        </is>
      </c>
      <c r="N871" t="inlineStr">
        <is>
          <t>陳彥均 Mike</t>
        </is>
      </c>
      <c r="O871" t="inlineStr">
        <is>
          <t>臺北市大安區信義路4段1號2樓</t>
        </is>
      </c>
      <c r="P871" t="inlineStr">
        <is>
          <t>3minskincare@gmail.com</t>
        </is>
      </c>
      <c r="Q871" t="inlineStr">
        <is>
          <t>02-77538597</t>
        </is>
      </c>
      <c r="R871" t="inlineStr"/>
      <c r="S871" t="inlineStr">
        <is>
          <t>已收款</t>
        </is>
      </c>
      <c r="T871" t="inlineStr">
        <is>
          <t>美妝保養/受眾共享
來源：單次型發票及收款紀錄 第 403 列</t>
        </is>
      </c>
      <c r="U871" t="inlineStr">
        <is>
          <t>預付</t>
        </is>
      </c>
      <c r="V871" t="inlineStr">
        <is>
          <t>2026-05-18</t>
        </is>
      </c>
    </row>
    <row r="872">
      <c r="A872" t="inlineStr">
        <is>
          <t>inv_5c3055365896</t>
        </is>
      </c>
      <c r="B872" t="inlineStr">
        <is>
          <t>Erin</t>
        </is>
      </c>
      <c r="C872" t="inlineStr"/>
      <c r="D872" t="inlineStr">
        <is>
          <t>3020027</t>
        </is>
      </c>
      <c r="E872" t="inlineStr"/>
      <c r="F872" t="inlineStr">
        <is>
          <t>2026-04-10</t>
        </is>
      </c>
      <c r="G872" t="inlineStr"/>
      <c r="H872" t="inlineStr">
        <is>
          <t>cus_26f2c1c3e2f3</t>
        </is>
      </c>
      <c r="I872" t="inlineStr">
        <is>
          <t>香港商陽獅銳奇媒體股份有限公司台灣分公司星傳
媒體事業處</t>
        </is>
      </c>
      <c r="J872" t="inlineStr">
        <is>
          <t>26287090</t>
        </is>
      </c>
      <c r="K872" t="n">
        <v>10000</v>
      </c>
      <c r="L872" t="n">
        <v>10500</v>
      </c>
      <c r="M872" t="inlineStr">
        <is>
          <t>廣告受眾包</t>
        </is>
      </c>
      <c r="N872" t="inlineStr">
        <is>
          <t>Aida Chou</t>
        </is>
      </c>
      <c r="O872" t="inlineStr">
        <is>
          <t>台北市大安區信義路四段6號8樓</t>
        </is>
      </c>
      <c r="P872" t="inlineStr">
        <is>
          <t>erin_yeh@cmoney.com.tw</t>
        </is>
      </c>
      <c r="Q872">
        <f>886277342829</f>
        <v/>
      </c>
      <c r="R872" t="inlineStr"/>
      <c r="S872" t="inlineStr">
        <is>
          <t>未收款</t>
        </is>
      </c>
      <c r="T872" t="inlineStr">
        <is>
          <t>P&amp;G_ 
Crest
來源：單次型發票及收款紀錄 第 404 列</t>
        </is>
      </c>
      <c r="U872" t="inlineStr">
        <is>
          <t>收到發票隔月起95天</t>
        </is>
      </c>
      <c r="V872" t="inlineStr">
        <is>
          <t>2026-05-18</t>
        </is>
      </c>
    </row>
    <row r="873">
      <c r="A873" t="inlineStr">
        <is>
          <t>inv_c0d48731dfa0</t>
        </is>
      </c>
      <c r="B873" t="inlineStr">
        <is>
          <t>Cobi</t>
        </is>
      </c>
      <c r="C873" t="inlineStr"/>
      <c r="D873" t="inlineStr"/>
      <c r="E873" t="inlineStr"/>
      <c r="F873" t="inlineStr">
        <is>
          <t>2026-04-16</t>
        </is>
      </c>
      <c r="G873" t="inlineStr"/>
      <c r="H873" t="inlineStr">
        <is>
          <t>cus_3816722e3e66</t>
        </is>
      </c>
      <c r="I873" t="inlineStr">
        <is>
          <t>全聯實業股份有限公司</t>
        </is>
      </c>
      <c r="J873" t="inlineStr">
        <is>
          <t>16740494</t>
        </is>
      </c>
      <c r="K873" t="n">
        <v>0</v>
      </c>
      <c r="L873" t="n">
        <v>151200</v>
      </c>
      <c r="M873" t="inlineStr">
        <is>
          <t>發票記帳資安優化(第三期)</t>
        </is>
      </c>
      <c r="N873" t="inlineStr">
        <is>
          <t>邱俊皓 Howard</t>
        </is>
      </c>
      <c r="O873" t="inlineStr">
        <is>
          <t>台北市中山區敬業四路33號4樓</t>
        </is>
      </c>
      <c r="P873" t="inlineStr">
        <is>
          <t>howard_chiu@pxmart.com.tw</t>
        </is>
      </c>
      <c r="Q873" t="inlineStr">
        <is>
          <t>02-2532-8000 ext. 1207</t>
        </is>
      </c>
      <c r="R873" t="inlineStr"/>
      <c r="S873" t="inlineStr">
        <is>
          <t>未收款</t>
        </is>
      </c>
      <c r="T873" t="inlineStr">
        <is>
          <t>記帳專案
來源：單次型發票及收款紀錄 第 405 列</t>
        </is>
      </c>
      <c r="U873" t="inlineStr">
        <is>
          <t>收到發票隔月30號</t>
        </is>
      </c>
      <c r="V873" t="inlineStr">
        <is>
          <t>2026-05-18</t>
        </is>
      </c>
    </row>
    <row r="874">
      <c r="A874" t="inlineStr">
        <is>
          <t>inv_fd5fd588fbc7</t>
        </is>
      </c>
      <c r="B874" t="inlineStr">
        <is>
          <t>Cobi</t>
        </is>
      </c>
      <c r="C874" t="inlineStr"/>
      <c r="D874" t="inlineStr"/>
      <c r="E874" t="inlineStr"/>
      <c r="F874" t="inlineStr">
        <is>
          <t>2026-04-16</t>
        </is>
      </c>
      <c r="G874" t="inlineStr"/>
      <c r="H874" t="inlineStr">
        <is>
          <t>cus_3816722e3e66</t>
        </is>
      </c>
      <c r="I874" t="inlineStr">
        <is>
          <t>全聯實業股份有限公司</t>
        </is>
      </c>
      <c r="J874" t="inlineStr">
        <is>
          <t>16740494</t>
        </is>
      </c>
      <c r="K874" t="n">
        <v>0</v>
      </c>
      <c r="L874" t="n">
        <v>114000</v>
      </c>
      <c r="M874" t="inlineStr">
        <is>
          <t>加碼獎(第三期)</t>
        </is>
      </c>
      <c r="N874" t="inlineStr">
        <is>
          <t>邱俊皓 Howard</t>
        </is>
      </c>
      <c r="O874" t="inlineStr">
        <is>
          <t>台北市中山區敬業四路33號4樓</t>
        </is>
      </c>
      <c r="P874" t="inlineStr">
        <is>
          <t>howard_chiu@pxmart.com.tw</t>
        </is>
      </c>
      <c r="Q874" t="inlineStr"/>
      <c r="R874" t="inlineStr"/>
      <c r="S874" t="inlineStr">
        <is>
          <t>未收款</t>
        </is>
      </c>
      <c r="T874" t="inlineStr">
        <is>
          <t>迪卡儂
來源：單次型發票及收款紀錄 第 406 列</t>
        </is>
      </c>
      <c r="U874" t="inlineStr">
        <is>
          <t>收到發票隔月起30天</t>
        </is>
      </c>
      <c r="V874" t="inlineStr">
        <is>
          <t>2026-05-18</t>
        </is>
      </c>
    </row>
    <row r="875">
      <c r="A875" t="inlineStr">
        <is>
          <t>inv_b669827022ba</t>
        </is>
      </c>
      <c r="B875" t="inlineStr">
        <is>
          <t>Erin</t>
        </is>
      </c>
      <c r="C875" t="inlineStr"/>
      <c r="D875" t="inlineStr"/>
      <c r="E875" t="inlineStr"/>
      <c r="F875" t="inlineStr">
        <is>
          <t>2026-05-05</t>
        </is>
      </c>
      <c r="G875" t="inlineStr">
        <is>
          <t>3058790.0</t>
        </is>
      </c>
      <c r="H875" t="inlineStr">
        <is>
          <t>cus_9074948b393b</t>
        </is>
      </c>
      <c r="I875" t="inlineStr">
        <is>
          <t>格上汽車租賃股份有限公司</t>
        </is>
      </c>
      <c r="J875" t="inlineStr">
        <is>
          <t>12208883</t>
        </is>
      </c>
      <c r="K875" t="n">
        <v>218000</v>
      </c>
      <c r="L875" t="n">
        <v>228900</v>
      </c>
      <c r="M875" t="inlineStr">
        <is>
          <t>發票開獎活動合作</t>
        </is>
      </c>
      <c r="N875" t="inlineStr">
        <is>
          <t>Jimmy</t>
        </is>
      </c>
      <c r="O875" t="inlineStr">
        <is>
          <t>新北市新店區中興路三段3號7樓</t>
        </is>
      </c>
      <c r="P875" t="inlineStr">
        <is>
          <t>jimmy.tseng@car-plus.com.tw</t>
        </is>
      </c>
      <c r="Q875" t="inlineStr"/>
      <c r="R875" t="inlineStr"/>
      <c r="S875" t="inlineStr">
        <is>
          <t>未收款</t>
        </is>
      </c>
      <c r="T875" t="inlineStr">
        <is>
          <t>百萬安慰獎
來源：單次型發票及收款紀錄 第 410 列</t>
        </is>
      </c>
      <c r="U875" t="inlineStr">
        <is>
          <t>收到發票隔月起30天</t>
        </is>
      </c>
      <c r="V875" t="inlineStr">
        <is>
          <t>2026-05-18</t>
        </is>
      </c>
    </row>
    <row r="876">
      <c r="A876" t="inlineStr">
        <is>
          <t>inv_0febb85c8dd1</t>
        </is>
      </c>
      <c r="B876" t="inlineStr">
        <is>
          <t>Erin</t>
        </is>
      </c>
      <c r="C876" t="inlineStr"/>
      <c r="D876" t="inlineStr"/>
      <c r="E876" t="inlineStr"/>
      <c r="F876" t="inlineStr">
        <is>
          <t>2026-05-05</t>
        </is>
      </c>
      <c r="G876" t="inlineStr">
        <is>
          <t>3058791.0</t>
        </is>
      </c>
      <c r="H876" t="inlineStr">
        <is>
          <t>cus_d42739550cb8</t>
        </is>
      </c>
      <c r="I876" t="inlineStr">
        <is>
          <t>益普索市場研究股份有限公司</t>
        </is>
      </c>
      <c r="J876" t="inlineStr">
        <is>
          <t>80506608</t>
        </is>
      </c>
      <c r="K876" t="n">
        <v>270000</v>
      </c>
      <c r="L876" t="n">
        <v>283500</v>
      </c>
      <c r="M876" t="inlineStr">
        <is>
          <t>運動用品市場研究</t>
        </is>
      </c>
      <c r="N876" t="inlineStr">
        <is>
          <t>Teresa</t>
        </is>
      </c>
      <c r="O876" t="inlineStr">
        <is>
          <t>臺北市大安區敦化南路二段105號25樓</t>
        </is>
      </c>
      <c r="P876" t="inlineStr">
        <is>
          <t>Teresa.Chao@ipsos.com</t>
        </is>
      </c>
      <c r="Q876">
        <f>886277348762</f>
        <v/>
      </c>
      <c r="R876" t="inlineStr"/>
      <c r="S876" t="inlineStr">
        <is>
          <t>未收款</t>
        </is>
      </c>
      <c r="T876" t="inlineStr">
        <is>
          <t>Abbott
來源：單次型發票及收款紀錄 第 411 列</t>
        </is>
      </c>
      <c r="U876" t="inlineStr">
        <is>
          <t>收到發票隔月起95天</t>
        </is>
      </c>
      <c r="V876" t="inlineStr">
        <is>
          <t>2026-05-18</t>
        </is>
      </c>
    </row>
    <row r="877">
      <c r="A877" t="inlineStr">
        <is>
          <t>inv_2c3d2e40817a</t>
        </is>
      </c>
      <c r="B877" t="inlineStr">
        <is>
          <t>Erin</t>
        </is>
      </c>
      <c r="C877" t="inlineStr"/>
      <c r="D877" t="inlineStr"/>
      <c r="E877" t="inlineStr"/>
      <c r="F877" t="inlineStr">
        <is>
          <t>2026-05-05</t>
        </is>
      </c>
      <c r="G877" t="inlineStr">
        <is>
          <t>3058792.0</t>
        </is>
      </c>
      <c r="H877" t="inlineStr">
        <is>
          <t>cus_947ea986b294</t>
        </is>
      </c>
      <c r="I877" t="inlineStr">
        <is>
          <t>橙澤國際有限公司</t>
        </is>
      </c>
      <c r="J877" t="inlineStr">
        <is>
          <t>60766708</t>
        </is>
      </c>
      <c r="K877" t="n">
        <v>23000</v>
      </c>
      <c r="L877" t="n">
        <v>24150</v>
      </c>
      <c r="M877" t="inlineStr">
        <is>
          <t>廣告受眾包</t>
        </is>
      </c>
      <c r="N877" t="inlineStr">
        <is>
          <t>楊沁安</t>
        </is>
      </c>
      <c r="O877" t="inlineStr">
        <is>
          <t>高雄市鼓山區民強街263號1樓</t>
        </is>
      </c>
      <c r="P877" t="inlineStr">
        <is>
          <t>caryyueh19860705@gmail.com</t>
        </is>
      </c>
      <c r="Q877">
        <f>886277348747</f>
        <v/>
      </c>
      <c r="R877" t="inlineStr"/>
      <c r="S877" t="inlineStr">
        <is>
          <t>未收款</t>
        </is>
      </c>
      <c r="T877" t="inlineStr">
        <is>
          <t>P&amp;G_Olay 離線轉換
來源：單次型發票及收款紀錄 第 412 列</t>
        </is>
      </c>
      <c r="U877" t="inlineStr">
        <is>
          <t>收到發票隔月起95天</t>
        </is>
      </c>
      <c r="V877" t="inlineStr">
        <is>
          <t>2026-05-18</t>
        </is>
      </c>
    </row>
    <row r="878">
      <c r="A878" t="inlineStr">
        <is>
          <t>inv_3c72c2ec400d</t>
        </is>
      </c>
      <c r="B878" t="inlineStr">
        <is>
          <t>Erin</t>
        </is>
      </c>
      <c r="C878" t="inlineStr"/>
      <c r="D878" t="inlineStr"/>
      <c r="E878" t="inlineStr"/>
      <c r="F878" t="inlineStr">
        <is>
          <t>2026-05-05</t>
        </is>
      </c>
      <c r="G878" t="inlineStr">
        <is>
          <t>3058793.0</t>
        </is>
      </c>
      <c r="H878" t="inlineStr">
        <is>
          <t>cus_d70917d65656</t>
        </is>
      </c>
      <c r="I878" t="inlineStr">
        <is>
          <t>香港商陽獅銳奇媒體股份有限公司台灣分公司星傳媒體事業處</t>
        </is>
      </c>
      <c r="J878" t="inlineStr">
        <is>
          <t>26287090</t>
        </is>
      </c>
      <c r="K878" t="n">
        <v>50000</v>
      </c>
      <c r="L878" t="n">
        <v>52500</v>
      </c>
      <c r="M878" t="inlineStr">
        <is>
          <t>廣告受眾包</t>
        </is>
      </c>
      <c r="N878" t="inlineStr">
        <is>
          <t>Anya Shiu</t>
        </is>
      </c>
      <c r="O878" t="inlineStr">
        <is>
          <t>台北市大安區信義路四段 6 號 8 樓</t>
        </is>
      </c>
      <c r="P878" t="inlineStr">
        <is>
          <t>erin_yeh@cmoney.com.tw</t>
        </is>
      </c>
      <c r="Q878">
        <f>886277473377</f>
        <v/>
      </c>
      <c r="R878" t="inlineStr"/>
      <c r="S878" t="inlineStr">
        <is>
          <t>未收款</t>
        </is>
      </c>
      <c r="T878" t="inlineStr">
        <is>
          <t>佳格食品_ 福樂
來源：單次型發票及收款紀錄 第 413 列</t>
        </is>
      </c>
      <c r="U878" t="inlineStr">
        <is>
          <t>收到發票隔月起95天</t>
        </is>
      </c>
      <c r="V878" t="inlineStr">
        <is>
          <t>2026-05-18</t>
        </is>
      </c>
    </row>
    <row r="879">
      <c r="A879" t="inlineStr">
        <is>
          <t>inv_2edd6a7281f9</t>
        </is>
      </c>
      <c r="B879" t="inlineStr">
        <is>
          <t>Erin</t>
        </is>
      </c>
      <c r="C879" t="inlineStr"/>
      <c r="D879" t="inlineStr"/>
      <c r="E879" t="inlineStr"/>
      <c r="F879" t="inlineStr">
        <is>
          <t>2026-05-05</t>
        </is>
      </c>
      <c r="G879" t="inlineStr">
        <is>
          <t>3058794.0</t>
        </is>
      </c>
      <c r="H879" t="inlineStr">
        <is>
          <t>cus_0ebf11dc9756</t>
        </is>
      </c>
      <c r="I879" t="inlineStr">
        <is>
          <t>香港商陽獅銳奇媒體股份有限公司台灣分公司實力媒體事業處</t>
        </is>
      </c>
      <c r="J879" t="inlineStr">
        <is>
          <t>26287084</t>
        </is>
      </c>
      <c r="K879" t="n">
        <v>50000</v>
      </c>
      <c r="L879" t="n">
        <v>52500</v>
      </c>
      <c r="M879" t="inlineStr">
        <is>
          <t>廣告受眾包</t>
        </is>
      </c>
      <c r="N879" t="inlineStr">
        <is>
          <t>Iris Huang</t>
        </is>
      </c>
      <c r="O879" t="inlineStr">
        <is>
          <t>台北市大安區信義路四段 6 號 8 樓</t>
        </is>
      </c>
      <c r="P879" t="inlineStr">
        <is>
          <t>erin_yeh@cmoney.com.tw</t>
        </is>
      </c>
      <c r="Q879">
        <f>886277471251</f>
        <v/>
      </c>
      <c r="R879" t="inlineStr"/>
      <c r="S879" t="inlineStr">
        <is>
          <t>未收款</t>
        </is>
      </c>
      <c r="T879" t="inlineStr">
        <is>
          <t>Mars_ Petcare
來源：單次型發票及收款紀錄 第 414 列</t>
        </is>
      </c>
      <c r="U879" t="inlineStr">
        <is>
          <t>收到發票隔月起95天</t>
        </is>
      </c>
      <c r="V879" t="inlineStr">
        <is>
          <t>2026-05-18</t>
        </is>
      </c>
    </row>
    <row r="880">
      <c r="A880" t="inlineStr">
        <is>
          <t>inv_b31cd61a2832</t>
        </is>
      </c>
      <c r="B880" t="inlineStr">
        <is>
          <t>Erin</t>
        </is>
      </c>
      <c r="C880" t="inlineStr"/>
      <c r="D880" t="inlineStr"/>
      <c r="E880" t="inlineStr"/>
      <c r="F880" t="inlineStr">
        <is>
          <t>2026-05-05</t>
        </is>
      </c>
      <c r="G880" t="inlineStr">
        <is>
          <t>3058795.0</t>
        </is>
      </c>
      <c r="H880" t="inlineStr">
        <is>
          <t>cus_d70917d65656</t>
        </is>
      </c>
      <c r="I880" t="inlineStr">
        <is>
          <t>香港商陽獅銳奇媒體股份有限公司台灣分公司星傳媒體事業處</t>
        </is>
      </c>
      <c r="J880" t="inlineStr">
        <is>
          <t>26287090</t>
        </is>
      </c>
      <c r="K880" t="n">
        <v>30000</v>
      </c>
      <c r="L880" t="n">
        <v>31500</v>
      </c>
      <c r="M880" t="inlineStr">
        <is>
          <t>廣告合作</t>
        </is>
      </c>
      <c r="N880" t="inlineStr">
        <is>
          <t>Karsyn Lin</t>
        </is>
      </c>
      <c r="O880" t="inlineStr">
        <is>
          <t>台北市大安區信義路四段 6 號 8 樓</t>
        </is>
      </c>
      <c r="P880" t="inlineStr">
        <is>
          <t>erin_yeh@cmoney.com.tw</t>
        </is>
      </c>
      <c r="Q880">
        <f>886277348769</f>
        <v/>
      </c>
      <c r="R880" t="inlineStr"/>
      <c r="S880" t="inlineStr">
        <is>
          <t>未收款</t>
        </is>
      </c>
      <c r="T880" t="inlineStr">
        <is>
          <t>Samsung
來源：單次型發票及收款紀錄 第 415 列</t>
        </is>
      </c>
      <c r="U880" t="inlineStr">
        <is>
          <t>收到發票隔月起95天</t>
        </is>
      </c>
      <c r="V880" t="inlineStr">
        <is>
          <t>2026-05-18</t>
        </is>
      </c>
    </row>
    <row r="881">
      <c r="A881" t="inlineStr">
        <is>
          <t>inv_a20d91fca615</t>
        </is>
      </c>
      <c r="B881" t="inlineStr">
        <is>
          <t>Erin</t>
        </is>
      </c>
      <c r="C881" t="inlineStr"/>
      <c r="D881" t="inlineStr"/>
      <c r="E881" t="inlineStr"/>
      <c r="F881" t="inlineStr">
        <is>
          <t>2026-05-05</t>
        </is>
      </c>
      <c r="G881" t="inlineStr">
        <is>
          <t>3058796.0</t>
        </is>
      </c>
      <c r="H881" t="inlineStr">
        <is>
          <t>cus_3f39827254c7</t>
        </is>
      </c>
      <c r="I881" t="inlineStr">
        <is>
          <t>香港商陽獅銳奇媒體股份有限公司台灣分公司精銳媒體事業處</t>
        </is>
      </c>
      <c r="J881" t="inlineStr">
        <is>
          <t>42380208</t>
        </is>
      </c>
      <c r="K881" t="n">
        <v>70000</v>
      </c>
      <c r="L881" t="n">
        <v>73500</v>
      </c>
      <c r="M881" t="inlineStr">
        <is>
          <t>廣告受眾包</t>
        </is>
      </c>
      <c r="N881" t="inlineStr">
        <is>
          <t>Annielc Huang</t>
        </is>
      </c>
      <c r="O881" t="inlineStr">
        <is>
          <t>台北市大安區信義路四段 6 號 10 樓</t>
        </is>
      </c>
      <c r="P881" t="inlineStr">
        <is>
          <t>erin_yeh@cmoney.com.tw</t>
        </is>
      </c>
      <c r="Q881" t="inlineStr">
        <is>
          <t>02-2503-6889 #8298</t>
        </is>
      </c>
      <c r="R881" t="inlineStr"/>
      <c r="S881" t="inlineStr">
        <is>
          <t>未收款</t>
        </is>
      </c>
      <c r="T881" t="inlineStr">
        <is>
          <t>必勝客
來源：單次型發票及收款紀錄 第 416 列</t>
        </is>
      </c>
      <c r="U881" t="inlineStr">
        <is>
          <t>收到發票隔月30號</t>
        </is>
      </c>
      <c r="V881" t="inlineStr">
        <is>
          <t>2026-05-18</t>
        </is>
      </c>
    </row>
    <row r="882">
      <c r="A882" t="inlineStr">
        <is>
          <t>inv_0a796eae2b7b</t>
        </is>
      </c>
      <c r="B882" t="inlineStr">
        <is>
          <t>Erin</t>
        </is>
      </c>
      <c r="C882" t="inlineStr"/>
      <c r="D882" t="inlineStr"/>
      <c r="E882" t="inlineStr"/>
      <c r="F882" t="inlineStr">
        <is>
          <t>2026-05-05</t>
        </is>
      </c>
      <c r="G882" t="inlineStr">
        <is>
          <t>3058797.0</t>
        </is>
      </c>
      <c r="H882" t="inlineStr">
        <is>
          <t>cus_d70917d65656</t>
        </is>
      </c>
      <c r="I882" t="inlineStr">
        <is>
          <t>香港商陽獅銳奇媒體股份有限公司台灣分公司星傳媒體事業處</t>
        </is>
      </c>
      <c r="J882" t="inlineStr">
        <is>
          <t>26287090</t>
        </is>
      </c>
      <c r="K882" t="n">
        <v>16500</v>
      </c>
      <c r="L882" t="n">
        <v>17325</v>
      </c>
      <c r="M882" t="inlineStr">
        <is>
          <t>廣告受眾包</t>
        </is>
      </c>
      <c r="N882" t="inlineStr">
        <is>
          <t>Evelyn Liao</t>
        </is>
      </c>
      <c r="O882" t="inlineStr">
        <is>
          <t>台北市大安區信義路四段 6 號 8 樓</t>
        </is>
      </c>
      <c r="P882" t="inlineStr">
        <is>
          <t>erin_yeh@cmoney.com.tw</t>
        </is>
      </c>
      <c r="Q882" t="inlineStr">
        <is>
          <t>02-2503-6889 #8298</t>
        </is>
      </c>
      <c r="R882" t="inlineStr"/>
      <c r="S882" t="inlineStr">
        <is>
          <t>未收款</t>
        </is>
      </c>
      <c r="T882" t="inlineStr">
        <is>
          <t>肯德基
來源：單次型發票及收款紀錄 第 417 列</t>
        </is>
      </c>
      <c r="U882" t="inlineStr">
        <is>
          <t>收到發票隔月30號</t>
        </is>
      </c>
      <c r="V882" t="inlineStr">
        <is>
          <t>2026-05-18</t>
        </is>
      </c>
    </row>
    <row r="883">
      <c r="A883" t="inlineStr">
        <is>
          <t>inv_b35b1fe90f1e</t>
        </is>
      </c>
      <c r="B883" t="inlineStr">
        <is>
          <t>Erin</t>
        </is>
      </c>
      <c r="C883" t="inlineStr"/>
      <c r="D883" t="inlineStr"/>
      <c r="E883" t="inlineStr"/>
      <c r="F883" t="inlineStr">
        <is>
          <t>2026-05-05</t>
        </is>
      </c>
      <c r="G883" t="inlineStr">
        <is>
          <t>3058798.0</t>
        </is>
      </c>
      <c r="H883" t="inlineStr">
        <is>
          <t>cus_b70fd15def8d</t>
        </is>
      </c>
      <c r="I883" t="inlineStr">
        <is>
          <t>李奧貝納股份有限公司</t>
        </is>
      </c>
      <c r="J883" t="inlineStr">
        <is>
          <t>22522904</t>
        </is>
      </c>
      <c r="K883" t="n">
        <v>40000</v>
      </c>
      <c r="L883" t="n">
        <v>42000</v>
      </c>
      <c r="M883" t="inlineStr">
        <is>
          <t>廣告受眾包</t>
        </is>
      </c>
      <c r="N883" t="inlineStr">
        <is>
          <t>Sandy Pan</t>
        </is>
      </c>
      <c r="O883" t="inlineStr">
        <is>
          <t>台北市大安區信義路四段6號6樓</t>
        </is>
      </c>
      <c r="P883" t="inlineStr">
        <is>
          <t>erin_yeh@cmoney.com.tw</t>
        </is>
      </c>
      <c r="Q883" t="inlineStr">
        <is>
          <t>04-2422-0355 #16</t>
        </is>
      </c>
      <c r="R883" t="inlineStr"/>
      <c r="S883" t="inlineStr">
        <is>
          <t>未收款</t>
        </is>
      </c>
      <c r="T883" t="inlineStr">
        <is>
          <t>沃爾司
來源：單次型發票及收款紀錄 第 418 列</t>
        </is>
      </c>
      <c r="U883" t="inlineStr">
        <is>
          <t>收到發票隔月30號</t>
        </is>
      </c>
      <c r="V883" t="inlineStr">
        <is>
          <t>2026-05-18</t>
        </is>
      </c>
    </row>
    <row r="884">
      <c r="A884" t="inlineStr">
        <is>
          <t>inv_c0dbc73e3d8c</t>
        </is>
      </c>
      <c r="B884" t="inlineStr">
        <is>
          <t>Erin</t>
        </is>
      </c>
      <c r="C884" t="inlineStr"/>
      <c r="D884" t="inlineStr"/>
      <c r="E884" t="inlineStr"/>
      <c r="F884" t="inlineStr">
        <is>
          <t>2026-05-05</t>
        </is>
      </c>
      <c r="G884" t="inlineStr">
        <is>
          <t>3058799.0</t>
        </is>
      </c>
      <c r="H884" t="inlineStr">
        <is>
          <t>cus_d70917d65656</t>
        </is>
      </c>
      <c r="I884" t="inlineStr">
        <is>
          <t>香港商陽獅銳奇媒體股份有限公司台灣分公司星傳媒體事業處</t>
        </is>
      </c>
      <c r="J884" t="inlineStr">
        <is>
          <t>26287090</t>
        </is>
      </c>
      <c r="K884" t="n">
        <v>70000</v>
      </c>
      <c r="L884" t="n">
        <v>73500</v>
      </c>
      <c r="M884" t="inlineStr">
        <is>
          <t>廣告受眾包</t>
        </is>
      </c>
      <c r="N884" t="inlineStr">
        <is>
          <t>Bernice Shen</t>
        </is>
      </c>
      <c r="O884" t="inlineStr">
        <is>
          <t>台北市大安區信義路四段 6 號 8 樓</t>
        </is>
      </c>
      <c r="P884" t="inlineStr">
        <is>
          <t>erin_yeh@cmoney.com.tw</t>
        </is>
      </c>
      <c r="Q884">
        <f>886277471251</f>
        <v/>
      </c>
      <c r="R884" t="inlineStr"/>
      <c r="S884" t="inlineStr">
        <is>
          <t>未收款</t>
        </is>
      </c>
      <c r="T884" t="inlineStr">
        <is>
          <t>Mars_ Petcare
來源：單次型發票及收款紀錄 第 419 列</t>
        </is>
      </c>
      <c r="U884" t="inlineStr">
        <is>
          <t>收到發票隔月起95天</t>
        </is>
      </c>
      <c r="V884" t="inlineStr">
        <is>
          <t>2026-05-18</t>
        </is>
      </c>
    </row>
    <row r="885">
      <c r="A885" t="inlineStr">
        <is>
          <t>inv_0fc07fb13851</t>
        </is>
      </c>
      <c r="B885" t="inlineStr">
        <is>
          <t>Cobi</t>
        </is>
      </c>
      <c r="C885" t="inlineStr"/>
      <c r="D885" t="inlineStr"/>
      <c r="E885" t="inlineStr"/>
      <c r="F885" t="inlineStr">
        <is>
          <t>2026-05-05</t>
        </is>
      </c>
      <c r="G885" t="inlineStr">
        <is>
          <t>3058800.0</t>
        </is>
      </c>
      <c r="H885" t="inlineStr">
        <is>
          <t>cus_a63074f217c0</t>
        </is>
      </c>
      <c r="I885" t="inlineStr">
        <is>
          <t>第一電商有限公司</t>
        </is>
      </c>
      <c r="J885" t="inlineStr">
        <is>
          <t>12963120</t>
        </is>
      </c>
      <c r="K885" t="n">
        <v>0</v>
      </c>
      <c r="L885" t="n">
        <v>2000</v>
      </c>
      <c r="M885" t="inlineStr">
        <is>
          <t>發票API月租</t>
        </is>
      </c>
      <c r="N885" t="inlineStr">
        <is>
          <t>謝佩芳</t>
        </is>
      </c>
      <c r="O885" t="inlineStr">
        <is>
          <t>台北市士林區忠誠路一段63號7樓</t>
        </is>
      </c>
      <c r="P885" t="inlineStr">
        <is>
          <t>nicky.hsieh@gmail.com</t>
        </is>
      </c>
      <c r="Q885" t="inlineStr"/>
      <c r="R885" t="inlineStr"/>
      <c r="S885" t="inlineStr">
        <is>
          <t>未收款</t>
        </is>
      </c>
      <c r="T885" t="inlineStr">
        <is>
          <t>來源：單次型發票及收款紀錄 第 420 列</t>
        </is>
      </c>
      <c r="U885" t="inlineStr"/>
      <c r="V885" t="inlineStr">
        <is>
          <t>2026-05-18</t>
        </is>
      </c>
    </row>
    <row r="886">
      <c r="A886" t="inlineStr">
        <is>
          <t>inv_0b4326396ae5</t>
        </is>
      </c>
      <c r="B886" t="inlineStr">
        <is>
          <t>Stanley</t>
        </is>
      </c>
      <c r="C886" t="inlineStr"/>
      <c r="D886" t="inlineStr"/>
      <c r="E886" t="inlineStr"/>
      <c r="F886" t="inlineStr">
        <is>
          <t>2026-05-05</t>
        </is>
      </c>
      <c r="G886" t="inlineStr">
        <is>
          <t>3058801.0</t>
        </is>
      </c>
      <c r="H886" t="inlineStr">
        <is>
          <t>cus_bdd658582436</t>
        </is>
      </c>
      <c r="I886" t="inlineStr">
        <is>
          <t>富利餐飲股份有限公司</t>
        </is>
      </c>
      <c r="J886" t="inlineStr">
        <is>
          <t>97161500</t>
        </is>
      </c>
      <c r="K886" t="n">
        <v>19794</v>
      </c>
      <c r="L886" t="n">
        <v>20784</v>
      </c>
      <c r="M886" t="inlineStr">
        <is>
          <t>發票載具中獎放大</t>
        </is>
      </c>
      <c r="N886" t="inlineStr">
        <is>
          <t>Shannon Lin</t>
        </is>
      </c>
      <c r="O886" t="inlineStr">
        <is>
          <t>10489台北市建國北路1段96號9樓</t>
        </is>
      </c>
      <c r="P886" t="inlineStr">
        <is>
          <t>Shannon.Lin@jrgtw.com</t>
        </is>
      </c>
      <c r="Q886" t="inlineStr"/>
      <c r="R886" t="inlineStr"/>
      <c r="S886" t="inlineStr">
        <is>
          <t>未收款</t>
        </is>
      </c>
      <c r="T886" t="inlineStr">
        <is>
          <t>來源：單次型發票及收款紀錄 第 421 列</t>
        </is>
      </c>
      <c r="U886" t="inlineStr"/>
      <c r="V886" t="inlineStr">
        <is>
          <t>2026-05-18</t>
        </is>
      </c>
    </row>
    <row r="887">
      <c r="A887" t="inlineStr">
        <is>
          <t>inv_088655907ea0</t>
        </is>
      </c>
      <c r="B887" t="inlineStr">
        <is>
          <t>Stanley</t>
        </is>
      </c>
      <c r="C887" t="inlineStr"/>
      <c r="D887" t="inlineStr"/>
      <c r="E887" t="inlineStr"/>
      <c r="F887" t="inlineStr">
        <is>
          <t>2026-05-05</t>
        </is>
      </c>
      <c r="G887" t="inlineStr">
        <is>
          <t>3058802.0</t>
        </is>
      </c>
      <c r="H887" t="inlineStr">
        <is>
          <t>cus_bdd658582436</t>
        </is>
      </c>
      <c r="I887" t="inlineStr">
        <is>
          <t>富利餐飲股份有限公司</t>
        </is>
      </c>
      <c r="J887" t="inlineStr">
        <is>
          <t>97161500</t>
        </is>
      </c>
      <c r="K887" t="n">
        <v>3518</v>
      </c>
      <c r="L887" t="n">
        <v>3694</v>
      </c>
      <c r="M887" t="inlineStr">
        <is>
          <t>發票載具中獎放大</t>
        </is>
      </c>
      <c r="N887" t="inlineStr">
        <is>
          <t>Shannon Lin</t>
        </is>
      </c>
      <c r="O887" t="inlineStr">
        <is>
          <t>10489台北市建國北路1段96號9樓</t>
        </is>
      </c>
      <c r="P887" t="inlineStr">
        <is>
          <t>Shannon.Lin@jrgtw.com</t>
        </is>
      </c>
      <c r="Q887" t="inlineStr"/>
      <c r="R887" t="inlineStr"/>
      <c r="S887" t="inlineStr">
        <is>
          <t>未收款</t>
        </is>
      </c>
      <c r="T887" t="inlineStr">
        <is>
          <t>來源：單次型發票及收款紀錄 第 422 列</t>
        </is>
      </c>
      <c r="U887" t="inlineStr"/>
      <c r="V887" t="inlineStr">
        <is>
          <t>2026-05-18</t>
        </is>
      </c>
    </row>
    <row r="888">
      <c r="A888" t="inlineStr">
        <is>
          <t>inv_c3ba0321c90c</t>
        </is>
      </c>
      <c r="B888" t="inlineStr">
        <is>
          <t>Peggy</t>
        </is>
      </c>
      <c r="C888" t="inlineStr"/>
      <c r="D888" t="inlineStr"/>
      <c r="E888" t="inlineStr"/>
      <c r="F888" t="inlineStr">
        <is>
          <t>2026-05-05</t>
        </is>
      </c>
      <c r="G888" t="inlineStr">
        <is>
          <t>3058803.0</t>
        </is>
      </c>
      <c r="H888" t="inlineStr">
        <is>
          <t>cus_9131c5f11930</t>
        </is>
      </c>
      <c r="I888" t="inlineStr">
        <is>
          <t>盛禾生醫國際事業有限公司</t>
        </is>
      </c>
      <c r="J888" t="inlineStr">
        <is>
          <t>83537675</t>
        </is>
      </c>
      <c r="K888" t="n">
        <v>8407</v>
      </c>
      <c r="L888" t="n">
        <v>8827</v>
      </c>
      <c r="M888" t="inlineStr">
        <is>
          <t>發票載具中獎放大</t>
        </is>
      </c>
      <c r="N888" t="inlineStr">
        <is>
          <t>簡嘉宏</t>
        </is>
      </c>
      <c r="O888" t="inlineStr">
        <is>
          <t>臺中市北屯區仁和里梅川東路五段398號
4樓之2</t>
        </is>
      </c>
      <c r="P888" t="inlineStr">
        <is>
          <t>george@worthbio.com.tw</t>
        </is>
      </c>
      <c r="Q888" t="inlineStr">
        <is>
          <t>04-2422-0355 #16</t>
        </is>
      </c>
      <c r="R888" t="inlineStr"/>
      <c r="S888" t="inlineStr">
        <is>
          <t>未收款</t>
        </is>
      </c>
      <c r="T888" t="inlineStr">
        <is>
          <t>沃爾司
來源：單次型發票及收款紀錄 第 423 列</t>
        </is>
      </c>
      <c r="U888" t="inlineStr">
        <is>
          <t>收到發票隔月30號</t>
        </is>
      </c>
      <c r="V888" t="inlineStr">
        <is>
          <t>2026-05-18</t>
        </is>
      </c>
    </row>
    <row r="889">
      <c r="A889" t="inlineStr">
        <is>
          <t>inv_eb50c7b4e37d</t>
        </is>
      </c>
      <c r="B889" t="inlineStr">
        <is>
          <t>Cobi</t>
        </is>
      </c>
      <c r="C889" t="inlineStr"/>
      <c r="D889" t="inlineStr"/>
      <c r="E889" t="inlineStr"/>
      <c r="F889" t="inlineStr">
        <is>
          <t>2026-05-05</t>
        </is>
      </c>
      <c r="G889" t="inlineStr">
        <is>
          <t>3058804.0</t>
        </is>
      </c>
      <c r="H889" t="inlineStr">
        <is>
          <t>cus_2397e7849eba</t>
        </is>
      </c>
      <c r="I889" t="inlineStr">
        <is>
          <t>睿鼎數位股份有限公司</t>
        </is>
      </c>
      <c r="J889" t="inlineStr">
        <is>
          <t>42837620</t>
        </is>
      </c>
      <c r="K889" t="n">
        <v>0</v>
      </c>
      <c r="L889" t="n">
        <v>40000</v>
      </c>
      <c r="M889" t="inlineStr">
        <is>
          <t>發票API月租(雀巢、益節)</t>
        </is>
      </c>
      <c r="N889" t="inlineStr">
        <is>
          <t>羅聖耀</t>
        </is>
      </c>
      <c r="O889" t="inlineStr">
        <is>
          <t>台北市大安區信義路四段89-1號8樓</t>
        </is>
      </c>
      <c r="P889" t="inlineStr">
        <is>
          <t>opteam@12cm.com.tw</t>
        </is>
      </c>
      <c r="Q889" t="inlineStr"/>
      <c r="R889" t="inlineStr"/>
      <c r="S889" t="inlineStr">
        <is>
          <t>未收款</t>
        </is>
      </c>
      <c r="T889" t="inlineStr">
        <is>
          <t>來源：單次型發票及收款紀錄 第 424 列</t>
        </is>
      </c>
      <c r="U889" t="inlineStr">
        <is>
          <t>收到發票隔月起30天</t>
        </is>
      </c>
      <c r="V889" t="inlineStr">
        <is>
          <t>2026-05-18</t>
        </is>
      </c>
    </row>
    <row r="890">
      <c r="A890" t="inlineStr">
        <is>
          <t>inv_9998713605a9</t>
        </is>
      </c>
      <c r="B890" t="inlineStr">
        <is>
          <t>Stanley</t>
        </is>
      </c>
      <c r="C890" t="inlineStr"/>
      <c r="D890" t="inlineStr"/>
      <c r="E890" t="inlineStr"/>
      <c r="F890" t="inlineStr"/>
      <c r="G890" t="inlineStr"/>
      <c r="H890" t="inlineStr">
        <is>
          <t>cus_f881bd5910b6</t>
        </is>
      </c>
      <c r="I890" t="inlineStr">
        <is>
          <t>中興數位科技有限公司</t>
        </is>
      </c>
      <c r="J890" t="inlineStr">
        <is>
          <t>80606579</t>
        </is>
      </c>
      <c r="K890" t="n">
        <v>5000</v>
      </c>
      <c r="L890" t="n">
        <v>5250</v>
      </c>
      <c r="M890" t="inlineStr">
        <is>
          <t>發票載具中獎放大</t>
        </is>
      </c>
      <c r="N890" t="inlineStr">
        <is>
          <t>Shelly</t>
        </is>
      </c>
      <c r="O890" t="inlineStr">
        <is>
          <t>420台中市豐原區豐南街46號</t>
        </is>
      </c>
      <c r="P890" t="inlineStr">
        <is>
          <t>yuxuanzheng0221@gmail.com</t>
        </is>
      </c>
      <c r="Q890" t="inlineStr"/>
      <c r="R890" t="inlineStr"/>
      <c r="S890" t="inlineStr">
        <is>
          <t>未收款</t>
        </is>
      </c>
      <c r="T890" t="inlineStr">
        <is>
          <t>arlink
來源：單次型發票及收款紀錄 第 432 列</t>
        </is>
      </c>
      <c r="U890" t="inlineStr">
        <is>
          <t>收到發票隔月30天內</t>
        </is>
      </c>
      <c r="V890" t="inlineStr">
        <is>
          <t>2026-05-18</t>
        </is>
      </c>
    </row>
    <row r="891">
      <c r="A891" t="inlineStr">
        <is>
          <t>inv_9b48292b6194</t>
        </is>
      </c>
      <c r="B891" t="inlineStr">
        <is>
          <t>Stanley</t>
        </is>
      </c>
      <c r="C891" t="inlineStr"/>
      <c r="D891" t="inlineStr"/>
      <c r="E891" t="inlineStr"/>
      <c r="F891" t="inlineStr"/>
      <c r="G891" t="inlineStr"/>
      <c r="H891" t="inlineStr">
        <is>
          <t>cus_258dedeefd75</t>
        </is>
      </c>
      <c r="I891" t="inlineStr">
        <is>
          <t>曜睿國際企業股份有限公司</t>
        </is>
      </c>
      <c r="J891" t="inlineStr">
        <is>
          <t>60590602</t>
        </is>
      </c>
      <c r="K891" t="n">
        <v>5000</v>
      </c>
      <c r="L891" t="n">
        <v>5250</v>
      </c>
      <c r="M891" t="inlineStr">
        <is>
          <t>發票載具中獎放大</t>
        </is>
      </c>
      <c r="N891" t="inlineStr">
        <is>
          <t>雅煒</t>
        </is>
      </c>
      <c r="O891" t="inlineStr">
        <is>
          <t>高雄市左營區至聖路147號3樓</t>
        </is>
      </c>
      <c r="P891" t="inlineStr"/>
      <c r="Q891" t="inlineStr"/>
      <c r="R891" t="inlineStr"/>
      <c r="S891" t="inlineStr">
        <is>
          <t>未收款</t>
        </is>
      </c>
      <c r="T891" t="inlineStr">
        <is>
          <t>來源：單次型發票及收款紀錄 第 433 列</t>
        </is>
      </c>
      <c r="U891" t="inlineStr"/>
      <c r="V891" t="inlineStr">
        <is>
          <t>2026-05-18</t>
        </is>
      </c>
    </row>
  </sheetData>
  <autoFilter ref="A1:V8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  <col width="12" customWidth="1" min="7" max="7"/>
    <col width="23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bd</t>
        </is>
      </c>
      <c r="C1" s="1" t="inlineStr">
        <is>
          <t>paidDate</t>
        </is>
      </c>
      <c r="D1" s="1" t="inlineStr">
        <is>
          <t>customerId</t>
        </is>
      </c>
      <c r="E1" s="1" t="inlineStr">
        <is>
          <t>invoiceId</t>
        </is>
      </c>
      <c r="F1" s="1" t="inlineStr">
        <is>
          <t>amount</t>
        </is>
      </c>
      <c r="G1" s="1" t="inlineStr">
        <is>
          <t>method</t>
        </is>
      </c>
      <c r="H1" s="1" t="inlineStr">
        <is>
          <t>notes</t>
        </is>
      </c>
      <c r="I1" s="1" t="inlineStr">
        <is>
          <t>updatedAt</t>
        </is>
      </c>
    </row>
    <row r="2">
      <c r="A2" t="inlineStr">
        <is>
          <t>pay_1e673130f023</t>
        </is>
      </c>
      <c r="B2" t="inlineStr"/>
      <c r="C2" t="inlineStr">
        <is>
          <t>2019-07-25</t>
        </is>
      </c>
      <c r="D2" t="inlineStr">
        <is>
          <t>cus_bcad520b3837</t>
        </is>
      </c>
      <c r="E2" t="inlineStr">
        <is>
          <t>inv_24730e59fd24</t>
        </is>
      </c>
      <c r="F2" t="n">
        <v>8245</v>
      </c>
      <c r="G2" t="inlineStr"/>
      <c r="H2" t="inlineStr">
        <is>
          <t>來源：訂閱型發票及收款紀錄 第 3 列</t>
        </is>
      </c>
      <c r="I2" t="inlineStr">
        <is>
          <t>2026-05-18</t>
        </is>
      </c>
    </row>
    <row r="3">
      <c r="A3" t="inlineStr">
        <is>
          <t>pay_ca4cd3863bc4</t>
        </is>
      </c>
      <c r="B3" t="inlineStr"/>
      <c r="C3" t="inlineStr">
        <is>
          <t>2019-07-25</t>
        </is>
      </c>
      <c r="D3" t="inlineStr">
        <is>
          <t>cus_bcad520b3837</t>
        </is>
      </c>
      <c r="E3" t="inlineStr">
        <is>
          <t>inv_e4a38a5ff9ba</t>
        </is>
      </c>
      <c r="F3" t="n">
        <v>3201</v>
      </c>
      <c r="G3" t="inlineStr"/>
      <c r="H3" t="inlineStr">
        <is>
          <t>來源：訂閱型發票及收款紀錄 第 4 列</t>
        </is>
      </c>
      <c r="I3" t="inlineStr">
        <is>
          <t>2026-05-18</t>
        </is>
      </c>
    </row>
    <row r="4">
      <c r="A4" t="inlineStr">
        <is>
          <t>pay_9f860c4a2807</t>
        </is>
      </c>
      <c r="B4" t="inlineStr"/>
      <c r="C4" t="inlineStr">
        <is>
          <t>2019-08-26</t>
        </is>
      </c>
      <c r="D4" t="inlineStr">
        <is>
          <t>cus_bcad520b3837</t>
        </is>
      </c>
      <c r="E4" t="inlineStr">
        <is>
          <t>inv_c3a474742f3b</t>
        </is>
      </c>
      <c r="F4" t="n">
        <v>7490</v>
      </c>
      <c r="G4" t="inlineStr"/>
      <c r="H4" t="inlineStr">
        <is>
          <t>來源：訂閱型發票及收款紀錄 第 5 列</t>
        </is>
      </c>
      <c r="I4" t="inlineStr">
        <is>
          <t>2026-05-18</t>
        </is>
      </c>
    </row>
    <row r="5">
      <c r="A5" t="inlineStr">
        <is>
          <t>pay_56b3ba5b4dd9</t>
        </is>
      </c>
      <c r="B5" t="inlineStr"/>
      <c r="C5" t="inlineStr">
        <is>
          <t>2019-09-25</t>
        </is>
      </c>
      <c r="D5" t="inlineStr">
        <is>
          <t>cus_bcc35ee5752e</t>
        </is>
      </c>
      <c r="E5" t="inlineStr">
        <is>
          <t>inv_bfffbec26e95</t>
        </is>
      </c>
      <c r="F5" t="n">
        <v>29229</v>
      </c>
      <c r="G5" t="inlineStr"/>
      <c r="H5" t="inlineStr">
        <is>
          <t>來源：訂閱型發票及收款紀錄 第 6 列</t>
        </is>
      </c>
      <c r="I5" t="inlineStr">
        <is>
          <t>2026-05-18</t>
        </is>
      </c>
    </row>
    <row r="6">
      <c r="A6" t="inlineStr">
        <is>
          <t>pay_c3a0b180a33f</t>
        </is>
      </c>
      <c r="B6" t="inlineStr"/>
      <c r="C6" t="inlineStr">
        <is>
          <t>2019-09-05</t>
        </is>
      </c>
      <c r="D6" t="inlineStr">
        <is>
          <t>cus_8fcb8b0072e6</t>
        </is>
      </c>
      <c r="E6" t="inlineStr">
        <is>
          <t>inv_001daa92534c</t>
        </is>
      </c>
      <c r="F6" t="n">
        <v>112812</v>
      </c>
      <c r="G6" t="inlineStr"/>
      <c r="H6" t="inlineStr">
        <is>
          <t>來源：訂閱型發票及收款紀錄 第 7 列</t>
        </is>
      </c>
      <c r="I6" t="inlineStr">
        <is>
          <t>2026-05-18</t>
        </is>
      </c>
    </row>
    <row r="7">
      <c r="A7" t="inlineStr">
        <is>
          <t>pay_b5595605327d</t>
        </is>
      </c>
      <c r="B7" t="inlineStr"/>
      <c r="C7" t="inlineStr">
        <is>
          <t>2019-09-25</t>
        </is>
      </c>
      <c r="D7" t="inlineStr">
        <is>
          <t>cus_bcad520b3837</t>
        </is>
      </c>
      <c r="E7" t="inlineStr">
        <is>
          <t>inv_a54903d5d80a</t>
        </is>
      </c>
      <c r="F7" t="n">
        <v>3700</v>
      </c>
      <c r="G7" t="inlineStr"/>
      <c r="H7" t="inlineStr">
        <is>
          <t>來源：訂閱型發票及收款紀錄 第 8 列</t>
        </is>
      </c>
      <c r="I7" t="inlineStr">
        <is>
          <t>2026-05-18</t>
        </is>
      </c>
    </row>
    <row r="8">
      <c r="A8" t="inlineStr">
        <is>
          <t>pay_799957572741</t>
        </is>
      </c>
      <c r="B8" t="inlineStr"/>
      <c r="C8" t="inlineStr">
        <is>
          <t>2019-10-05</t>
        </is>
      </c>
      <c r="D8" t="inlineStr">
        <is>
          <t>cus_8fcb8b0072e6</t>
        </is>
      </c>
      <c r="E8" t="inlineStr">
        <is>
          <t>inv_19a81214b566</t>
        </is>
      </c>
      <c r="F8" t="n">
        <v>140713</v>
      </c>
      <c r="G8" t="inlineStr"/>
      <c r="H8" t="inlineStr">
        <is>
          <t>來源：訂閱型發票及收款紀錄 第 9 列</t>
        </is>
      </c>
      <c r="I8" t="inlineStr">
        <is>
          <t>2026-05-18</t>
        </is>
      </c>
    </row>
    <row r="9">
      <c r="A9" t="inlineStr">
        <is>
          <t>pay_f34602b38990</t>
        </is>
      </c>
      <c r="B9" t="inlineStr"/>
      <c r="C9" t="inlineStr">
        <is>
          <t>2019-12-26</t>
        </is>
      </c>
      <c r="D9" t="inlineStr">
        <is>
          <t>cus_bcad520b3837</t>
        </is>
      </c>
      <c r="E9" t="inlineStr">
        <is>
          <t>inv_ae93f2e3513d</t>
        </is>
      </c>
      <c r="F9" t="n">
        <v>2202</v>
      </c>
      <c r="G9" t="inlineStr"/>
      <c r="H9" t="inlineStr">
        <is>
          <t>來源：訂閱型發票及收款紀錄 第 10 列</t>
        </is>
      </c>
      <c r="I9" t="inlineStr">
        <is>
          <t>2026-05-18</t>
        </is>
      </c>
    </row>
    <row r="10">
      <c r="A10" t="inlineStr">
        <is>
          <t>pay_b8180b074192</t>
        </is>
      </c>
      <c r="B10" t="inlineStr"/>
      <c r="C10" t="inlineStr">
        <is>
          <t>2019-12-05</t>
        </is>
      </c>
      <c r="D10" t="inlineStr">
        <is>
          <t>cus_8fcb8b0072e6</t>
        </is>
      </c>
      <c r="E10" t="inlineStr">
        <is>
          <t>inv_e91f52665fd0</t>
        </is>
      </c>
      <c r="F10" t="n">
        <v>143878</v>
      </c>
      <c r="G10" t="inlineStr"/>
      <c r="H10" t="inlineStr">
        <is>
          <t>來源：訂閱型發票及收款紀錄 第 11 列</t>
        </is>
      </c>
      <c r="I10" t="inlineStr">
        <is>
          <t>2026-05-18</t>
        </is>
      </c>
    </row>
    <row r="11">
      <c r="A11" t="inlineStr">
        <is>
          <t>pay_008947f88d6c</t>
        </is>
      </c>
      <c r="B11" t="inlineStr"/>
      <c r="C11" t="inlineStr">
        <is>
          <t>2020-02-17</t>
        </is>
      </c>
      <c r="D11" t="inlineStr">
        <is>
          <t>cus_7880af1bd682</t>
        </is>
      </c>
      <c r="E11" t="inlineStr">
        <is>
          <t>inv_58a7927879bd</t>
        </is>
      </c>
      <c r="F11" t="n">
        <v>15920</v>
      </c>
      <c r="G11" t="inlineStr"/>
      <c r="H11" t="inlineStr">
        <is>
          <t>來源：訂閱型發票及收款紀錄 第 12 列</t>
        </is>
      </c>
      <c r="I11" t="inlineStr">
        <is>
          <t>2026-05-18</t>
        </is>
      </c>
    </row>
    <row r="12">
      <c r="A12" t="inlineStr">
        <is>
          <t>pay_4c58e7d432f2</t>
        </is>
      </c>
      <c r="B12" t="inlineStr"/>
      <c r="C12" t="inlineStr">
        <is>
          <t>2020-09-15</t>
        </is>
      </c>
      <c r="D12" t="inlineStr">
        <is>
          <t>cus_7880af1bd682</t>
        </is>
      </c>
      <c r="E12" t="inlineStr">
        <is>
          <t>inv_64fe07ca7670</t>
        </is>
      </c>
      <c r="F12" t="n">
        <v>90086</v>
      </c>
      <c r="G12" t="inlineStr"/>
      <c r="H12" t="inlineStr">
        <is>
          <t>來源：訂閱型發票及收款紀錄 第 13 列</t>
        </is>
      </c>
      <c r="I12" t="inlineStr">
        <is>
          <t>2026-05-18</t>
        </is>
      </c>
    </row>
    <row r="13">
      <c r="A13" t="inlineStr">
        <is>
          <t>pay_314afdb9d73b</t>
        </is>
      </c>
      <c r="B13" t="inlineStr">
        <is>
          <t>慶文</t>
        </is>
      </c>
      <c r="C13" t="inlineStr">
        <is>
          <t>2021-06-15</t>
        </is>
      </c>
      <c r="D13" t="inlineStr">
        <is>
          <t>cus_253c0ef1fab2</t>
        </is>
      </c>
      <c r="E13" t="inlineStr">
        <is>
          <t>inv_a8c1a511f8e7</t>
        </is>
      </c>
      <c r="F13" t="n">
        <v>226000</v>
      </c>
      <c r="G13" t="inlineStr"/>
      <c r="H13" t="inlineStr">
        <is>
          <t>來源：訂閱型發票及收款紀錄 第 14 列</t>
        </is>
      </c>
      <c r="I13" t="inlineStr">
        <is>
          <t>2026-05-18</t>
        </is>
      </c>
    </row>
    <row r="14">
      <c r="A14" t="inlineStr">
        <is>
          <t>pay_1b22230a2c7f</t>
        </is>
      </c>
      <c r="B14" t="inlineStr">
        <is>
          <t>慶文</t>
        </is>
      </c>
      <c r="C14" t="inlineStr">
        <is>
          <t>2021-09-15</t>
        </is>
      </c>
      <c r="D14" t="inlineStr">
        <is>
          <t>cus_253c0ef1fab2</t>
        </is>
      </c>
      <c r="E14" t="inlineStr">
        <is>
          <t>inv_84cc57017974</t>
        </is>
      </c>
      <c r="F14" t="n">
        <v>226000</v>
      </c>
      <c r="G14" t="inlineStr"/>
      <c r="H14" t="inlineStr">
        <is>
          <t>來源：訂閱型發票及收款紀錄 第 15 列</t>
        </is>
      </c>
      <c r="I14" t="inlineStr">
        <is>
          <t>2026-05-18</t>
        </is>
      </c>
    </row>
    <row r="15">
      <c r="A15" t="inlineStr">
        <is>
          <t>pay_061a0411661b</t>
        </is>
      </c>
      <c r="B15" t="inlineStr">
        <is>
          <t>慶文</t>
        </is>
      </c>
      <c r="C15" t="inlineStr">
        <is>
          <t>2021-11-15</t>
        </is>
      </c>
      <c r="D15" t="inlineStr">
        <is>
          <t>cus_253c0ef1fab2</t>
        </is>
      </c>
      <c r="E15" t="inlineStr">
        <is>
          <t>inv_8e1f4f3e8921</t>
        </is>
      </c>
      <c r="F15" t="n">
        <v>226000</v>
      </c>
      <c r="G15" t="inlineStr"/>
      <c r="H15" t="inlineStr">
        <is>
          <t>來源：訂閱型發票及收款紀錄 第 16 列</t>
        </is>
      </c>
      <c r="I15" t="inlineStr">
        <is>
          <t>2026-05-18</t>
        </is>
      </c>
    </row>
    <row r="16">
      <c r="A16" t="inlineStr">
        <is>
          <t>pay_59d3baa7b3e8</t>
        </is>
      </c>
      <c r="B16" t="inlineStr">
        <is>
          <t>慶文</t>
        </is>
      </c>
      <c r="C16" t="inlineStr">
        <is>
          <t>2021-11-30</t>
        </is>
      </c>
      <c r="D16" t="inlineStr">
        <is>
          <t>cus_253c0ef1fab2</t>
        </is>
      </c>
      <c r="E16" t="inlineStr">
        <is>
          <t>inv_db1501f80873</t>
        </is>
      </c>
      <c r="F16" t="n">
        <v>226000</v>
      </c>
      <c r="G16" t="inlineStr"/>
      <c r="H16" t="inlineStr">
        <is>
          <t>來源：訂閱型發票及收款紀錄 第 17 列</t>
        </is>
      </c>
      <c r="I16" t="inlineStr">
        <is>
          <t>2026-05-18</t>
        </is>
      </c>
    </row>
    <row r="17">
      <c r="A17" t="inlineStr">
        <is>
          <t>pay_f1e3d4ff60dc</t>
        </is>
      </c>
      <c r="B17" t="inlineStr">
        <is>
          <t>慶文</t>
        </is>
      </c>
      <c r="C17" t="inlineStr">
        <is>
          <t>2022-01-19</t>
        </is>
      </c>
      <c r="D17" t="inlineStr">
        <is>
          <t>cus_253c0ef1fab2</t>
        </is>
      </c>
      <c r="E17" t="inlineStr">
        <is>
          <t>inv_17a238a60f52</t>
        </is>
      </c>
      <c r="F17" t="n">
        <v>226000</v>
      </c>
      <c r="G17" t="inlineStr"/>
      <c r="H17" t="inlineStr">
        <is>
          <t>來源：訂閱型發票及收款紀錄 第 18 列</t>
        </is>
      </c>
      <c r="I17" t="inlineStr">
        <is>
          <t>2026-05-18</t>
        </is>
      </c>
    </row>
    <row r="18">
      <c r="A18" t="inlineStr">
        <is>
          <t>pay_9dc6f46dc12b</t>
        </is>
      </c>
      <c r="B18" t="inlineStr">
        <is>
          <t>慶文</t>
        </is>
      </c>
      <c r="C18" t="inlineStr">
        <is>
          <t>2022-04-14</t>
        </is>
      </c>
      <c r="D18" t="inlineStr">
        <is>
          <t>cus_253c0ef1fab2</t>
        </is>
      </c>
      <c r="E18" t="inlineStr">
        <is>
          <t>inv_37ff04aafc2e</t>
        </is>
      </c>
      <c r="F18" t="n">
        <v>226000</v>
      </c>
      <c r="G18" t="inlineStr"/>
      <c r="H18" t="inlineStr">
        <is>
          <t>來源：訂閱型發票及收款紀錄 第 19 列</t>
        </is>
      </c>
      <c r="I18" t="inlineStr">
        <is>
          <t>2026-05-18</t>
        </is>
      </c>
    </row>
    <row r="19">
      <c r="A19" t="inlineStr">
        <is>
          <t>pay_54db3d9a1f45</t>
        </is>
      </c>
      <c r="B19" t="inlineStr">
        <is>
          <t>慶文</t>
        </is>
      </c>
      <c r="C19" t="inlineStr">
        <is>
          <t>2022-05-13</t>
        </is>
      </c>
      <c r="D19" t="inlineStr">
        <is>
          <t>cus_253c0ef1fab2</t>
        </is>
      </c>
      <c r="E19" t="inlineStr">
        <is>
          <t>inv_fd2b066bf49c</t>
        </is>
      </c>
      <c r="F19" t="n">
        <v>226000</v>
      </c>
      <c r="G19" t="inlineStr"/>
      <c r="H19" t="inlineStr">
        <is>
          <t>來源：訂閱型發票及收款紀錄 第 20 列</t>
        </is>
      </c>
      <c r="I19" t="inlineStr">
        <is>
          <t>2026-05-18</t>
        </is>
      </c>
    </row>
    <row r="20">
      <c r="A20" t="inlineStr">
        <is>
          <t>pay_1fe5667ca44f</t>
        </is>
      </c>
      <c r="B20" t="inlineStr">
        <is>
          <t>慶文</t>
        </is>
      </c>
      <c r="C20" t="inlineStr">
        <is>
          <t>2022-07-18</t>
        </is>
      </c>
      <c r="D20" t="inlineStr">
        <is>
          <t>cus_253c0ef1fab2</t>
        </is>
      </c>
      <c r="E20" t="inlineStr">
        <is>
          <t>inv_3bce8ede89f3</t>
        </is>
      </c>
      <c r="F20" t="n">
        <v>226000</v>
      </c>
      <c r="G20" t="inlineStr"/>
      <c r="H20" t="inlineStr">
        <is>
          <t>來源：訂閱型發票及收款紀錄 第 21 列</t>
        </is>
      </c>
      <c r="I20" t="inlineStr">
        <is>
          <t>2026-05-18</t>
        </is>
      </c>
    </row>
    <row r="21">
      <c r="A21" t="inlineStr">
        <is>
          <t>pay_2f34f199826b</t>
        </is>
      </c>
      <c r="B21" t="inlineStr">
        <is>
          <t>慶文</t>
        </is>
      </c>
      <c r="C21" t="inlineStr">
        <is>
          <t>2022-09-19</t>
        </is>
      </c>
      <c r="D21" t="inlineStr">
        <is>
          <t>cus_253c0ef1fab2</t>
        </is>
      </c>
      <c r="E21" t="inlineStr">
        <is>
          <t>inv_57819bc46090</t>
        </is>
      </c>
      <c r="F21" t="n">
        <v>226000</v>
      </c>
      <c r="G21" t="inlineStr"/>
      <c r="H21" t="inlineStr">
        <is>
          <t>來源：訂閱型發票及收款紀錄 第 22 列</t>
        </is>
      </c>
      <c r="I21" t="inlineStr">
        <is>
          <t>2026-05-18</t>
        </is>
      </c>
    </row>
    <row r="22">
      <c r="A22" t="inlineStr">
        <is>
          <t>pay_aecf6e09aacc</t>
        </is>
      </c>
      <c r="B22" t="inlineStr">
        <is>
          <t>慶文</t>
        </is>
      </c>
      <c r="C22" t="inlineStr">
        <is>
          <t>2022-11-15</t>
        </is>
      </c>
      <c r="D22" t="inlineStr">
        <is>
          <t>cus_253c0ef1fab2</t>
        </is>
      </c>
      <c r="E22" t="inlineStr">
        <is>
          <t>inv_65b979a59f2d</t>
        </is>
      </c>
      <c r="F22" t="n">
        <v>226000</v>
      </c>
      <c r="G22" t="inlineStr"/>
      <c r="H22" t="inlineStr">
        <is>
          <t>來源：訂閱型發票及收款紀錄 第 23 列</t>
        </is>
      </c>
      <c r="I22" t="inlineStr">
        <is>
          <t>2026-05-18</t>
        </is>
      </c>
    </row>
    <row r="23">
      <c r="A23" t="inlineStr">
        <is>
          <t>pay_d0530ec74d95</t>
        </is>
      </c>
      <c r="B23" t="inlineStr">
        <is>
          <t>慶文</t>
        </is>
      </c>
      <c r="C23" t="inlineStr">
        <is>
          <t>2023-01-13</t>
        </is>
      </c>
      <c r="D23" t="inlineStr">
        <is>
          <t>cus_253c0ef1fab2</t>
        </is>
      </c>
      <c r="E23" t="inlineStr">
        <is>
          <t>inv_bea63a506abc</t>
        </is>
      </c>
      <c r="F23" t="n">
        <v>226000</v>
      </c>
      <c r="G23" t="inlineStr"/>
      <c r="H23" t="inlineStr">
        <is>
          <t>來源：訂閱型發票及收款紀錄 第 24 列</t>
        </is>
      </c>
      <c r="I23" t="inlineStr">
        <is>
          <t>2026-05-18</t>
        </is>
      </c>
    </row>
    <row r="24">
      <c r="A24" t="inlineStr">
        <is>
          <t>pay_d24ae1a43925</t>
        </is>
      </c>
      <c r="B24" t="inlineStr">
        <is>
          <t>思睿</t>
        </is>
      </c>
      <c r="C24" t="inlineStr">
        <is>
          <t>2023-05-15</t>
        </is>
      </c>
      <c r="D24" t="inlineStr">
        <is>
          <t>cus_253c0ef1fab2</t>
        </is>
      </c>
      <c r="E24" t="inlineStr">
        <is>
          <t>inv_01503557a8f5</t>
        </is>
      </c>
      <c r="F24" t="n">
        <v>226000</v>
      </c>
      <c r="G24" t="inlineStr"/>
      <c r="H24" t="inlineStr">
        <is>
          <t>來源：訂閱型發票及收款紀錄 第 25 列</t>
        </is>
      </c>
      <c r="I24" t="inlineStr">
        <is>
          <t>2026-05-18</t>
        </is>
      </c>
    </row>
    <row r="25">
      <c r="A25" t="inlineStr">
        <is>
          <t>pay_a041c5921d9c</t>
        </is>
      </c>
      <c r="B25" t="inlineStr">
        <is>
          <t>思睿</t>
        </is>
      </c>
      <c r="C25" t="inlineStr">
        <is>
          <t>2023-06-15</t>
        </is>
      </c>
      <c r="D25" t="inlineStr">
        <is>
          <t>cus_253c0ef1fab2</t>
        </is>
      </c>
      <c r="E25" t="inlineStr">
        <is>
          <t>inv_b92832fe4fa1</t>
        </is>
      </c>
      <c r="F25" t="n">
        <v>226000</v>
      </c>
      <c r="G25" t="inlineStr"/>
      <c r="H25" t="inlineStr">
        <is>
          <t>來源：訂閱型發票及收款紀錄 第 26 列</t>
        </is>
      </c>
      <c r="I25" t="inlineStr">
        <is>
          <t>2026-05-18</t>
        </is>
      </c>
    </row>
    <row r="26">
      <c r="A26" t="inlineStr">
        <is>
          <t>pay_e49e9db5065d</t>
        </is>
      </c>
      <c r="B26" t="inlineStr">
        <is>
          <t>思睿</t>
        </is>
      </c>
      <c r="C26" t="inlineStr">
        <is>
          <t>2023-07-18</t>
        </is>
      </c>
      <c r="D26" t="inlineStr">
        <is>
          <t>cus_253c0ef1fab2</t>
        </is>
      </c>
      <c r="E26" t="inlineStr">
        <is>
          <t>inv_7c0b36470ccb</t>
        </is>
      </c>
      <c r="F26" t="n">
        <v>226000</v>
      </c>
      <c r="G26" t="inlineStr"/>
      <c r="H26" t="inlineStr">
        <is>
          <t>來源：訂閱型發票及收款紀錄 第 27 列</t>
        </is>
      </c>
      <c r="I26" t="inlineStr">
        <is>
          <t>2026-05-18</t>
        </is>
      </c>
    </row>
    <row r="27">
      <c r="A27" t="inlineStr">
        <is>
          <t>pay_4abdc832c8d6</t>
        </is>
      </c>
      <c r="B27" t="inlineStr">
        <is>
          <t>思睿</t>
        </is>
      </c>
      <c r="C27" t="inlineStr">
        <is>
          <t>2023-09-23</t>
        </is>
      </c>
      <c r="D27" t="inlineStr">
        <is>
          <t>cus_253c0ef1fab2</t>
        </is>
      </c>
      <c r="E27" t="inlineStr">
        <is>
          <t>inv_8ee8573f6f8e</t>
        </is>
      </c>
      <c r="F27" t="n">
        <v>226000</v>
      </c>
      <c r="G27" t="inlineStr"/>
      <c r="H27" t="inlineStr">
        <is>
          <t>來源：訂閱型發票及收款紀錄 第 28 列</t>
        </is>
      </c>
      <c r="I27" t="inlineStr">
        <is>
          <t>2026-05-18</t>
        </is>
      </c>
    </row>
    <row r="28">
      <c r="A28" t="inlineStr">
        <is>
          <t>pay_41944a3d5520</t>
        </is>
      </c>
      <c r="B28" t="inlineStr">
        <is>
          <t>思睿</t>
        </is>
      </c>
      <c r="C28" t="inlineStr">
        <is>
          <t>2023-11-15</t>
        </is>
      </c>
      <c r="D28" t="inlineStr">
        <is>
          <t>cus_253c0ef1fab2</t>
        </is>
      </c>
      <c r="E28" t="inlineStr">
        <is>
          <t>inv_ea38b47cc2c4</t>
        </is>
      </c>
      <c r="F28" t="n">
        <v>226000</v>
      </c>
      <c r="G28" t="inlineStr"/>
      <c r="H28" t="inlineStr">
        <is>
          <t>來源：訂閱型發票及收款紀錄 第 29 列</t>
        </is>
      </c>
      <c r="I28" t="inlineStr">
        <is>
          <t>2026-05-18</t>
        </is>
      </c>
    </row>
    <row r="29">
      <c r="A29" t="inlineStr">
        <is>
          <t>pay_6d22b620f662</t>
        </is>
      </c>
      <c r="B29" t="inlineStr">
        <is>
          <t>思睿</t>
        </is>
      </c>
      <c r="C29" t="inlineStr">
        <is>
          <t>2024-01-15</t>
        </is>
      </c>
      <c r="D29" t="inlineStr">
        <is>
          <t>cus_253c0ef1fab2</t>
        </is>
      </c>
      <c r="E29" t="inlineStr">
        <is>
          <t>inv_7c0875dec546</t>
        </is>
      </c>
      <c r="F29" t="n">
        <v>226000</v>
      </c>
      <c r="G29" t="inlineStr"/>
      <c r="H29" t="inlineStr">
        <is>
          <t>來源：訂閱型發票及收款紀錄 第 30 列</t>
        </is>
      </c>
      <c r="I29" t="inlineStr">
        <is>
          <t>2026-05-18</t>
        </is>
      </c>
    </row>
    <row r="30">
      <c r="A30" t="inlineStr">
        <is>
          <t>pay_8e3e8a480b0d</t>
        </is>
      </c>
      <c r="B30" t="inlineStr">
        <is>
          <t>Cobi</t>
        </is>
      </c>
      <c r="C30" t="inlineStr">
        <is>
          <t>2024-03-15</t>
        </is>
      </c>
      <c r="D30" t="inlineStr">
        <is>
          <t>cus_253c0ef1fab2</t>
        </is>
      </c>
      <c r="E30" t="inlineStr">
        <is>
          <t>inv_754989b83381</t>
        </is>
      </c>
      <c r="F30" t="n">
        <v>226000</v>
      </c>
      <c r="G30" t="inlineStr"/>
      <c r="H30" t="inlineStr">
        <is>
          <t>來源：訂閱型發票及收款紀錄 第 31 列</t>
        </is>
      </c>
      <c r="I30" t="inlineStr">
        <is>
          <t>2026-05-18</t>
        </is>
      </c>
    </row>
    <row r="31">
      <c r="A31" t="inlineStr">
        <is>
          <t>pay_f196d3071327</t>
        </is>
      </c>
      <c r="B31" t="inlineStr">
        <is>
          <t>Cobi</t>
        </is>
      </c>
      <c r="C31" t="inlineStr">
        <is>
          <t>2024-05-15</t>
        </is>
      </c>
      <c r="D31" t="inlineStr">
        <is>
          <t>cus_253c0ef1fab2</t>
        </is>
      </c>
      <c r="E31" t="inlineStr">
        <is>
          <t>inv_3e9ad2630f49</t>
        </is>
      </c>
      <c r="F31" t="n">
        <v>300000</v>
      </c>
      <c r="G31" t="inlineStr"/>
      <c r="H31" t="inlineStr">
        <is>
          <t>來源：訂閱型發票及收款紀錄 第 32 列</t>
        </is>
      </c>
      <c r="I31" t="inlineStr">
        <is>
          <t>2026-05-18</t>
        </is>
      </c>
    </row>
    <row r="32">
      <c r="A32" t="inlineStr">
        <is>
          <t>pay_f5483bcb6591</t>
        </is>
      </c>
      <c r="B32" t="inlineStr">
        <is>
          <t>Cobi</t>
        </is>
      </c>
      <c r="C32" t="inlineStr">
        <is>
          <t>2024-07-15</t>
        </is>
      </c>
      <c r="D32" t="inlineStr">
        <is>
          <t>cus_253c0ef1fab2</t>
        </is>
      </c>
      <c r="E32" t="inlineStr">
        <is>
          <t>inv_f6b9d8758311</t>
        </is>
      </c>
      <c r="F32" t="n">
        <v>300000</v>
      </c>
      <c r="G32" t="inlineStr"/>
      <c r="H32" t="inlineStr">
        <is>
          <t>來源：訂閱型發票及收款紀錄 第 33 列</t>
        </is>
      </c>
      <c r="I32" t="inlineStr">
        <is>
          <t>2026-05-18</t>
        </is>
      </c>
    </row>
    <row r="33">
      <c r="A33" t="inlineStr">
        <is>
          <t>pay_45668cf5b4b7</t>
        </is>
      </c>
      <c r="B33" t="inlineStr">
        <is>
          <t>Cobi</t>
        </is>
      </c>
      <c r="C33" t="inlineStr">
        <is>
          <t>2024-09-16</t>
        </is>
      </c>
      <c r="D33" t="inlineStr">
        <is>
          <t>cus_253c0ef1fab2</t>
        </is>
      </c>
      <c r="E33" t="inlineStr">
        <is>
          <t>inv_0764a54461cf</t>
        </is>
      </c>
      <c r="F33" t="n">
        <v>300000</v>
      </c>
      <c r="G33" t="inlineStr"/>
      <c r="H33" t="inlineStr">
        <is>
          <t>來源：訂閱型發票及收款紀錄 第 34 列</t>
        </is>
      </c>
      <c r="I33" t="inlineStr">
        <is>
          <t>2026-05-18</t>
        </is>
      </c>
    </row>
    <row r="34">
      <c r="A34" t="inlineStr">
        <is>
          <t>pay_933e73bf6f5c</t>
        </is>
      </c>
      <c r="B34" t="inlineStr">
        <is>
          <t>Cobi</t>
        </is>
      </c>
      <c r="C34" t="inlineStr">
        <is>
          <t>2024-11-15</t>
        </is>
      </c>
      <c r="D34" t="inlineStr">
        <is>
          <t>cus_253c0ef1fab2</t>
        </is>
      </c>
      <c r="E34" t="inlineStr">
        <is>
          <t>inv_4495e2d29af3</t>
        </is>
      </c>
      <c r="F34" t="n">
        <v>300000</v>
      </c>
      <c r="G34" t="inlineStr"/>
      <c r="H34" t="inlineStr">
        <is>
          <t>來源：訂閱型發票及收款紀錄 第 35 列</t>
        </is>
      </c>
      <c r="I34" t="inlineStr">
        <is>
          <t>2026-05-18</t>
        </is>
      </c>
    </row>
    <row r="35">
      <c r="A35" t="inlineStr">
        <is>
          <t>pay_6ec337e67c01</t>
        </is>
      </c>
      <c r="B35" t="inlineStr">
        <is>
          <t>Cobi</t>
        </is>
      </c>
      <c r="C35" t="inlineStr">
        <is>
          <t>2024-12-13</t>
        </is>
      </c>
      <c r="D35" t="inlineStr">
        <is>
          <t>cus_253c0ef1fab2</t>
        </is>
      </c>
      <c r="E35" t="inlineStr">
        <is>
          <t>inv_61c1c705f61a</t>
        </is>
      </c>
      <c r="F35" t="n">
        <v>300000</v>
      </c>
      <c r="G35" t="inlineStr"/>
      <c r="H35" t="inlineStr">
        <is>
          <t>來源：訂閱型發票及收款紀錄 第 36 列</t>
        </is>
      </c>
      <c r="I35" t="inlineStr">
        <is>
          <t>2026-05-18</t>
        </is>
      </c>
    </row>
    <row r="36">
      <c r="A36" t="inlineStr">
        <is>
          <t>pay_86c467d2c16c</t>
        </is>
      </c>
      <c r="B36" t="inlineStr">
        <is>
          <t>許瀞鍶</t>
        </is>
      </c>
      <c r="C36" t="inlineStr">
        <is>
          <t>2025-03-14</t>
        </is>
      </c>
      <c r="D36" t="inlineStr">
        <is>
          <t>cus_253c0ef1fab2</t>
        </is>
      </c>
      <c r="E36" t="inlineStr">
        <is>
          <t>inv_7f78d5f22743</t>
        </is>
      </c>
      <c r="F36" t="n">
        <v>300000</v>
      </c>
      <c r="G36" t="inlineStr"/>
      <c r="H36" t="inlineStr">
        <is>
          <t>來源：訂閱型發票及收款紀錄 第 37 列</t>
        </is>
      </c>
      <c r="I36" t="inlineStr">
        <is>
          <t>2026-05-18</t>
        </is>
      </c>
    </row>
    <row r="37">
      <c r="A37" t="inlineStr">
        <is>
          <t>pay_75854b89b9fd</t>
        </is>
      </c>
      <c r="B37" t="inlineStr">
        <is>
          <t>許瀞鍶</t>
        </is>
      </c>
      <c r="C37" t="inlineStr">
        <is>
          <t>2025-05-15</t>
        </is>
      </c>
      <c r="D37" t="inlineStr">
        <is>
          <t>cus_253c0ef1fab2</t>
        </is>
      </c>
      <c r="E37" t="inlineStr">
        <is>
          <t>inv_75eef31a187e</t>
        </is>
      </c>
      <c r="F37" t="n">
        <v>300000</v>
      </c>
      <c r="G37" t="inlineStr"/>
      <c r="H37" t="inlineStr">
        <is>
          <t>來源：訂閱型發票及收款紀錄 第 38 列</t>
        </is>
      </c>
      <c r="I37" t="inlineStr">
        <is>
          <t>2026-05-18</t>
        </is>
      </c>
    </row>
    <row r="38">
      <c r="A38" t="inlineStr">
        <is>
          <t>pay_9727347a64be</t>
        </is>
      </c>
      <c r="B38" t="inlineStr">
        <is>
          <t>許瀞鍶</t>
        </is>
      </c>
      <c r="C38" t="inlineStr">
        <is>
          <t>2025-06-16</t>
        </is>
      </c>
      <c r="D38" t="inlineStr">
        <is>
          <t>cus_253c0ef1fab2</t>
        </is>
      </c>
      <c r="E38" t="inlineStr">
        <is>
          <t>inv_93841b541559</t>
        </is>
      </c>
      <c r="F38" t="n">
        <v>300000</v>
      </c>
      <c r="G38" t="inlineStr"/>
      <c r="H38" t="inlineStr">
        <is>
          <t>來源：訂閱型發票及收款紀錄 第 39 列</t>
        </is>
      </c>
      <c r="I38" t="inlineStr">
        <is>
          <t>2026-05-18</t>
        </is>
      </c>
    </row>
    <row r="39">
      <c r="A39" t="inlineStr">
        <is>
          <t>pay_c4becd3450c4</t>
        </is>
      </c>
      <c r="B39" t="inlineStr">
        <is>
          <t>許瀞鍶</t>
        </is>
      </c>
      <c r="C39" t="inlineStr">
        <is>
          <t>2025-08-15</t>
        </is>
      </c>
      <c r="D39" t="inlineStr">
        <is>
          <t>cus_253c0ef1fab2</t>
        </is>
      </c>
      <c r="E39" t="inlineStr">
        <is>
          <t>inv_2d419e1d0cef</t>
        </is>
      </c>
      <c r="F39" t="n">
        <v>300000</v>
      </c>
      <c r="G39" t="inlineStr"/>
      <c r="H39" t="inlineStr">
        <is>
          <t>來源：訂閱型發票及收款紀錄 第 40 列</t>
        </is>
      </c>
      <c r="I39" t="inlineStr">
        <is>
          <t>2026-05-18</t>
        </is>
      </c>
    </row>
    <row r="40">
      <c r="A40" t="inlineStr">
        <is>
          <t>pay_88913958faae</t>
        </is>
      </c>
      <c r="B40" t="inlineStr">
        <is>
          <t>許瀞鍶</t>
        </is>
      </c>
      <c r="C40" t="inlineStr">
        <is>
          <t>2025-10-15</t>
        </is>
      </c>
      <c r="D40" t="inlineStr">
        <is>
          <t>cus_253c0ef1fab2</t>
        </is>
      </c>
      <c r="E40" t="inlineStr">
        <is>
          <t>inv_02a8facfcb70</t>
        </is>
      </c>
      <c r="F40" t="n">
        <v>300000</v>
      </c>
      <c r="G40" t="inlineStr"/>
      <c r="H40" t="inlineStr">
        <is>
          <t>來源：訂閱型發票及收款紀錄 第 41 列</t>
        </is>
      </c>
      <c r="I40" t="inlineStr">
        <is>
          <t>2026-05-18</t>
        </is>
      </c>
    </row>
    <row r="41">
      <c r="A41" t="inlineStr">
        <is>
          <t>pay_ccd576223e85</t>
        </is>
      </c>
      <c r="B41" t="inlineStr">
        <is>
          <t>許瀞鍶</t>
        </is>
      </c>
      <c r="C41" t="inlineStr">
        <is>
          <t>2026-01-16</t>
        </is>
      </c>
      <c r="D41" t="inlineStr">
        <is>
          <t>cus_253c0ef1fab2</t>
        </is>
      </c>
      <c r="E41" t="inlineStr">
        <is>
          <t>inv_0287ed41a1ed</t>
        </is>
      </c>
      <c r="F41" t="n">
        <v>300000</v>
      </c>
      <c r="G41" t="inlineStr"/>
      <c r="H41" t="inlineStr">
        <is>
          <t>來源：訂閱型發票及收款紀錄 第 42 列</t>
        </is>
      </c>
      <c r="I41" t="inlineStr">
        <is>
          <t>2026-05-18</t>
        </is>
      </c>
    </row>
    <row r="42">
      <c r="A42" t="inlineStr">
        <is>
          <t>pay_97a76d83fc30</t>
        </is>
      </c>
      <c r="B42" t="inlineStr">
        <is>
          <t>許瀞鍶</t>
        </is>
      </c>
      <c r="C42" t="inlineStr">
        <is>
          <t>2026-03-16</t>
        </is>
      </c>
      <c r="D42" t="inlineStr">
        <is>
          <t>cus_253c0ef1fab2</t>
        </is>
      </c>
      <c r="E42" t="inlineStr">
        <is>
          <t>inv_70066f7b49aa</t>
        </is>
      </c>
      <c r="F42" t="n">
        <v>300000</v>
      </c>
      <c r="G42" t="inlineStr"/>
      <c r="H42" t="inlineStr">
        <is>
          <t>來源：訂閱型發票及收款紀錄 第 43 列</t>
        </is>
      </c>
      <c r="I42" t="inlineStr">
        <is>
          <t>2026-05-18</t>
        </is>
      </c>
    </row>
    <row r="43">
      <c r="A43" t="inlineStr">
        <is>
          <t>pay_66e918b34c43</t>
        </is>
      </c>
      <c r="B43" t="inlineStr">
        <is>
          <t>許瀞鍶</t>
        </is>
      </c>
      <c r="C43" t="inlineStr">
        <is>
          <t>2026-04-15</t>
        </is>
      </c>
      <c r="D43" t="inlineStr">
        <is>
          <t>cus_253c0ef1fab2</t>
        </is>
      </c>
      <c r="E43" t="inlineStr">
        <is>
          <t>inv_1af2505caf8c</t>
        </is>
      </c>
      <c r="F43" t="n">
        <v>300000</v>
      </c>
      <c r="G43" t="inlineStr"/>
      <c r="H43" t="inlineStr">
        <is>
          <t>來源：訂閱型發票及收款紀錄 第 44 列</t>
        </is>
      </c>
      <c r="I43" t="inlineStr">
        <is>
          <t>2026-05-18</t>
        </is>
      </c>
    </row>
    <row r="44">
      <c r="A44" t="inlineStr">
        <is>
          <t>pay_40d6cb657bc7</t>
        </is>
      </c>
      <c r="B44" t="inlineStr">
        <is>
          <t>慶文</t>
        </is>
      </c>
      <c r="C44" t="inlineStr">
        <is>
          <t>2021-08-25</t>
        </is>
      </c>
      <c r="D44" t="inlineStr">
        <is>
          <t>cus_96ae9740e12a</t>
        </is>
      </c>
      <c r="E44" t="inlineStr">
        <is>
          <t>inv_b869c3c8513e</t>
        </is>
      </c>
      <c r="F44" t="n">
        <v>105000</v>
      </c>
      <c r="G44" t="inlineStr"/>
      <c r="H44" t="inlineStr">
        <is>
          <t>來源：訂閱型發票及收款紀錄 第 48 列</t>
        </is>
      </c>
      <c r="I44" t="inlineStr">
        <is>
          <t>2026-05-18</t>
        </is>
      </c>
    </row>
    <row r="45">
      <c r="A45" t="inlineStr">
        <is>
          <t>pay_292324e8df52</t>
        </is>
      </c>
      <c r="B45" t="inlineStr">
        <is>
          <t>慶文</t>
        </is>
      </c>
      <c r="C45" t="inlineStr">
        <is>
          <t>2021-09-27</t>
        </is>
      </c>
      <c r="D45" t="inlineStr">
        <is>
          <t>cus_96ae9740e12a</t>
        </is>
      </c>
      <c r="E45" t="inlineStr">
        <is>
          <t>inv_d589d1ac8ea5</t>
        </is>
      </c>
      <c r="F45" t="n">
        <v>105000</v>
      </c>
      <c r="G45" t="inlineStr"/>
      <c r="H45" t="inlineStr">
        <is>
          <t>來源：訂閱型發票及收款紀錄 第 49 列</t>
        </is>
      </c>
      <c r="I45" t="inlineStr">
        <is>
          <t>2026-05-18</t>
        </is>
      </c>
    </row>
    <row r="46">
      <c r="A46" t="inlineStr">
        <is>
          <t>pay_27a36dbe3090</t>
        </is>
      </c>
      <c r="B46" t="inlineStr">
        <is>
          <t>慶文</t>
        </is>
      </c>
      <c r="C46" t="inlineStr">
        <is>
          <t>2021-10-25</t>
        </is>
      </c>
      <c r="D46" t="inlineStr">
        <is>
          <t>cus_96ae9740e12a</t>
        </is>
      </c>
      <c r="E46" t="inlineStr">
        <is>
          <t>inv_dd9b06f2228e</t>
        </is>
      </c>
      <c r="F46" t="n">
        <v>105000</v>
      </c>
      <c r="G46" t="inlineStr"/>
      <c r="H46" t="inlineStr">
        <is>
          <t>來源：訂閱型發票及收款紀錄 第 50 列</t>
        </is>
      </c>
      <c r="I46" t="inlineStr">
        <is>
          <t>2026-05-18</t>
        </is>
      </c>
    </row>
    <row r="47">
      <c r="A47" t="inlineStr">
        <is>
          <t>pay_123af59e4436</t>
        </is>
      </c>
      <c r="B47" t="inlineStr">
        <is>
          <t>慶文</t>
        </is>
      </c>
      <c r="C47" t="inlineStr">
        <is>
          <t>2021-11-25</t>
        </is>
      </c>
      <c r="D47" t="inlineStr">
        <is>
          <t>cus_96ae9740e12a</t>
        </is>
      </c>
      <c r="E47" t="inlineStr">
        <is>
          <t>inv_acacbf1baec1</t>
        </is>
      </c>
      <c r="F47" t="n">
        <v>105000</v>
      </c>
      <c r="G47" t="inlineStr"/>
      <c r="H47" t="inlineStr">
        <is>
          <t>來源：訂閱型發票及收款紀錄 第 51 列</t>
        </is>
      </c>
      <c r="I47" t="inlineStr">
        <is>
          <t>2026-05-18</t>
        </is>
      </c>
    </row>
    <row r="48">
      <c r="A48" t="inlineStr">
        <is>
          <t>pay_1186995a321b</t>
        </is>
      </c>
      <c r="B48" t="inlineStr">
        <is>
          <t>慶文</t>
        </is>
      </c>
      <c r="C48" t="inlineStr">
        <is>
          <t>2021-12-27</t>
        </is>
      </c>
      <c r="D48" t="inlineStr">
        <is>
          <t>cus_96ae9740e12a</t>
        </is>
      </c>
      <c r="E48" t="inlineStr">
        <is>
          <t>inv_f49f2bd102b3</t>
        </is>
      </c>
      <c r="F48" t="n">
        <v>105000</v>
      </c>
      <c r="G48" t="inlineStr"/>
      <c r="H48" t="inlineStr">
        <is>
          <t>來源：訂閱型發票及收款紀錄 第 52 列</t>
        </is>
      </c>
      <c r="I48" t="inlineStr">
        <is>
          <t>2026-05-18</t>
        </is>
      </c>
    </row>
    <row r="49">
      <c r="A49" t="inlineStr">
        <is>
          <t>pay_b3e99b3af8e2</t>
        </is>
      </c>
      <c r="B49" t="inlineStr">
        <is>
          <t>慶文</t>
        </is>
      </c>
      <c r="C49" t="inlineStr">
        <is>
          <t>2022-01-25</t>
        </is>
      </c>
      <c r="D49" t="inlineStr">
        <is>
          <t>cus_96ae9740e12a</t>
        </is>
      </c>
      <c r="E49" t="inlineStr">
        <is>
          <t>inv_547898363031</t>
        </is>
      </c>
      <c r="F49" t="n">
        <v>105000</v>
      </c>
      <c r="G49" t="inlineStr"/>
      <c r="H49" t="inlineStr">
        <is>
          <t>來源：訂閱型發票及收款紀錄 第 53 列</t>
        </is>
      </c>
      <c r="I49" t="inlineStr">
        <is>
          <t>2026-05-18</t>
        </is>
      </c>
    </row>
    <row r="50">
      <c r="A50" t="inlineStr">
        <is>
          <t>pay_b69da12e117b</t>
        </is>
      </c>
      <c r="B50" t="inlineStr">
        <is>
          <t>慶文</t>
        </is>
      </c>
      <c r="C50" t="inlineStr">
        <is>
          <t>2022-02-25</t>
        </is>
      </c>
      <c r="D50" t="inlineStr">
        <is>
          <t>cus_96ae9740e12a</t>
        </is>
      </c>
      <c r="E50" t="inlineStr">
        <is>
          <t>inv_8fb401425a6a</t>
        </is>
      </c>
      <c r="F50" t="n">
        <v>105000</v>
      </c>
      <c r="G50" t="inlineStr"/>
      <c r="H50" t="inlineStr">
        <is>
          <t>來源：訂閱型發票及收款紀錄 第 54 列</t>
        </is>
      </c>
      <c r="I50" t="inlineStr">
        <is>
          <t>2026-05-18</t>
        </is>
      </c>
    </row>
    <row r="51">
      <c r="A51" t="inlineStr">
        <is>
          <t>pay_f3e719fc4576</t>
        </is>
      </c>
      <c r="B51" t="inlineStr">
        <is>
          <t>慶文</t>
        </is>
      </c>
      <c r="C51" t="inlineStr">
        <is>
          <t>2022-03-25</t>
        </is>
      </c>
      <c r="D51" t="inlineStr">
        <is>
          <t>cus_96ae9740e12a</t>
        </is>
      </c>
      <c r="E51" t="inlineStr">
        <is>
          <t>inv_a02c0dd58b10</t>
        </is>
      </c>
      <c r="F51" t="n">
        <v>105000</v>
      </c>
      <c r="G51" t="inlineStr"/>
      <c r="H51" t="inlineStr">
        <is>
          <t>來源：訂閱型發票及收款紀錄 第 55 列</t>
        </is>
      </c>
      <c r="I51" t="inlineStr">
        <is>
          <t>2026-05-18</t>
        </is>
      </c>
    </row>
    <row r="52">
      <c r="A52" t="inlineStr">
        <is>
          <t>pay_37b5ef7f3565</t>
        </is>
      </c>
      <c r="B52" t="inlineStr">
        <is>
          <t>慶文</t>
        </is>
      </c>
      <c r="C52" t="inlineStr">
        <is>
          <t>2022-04-25</t>
        </is>
      </c>
      <c r="D52" t="inlineStr">
        <is>
          <t>cus_96ae9740e12a</t>
        </is>
      </c>
      <c r="E52" t="inlineStr">
        <is>
          <t>inv_66b53f32a7e5</t>
        </is>
      </c>
      <c r="F52" t="n">
        <v>105000</v>
      </c>
      <c r="G52" t="inlineStr"/>
      <c r="H52" t="inlineStr">
        <is>
          <t>來源：訂閱型發票及收款紀錄 第 56 列</t>
        </is>
      </c>
      <c r="I52" t="inlineStr">
        <is>
          <t>2026-05-18</t>
        </is>
      </c>
    </row>
    <row r="53">
      <c r="A53" t="inlineStr">
        <is>
          <t>pay_41c9906a28a7</t>
        </is>
      </c>
      <c r="B53" t="inlineStr">
        <is>
          <t>慶文</t>
        </is>
      </c>
      <c r="C53" t="inlineStr">
        <is>
          <t>2022-05-25</t>
        </is>
      </c>
      <c r="D53" t="inlineStr">
        <is>
          <t>cus_96ae9740e12a</t>
        </is>
      </c>
      <c r="E53" t="inlineStr">
        <is>
          <t>inv_a2ee393a5642</t>
        </is>
      </c>
      <c r="F53" t="n">
        <v>105000</v>
      </c>
      <c r="G53" t="inlineStr"/>
      <c r="H53" t="inlineStr">
        <is>
          <t>來源：訂閱型發票及收款紀錄 第 57 列</t>
        </is>
      </c>
      <c r="I53" t="inlineStr">
        <is>
          <t>2026-05-18</t>
        </is>
      </c>
    </row>
    <row r="54">
      <c r="A54" t="inlineStr">
        <is>
          <t>pay_d88057ac777e</t>
        </is>
      </c>
      <c r="B54" t="inlineStr">
        <is>
          <t>慶文</t>
        </is>
      </c>
      <c r="C54" t="inlineStr">
        <is>
          <t>2022-06-27</t>
        </is>
      </c>
      <c r="D54" t="inlineStr">
        <is>
          <t>cus_96ae9740e12a</t>
        </is>
      </c>
      <c r="E54" t="inlineStr">
        <is>
          <t>inv_2be514178358</t>
        </is>
      </c>
      <c r="F54" t="n">
        <v>105000</v>
      </c>
      <c r="G54" t="inlineStr"/>
      <c r="H54" t="inlineStr">
        <is>
          <t>來源：訂閱型發票及收款紀錄 第 58 列</t>
        </is>
      </c>
      <c r="I54" t="inlineStr">
        <is>
          <t>2026-05-18</t>
        </is>
      </c>
    </row>
    <row r="55">
      <c r="A55" t="inlineStr">
        <is>
          <t>pay_db5cfb51a83f</t>
        </is>
      </c>
      <c r="B55" t="inlineStr">
        <is>
          <t>慶文</t>
        </is>
      </c>
      <c r="C55" t="inlineStr">
        <is>
          <t>2022-07-25</t>
        </is>
      </c>
      <c r="D55" t="inlineStr">
        <is>
          <t>cus_96ae9740e12a</t>
        </is>
      </c>
      <c r="E55" t="inlineStr">
        <is>
          <t>inv_8c10bfb74359</t>
        </is>
      </c>
      <c r="F55" t="n">
        <v>105000</v>
      </c>
      <c r="G55" t="inlineStr"/>
      <c r="H55" t="inlineStr">
        <is>
          <t>來源：訂閱型發票及收款紀錄 第 59 列</t>
        </is>
      </c>
      <c r="I55" t="inlineStr">
        <is>
          <t>2026-05-18</t>
        </is>
      </c>
    </row>
    <row r="56">
      <c r="A56" t="inlineStr">
        <is>
          <t>pay_9ff726dcee34</t>
        </is>
      </c>
      <c r="B56" t="inlineStr">
        <is>
          <t>陳柏任</t>
        </is>
      </c>
      <c r="C56" t="inlineStr">
        <is>
          <t>2021-11-30</t>
        </is>
      </c>
      <c r="D56" t="inlineStr">
        <is>
          <t>cus_5576b5481873</t>
        </is>
      </c>
      <c r="E56" t="inlineStr">
        <is>
          <t>inv_8c0853b36ab5</t>
        </is>
      </c>
      <c r="F56" t="n">
        <v>4760</v>
      </c>
      <c r="G56" t="inlineStr"/>
      <c r="H56" t="inlineStr">
        <is>
          <t>來源：訂閱型發票及收款紀錄 第 73 列</t>
        </is>
      </c>
      <c r="I56" t="inlineStr">
        <is>
          <t>2026-05-18</t>
        </is>
      </c>
    </row>
    <row r="57">
      <c r="A57" t="inlineStr">
        <is>
          <t>pay_0586b8498401</t>
        </is>
      </c>
      <c r="B57" t="inlineStr">
        <is>
          <t>林哲瑄</t>
        </is>
      </c>
      <c r="C57" t="inlineStr">
        <is>
          <t>2022-02-15</t>
        </is>
      </c>
      <c r="D57" t="inlineStr">
        <is>
          <t>cus_7880af1bd682</t>
        </is>
      </c>
      <c r="E57" t="inlineStr">
        <is>
          <t>inv_8786605924f9</t>
        </is>
      </c>
      <c r="F57" t="n">
        <v>300000</v>
      </c>
      <c r="G57" t="inlineStr"/>
      <c r="H57" t="inlineStr">
        <is>
          <t>來源：訂閱型發票及收款紀錄 第 74 列</t>
        </is>
      </c>
      <c r="I57" t="inlineStr">
        <is>
          <t>2026-05-18</t>
        </is>
      </c>
    </row>
    <row r="58">
      <c r="A58" t="inlineStr">
        <is>
          <t>pay_5244bcc5f591</t>
        </is>
      </c>
      <c r="B58" t="inlineStr">
        <is>
          <t>林哲瑄</t>
        </is>
      </c>
      <c r="C58" t="inlineStr">
        <is>
          <t>2022-03-01</t>
        </is>
      </c>
      <c r="D58" t="inlineStr">
        <is>
          <t>cus_7880af1bd682</t>
        </is>
      </c>
      <c r="E58" t="inlineStr">
        <is>
          <t>inv_591e91ab91ab</t>
        </is>
      </c>
      <c r="F58" t="n">
        <v>300000</v>
      </c>
      <c r="G58" t="inlineStr"/>
      <c r="H58" t="inlineStr">
        <is>
          <t>來源：訂閱型發票及收款紀錄 第 75 列</t>
        </is>
      </c>
      <c r="I58" t="inlineStr">
        <is>
          <t>2026-05-18</t>
        </is>
      </c>
    </row>
    <row r="59">
      <c r="A59" t="inlineStr">
        <is>
          <t>pay_59db8ccd90ec</t>
        </is>
      </c>
      <c r="B59" t="inlineStr">
        <is>
          <t>楊育承</t>
        </is>
      </c>
      <c r="C59" t="inlineStr">
        <is>
          <t>2022-05-06</t>
        </is>
      </c>
      <c r="D59" t="inlineStr">
        <is>
          <t>cus_7880af1bd682</t>
        </is>
      </c>
      <c r="E59" t="inlineStr">
        <is>
          <t>inv_3f3c9900565f</t>
        </is>
      </c>
      <c r="F59" t="n">
        <v>345000</v>
      </c>
      <c r="G59" t="inlineStr"/>
      <c r="H59" t="inlineStr">
        <is>
          <t>來源：訂閱型發票及收款紀錄 第 76 列</t>
        </is>
      </c>
      <c r="I59" t="inlineStr">
        <is>
          <t>2026-05-18</t>
        </is>
      </c>
    </row>
    <row r="60">
      <c r="A60" t="inlineStr">
        <is>
          <t>pay_97d56d723f87</t>
        </is>
      </c>
      <c r="B60" t="inlineStr">
        <is>
          <t>Cobi</t>
        </is>
      </c>
      <c r="C60" t="inlineStr">
        <is>
          <t>2024-09-25</t>
        </is>
      </c>
      <c r="D60" t="inlineStr">
        <is>
          <t>cus_96ae9740e12a</t>
        </is>
      </c>
      <c r="E60" t="inlineStr">
        <is>
          <t>inv_3e8f7ca49e77</t>
        </is>
      </c>
      <c r="F60" t="n">
        <v>157500</v>
      </c>
      <c r="G60" t="inlineStr"/>
      <c r="H60" t="inlineStr">
        <is>
          <t>來源：訂閱型發票及收款紀錄 第 90 列</t>
        </is>
      </c>
      <c r="I60" t="inlineStr">
        <is>
          <t>2026-05-18</t>
        </is>
      </c>
    </row>
    <row r="61">
      <c r="A61" t="inlineStr">
        <is>
          <t>pay_728ede868e7e</t>
        </is>
      </c>
      <c r="B61" t="inlineStr">
        <is>
          <t>Cobi</t>
        </is>
      </c>
      <c r="C61" t="inlineStr">
        <is>
          <t>2024-10-25</t>
        </is>
      </c>
      <c r="D61" t="inlineStr">
        <is>
          <t>cus_96ae9740e12a</t>
        </is>
      </c>
      <c r="E61" t="inlineStr">
        <is>
          <t>inv_e1385706298d</t>
        </is>
      </c>
      <c r="F61" t="n">
        <v>157500</v>
      </c>
      <c r="G61" t="inlineStr"/>
      <c r="H61" t="inlineStr">
        <is>
          <t>來源：訂閱型發票及收款紀錄 第 91 列</t>
        </is>
      </c>
      <c r="I61" t="inlineStr">
        <is>
          <t>2026-05-18</t>
        </is>
      </c>
    </row>
    <row r="62">
      <c r="A62" t="inlineStr">
        <is>
          <t>pay_47023427125f</t>
        </is>
      </c>
      <c r="B62" t="inlineStr">
        <is>
          <t>Cobi</t>
        </is>
      </c>
      <c r="C62" t="inlineStr">
        <is>
          <t>2024-11-25</t>
        </is>
      </c>
      <c r="D62" t="inlineStr">
        <is>
          <t>cus_96ae9740e12a</t>
        </is>
      </c>
      <c r="E62" t="inlineStr">
        <is>
          <t>inv_cc5c358cbd11</t>
        </is>
      </c>
      <c r="F62" t="n">
        <v>157500</v>
      </c>
      <c r="G62" t="inlineStr"/>
      <c r="H62" t="inlineStr">
        <is>
          <t>來源：訂閱型發票及收款紀錄 第 92 列</t>
        </is>
      </c>
      <c r="I62" t="inlineStr">
        <is>
          <t>2026-05-18</t>
        </is>
      </c>
    </row>
    <row r="63">
      <c r="A63" t="inlineStr">
        <is>
          <t>pay_46050e062777</t>
        </is>
      </c>
      <c r="B63" t="inlineStr">
        <is>
          <t>Cobi</t>
        </is>
      </c>
      <c r="C63" t="inlineStr">
        <is>
          <t>2024-12-25</t>
        </is>
      </c>
      <c r="D63" t="inlineStr">
        <is>
          <t>cus_96ae9740e12a</t>
        </is>
      </c>
      <c r="E63" t="inlineStr">
        <is>
          <t>inv_c9ab33506690</t>
        </is>
      </c>
      <c r="F63" t="n">
        <v>157500</v>
      </c>
      <c r="G63" t="inlineStr"/>
      <c r="H63" t="inlineStr">
        <is>
          <t>來源：訂閱型發票及收款紀錄 第 93 列</t>
        </is>
      </c>
      <c r="I63" t="inlineStr">
        <is>
          <t>2026-05-18</t>
        </is>
      </c>
    </row>
    <row r="64">
      <c r="A64" t="inlineStr">
        <is>
          <t>pay_119fc0ca54d0</t>
        </is>
      </c>
      <c r="B64" t="inlineStr">
        <is>
          <t>許瀞鍶</t>
        </is>
      </c>
      <c r="C64" t="inlineStr">
        <is>
          <t>2025-02-03</t>
        </is>
      </c>
      <c r="D64" t="inlineStr">
        <is>
          <t>cus_96ae9740e12a</t>
        </is>
      </c>
      <c r="E64" t="inlineStr">
        <is>
          <t>inv_3080d8e25d39</t>
        </is>
      </c>
      <c r="F64" t="n">
        <v>157500</v>
      </c>
      <c r="G64" t="inlineStr"/>
      <c r="H64" t="inlineStr">
        <is>
          <t>來源：訂閱型發票及收款紀錄 第 94 列</t>
        </is>
      </c>
      <c r="I64" t="inlineStr">
        <is>
          <t>2026-05-18</t>
        </is>
      </c>
    </row>
    <row r="65">
      <c r="A65" t="inlineStr">
        <is>
          <t>pay_101fdfeeb819</t>
        </is>
      </c>
      <c r="B65" t="inlineStr">
        <is>
          <t>許瀞鍶</t>
        </is>
      </c>
      <c r="C65" t="inlineStr">
        <is>
          <t>2025-03-05</t>
        </is>
      </c>
      <c r="D65" t="inlineStr">
        <is>
          <t>cus_96ae9740e12a</t>
        </is>
      </c>
      <c r="E65" t="inlineStr">
        <is>
          <t>inv_ec8e8de20d34</t>
        </is>
      </c>
      <c r="F65" t="n">
        <v>157500</v>
      </c>
      <c r="G65" t="inlineStr"/>
      <c r="H65" t="inlineStr">
        <is>
          <t>來源：訂閱型發票及收款紀錄 第 95 列</t>
        </is>
      </c>
      <c r="I65" t="inlineStr">
        <is>
          <t>2026-05-18</t>
        </is>
      </c>
    </row>
    <row r="66">
      <c r="A66" t="inlineStr">
        <is>
          <t>pay_924862280557</t>
        </is>
      </c>
      <c r="B66" t="inlineStr">
        <is>
          <t>許瀞鍶</t>
        </is>
      </c>
      <c r="C66" t="inlineStr">
        <is>
          <t>2025-04-02</t>
        </is>
      </c>
      <c r="D66" t="inlineStr">
        <is>
          <t>cus_96ae9740e12a</t>
        </is>
      </c>
      <c r="E66" t="inlineStr">
        <is>
          <t>inv_504ec5d3a046</t>
        </is>
      </c>
      <c r="F66" t="n">
        <v>157500</v>
      </c>
      <c r="G66" t="inlineStr"/>
      <c r="H66" t="inlineStr">
        <is>
          <t>來源：訂閱型發票及收款紀錄 第 96 列</t>
        </is>
      </c>
      <c r="I66" t="inlineStr">
        <is>
          <t>2026-05-18</t>
        </is>
      </c>
    </row>
    <row r="67">
      <c r="A67" t="inlineStr">
        <is>
          <t>pay_61efb01603c5</t>
        </is>
      </c>
      <c r="B67" t="inlineStr">
        <is>
          <t>許瀞鍶</t>
        </is>
      </c>
      <c r="C67" t="inlineStr">
        <is>
          <t>2025-05-05</t>
        </is>
      </c>
      <c r="D67" t="inlineStr">
        <is>
          <t>cus_96ae9740e12a</t>
        </is>
      </c>
      <c r="E67" t="inlineStr">
        <is>
          <t>inv_e2e833683073</t>
        </is>
      </c>
      <c r="F67" t="n">
        <v>157500</v>
      </c>
      <c r="G67" t="inlineStr"/>
      <c r="H67" t="inlineStr">
        <is>
          <t>來源：訂閱型發票及收款紀錄 第 97 列</t>
        </is>
      </c>
      <c r="I67" t="inlineStr">
        <is>
          <t>2026-05-18</t>
        </is>
      </c>
    </row>
    <row r="68">
      <c r="A68" t="inlineStr">
        <is>
          <t>pay_deba29aed545</t>
        </is>
      </c>
      <c r="B68" t="inlineStr">
        <is>
          <t>許瀞鍶</t>
        </is>
      </c>
      <c r="C68" t="inlineStr">
        <is>
          <t>2025-06-05</t>
        </is>
      </c>
      <c r="D68" t="inlineStr">
        <is>
          <t>cus_96ae9740e12a</t>
        </is>
      </c>
      <c r="E68" t="inlineStr">
        <is>
          <t>inv_50b14b1ecb3b</t>
        </is>
      </c>
      <c r="F68" t="n">
        <v>157500</v>
      </c>
      <c r="G68" t="inlineStr"/>
      <c r="H68" t="inlineStr">
        <is>
          <t>來源：訂閱型發票及收款紀錄 第 98 列</t>
        </is>
      </c>
      <c r="I68" t="inlineStr">
        <is>
          <t>2026-05-18</t>
        </is>
      </c>
    </row>
    <row r="69">
      <c r="A69" t="inlineStr">
        <is>
          <t>pay_bf42cf38a699</t>
        </is>
      </c>
      <c r="B69" t="inlineStr">
        <is>
          <t>許瀞鍶</t>
        </is>
      </c>
      <c r="C69" t="inlineStr">
        <is>
          <t>2025-07-04</t>
        </is>
      </c>
      <c r="D69" t="inlineStr">
        <is>
          <t>cus_96ae9740e12a</t>
        </is>
      </c>
      <c r="E69" t="inlineStr">
        <is>
          <t>inv_df0ee5821274</t>
        </is>
      </c>
      <c r="F69" t="n">
        <v>157500</v>
      </c>
      <c r="G69" t="inlineStr"/>
      <c r="H69" t="inlineStr">
        <is>
          <t>來源：訂閱型發票及收款紀錄 第 99 列</t>
        </is>
      </c>
      <c r="I69" t="inlineStr">
        <is>
          <t>2026-05-18</t>
        </is>
      </c>
    </row>
    <row r="70">
      <c r="A70" t="inlineStr">
        <is>
          <t>pay_5af63fd44d57</t>
        </is>
      </c>
      <c r="B70" t="inlineStr">
        <is>
          <t>許瀞鍶</t>
        </is>
      </c>
      <c r="C70" t="inlineStr">
        <is>
          <t>2025-08-05</t>
        </is>
      </c>
      <c r="D70" t="inlineStr">
        <is>
          <t>cus_96ae9740e12a</t>
        </is>
      </c>
      <c r="E70" t="inlineStr">
        <is>
          <t>inv_c5f5d44853a0</t>
        </is>
      </c>
      <c r="F70" t="n">
        <v>157500</v>
      </c>
      <c r="G70" t="inlineStr"/>
      <c r="H70" t="inlineStr">
        <is>
          <t>來源：訂閱型發票及收款紀錄 第 100 列</t>
        </is>
      </c>
      <c r="I70" t="inlineStr">
        <is>
          <t>2026-05-18</t>
        </is>
      </c>
    </row>
    <row r="71">
      <c r="A71" t="inlineStr">
        <is>
          <t>pay_3a5e47151fbc</t>
        </is>
      </c>
      <c r="B71" t="inlineStr">
        <is>
          <t>許瀞鍶</t>
        </is>
      </c>
      <c r="C71" t="inlineStr">
        <is>
          <t>2025-09-05</t>
        </is>
      </c>
      <c r="D71" t="inlineStr">
        <is>
          <t>cus_96ae9740e12a</t>
        </is>
      </c>
      <c r="E71" t="inlineStr">
        <is>
          <t>inv_93491953802b</t>
        </is>
      </c>
      <c r="F71" t="n">
        <v>157500</v>
      </c>
      <c r="G71" t="inlineStr"/>
      <c r="H71" t="inlineStr">
        <is>
          <t>來源：訂閱型發票及收款紀錄 第 101 列</t>
        </is>
      </c>
      <c r="I71" t="inlineStr">
        <is>
          <t>2026-05-18</t>
        </is>
      </c>
    </row>
    <row r="72">
      <c r="A72" t="inlineStr">
        <is>
          <t>pay_c0431efdaf1a</t>
        </is>
      </c>
      <c r="B72" t="inlineStr">
        <is>
          <t>許瀞鍶</t>
        </is>
      </c>
      <c r="C72" t="inlineStr">
        <is>
          <t>2025-10-07</t>
        </is>
      </c>
      <c r="D72" t="inlineStr">
        <is>
          <t>cus_96ae9740e12a</t>
        </is>
      </c>
      <c r="E72" t="inlineStr">
        <is>
          <t>inv_268c4eb68185</t>
        </is>
      </c>
      <c r="F72" t="n">
        <v>157500</v>
      </c>
      <c r="G72" t="inlineStr"/>
      <c r="H72" t="inlineStr">
        <is>
          <t>來源：訂閱型發票及收款紀錄 第 102 列</t>
        </is>
      </c>
      <c r="I72" t="inlineStr">
        <is>
          <t>2026-05-18</t>
        </is>
      </c>
    </row>
    <row r="73">
      <c r="A73" t="inlineStr">
        <is>
          <t>pay_f5cda770209d</t>
        </is>
      </c>
      <c r="B73" t="inlineStr">
        <is>
          <t>許瀞鍶</t>
        </is>
      </c>
      <c r="C73" t="inlineStr">
        <is>
          <t>2025-11-07</t>
        </is>
      </c>
      <c r="D73" t="inlineStr">
        <is>
          <t>cus_96ae9740e12a</t>
        </is>
      </c>
      <c r="E73" t="inlineStr">
        <is>
          <t>inv_39d861bc3455</t>
        </is>
      </c>
      <c r="F73" t="n">
        <v>157500</v>
      </c>
      <c r="G73" t="inlineStr"/>
      <c r="H73" t="inlineStr">
        <is>
          <t>來源：訂閱型發票及收款紀錄 第 103 列</t>
        </is>
      </c>
      <c r="I73" t="inlineStr">
        <is>
          <t>2026-05-18</t>
        </is>
      </c>
    </row>
    <row r="74">
      <c r="A74" t="inlineStr">
        <is>
          <t>pay_d0765ca98487</t>
        </is>
      </c>
      <c r="B74" t="inlineStr">
        <is>
          <t>許瀞鍶</t>
        </is>
      </c>
      <c r="C74" t="inlineStr">
        <is>
          <t>2025-12-05</t>
        </is>
      </c>
      <c r="D74" t="inlineStr">
        <is>
          <t>cus_96ae9740e12a</t>
        </is>
      </c>
      <c r="E74" t="inlineStr">
        <is>
          <t>inv_f0f24fdd0c18</t>
        </is>
      </c>
      <c r="F74" t="n">
        <v>157500</v>
      </c>
      <c r="G74" t="inlineStr"/>
      <c r="H74" t="inlineStr">
        <is>
          <t>來源：訂閱型發票及收款紀錄 第 104 列</t>
        </is>
      </c>
      <c r="I74" t="inlineStr">
        <is>
          <t>2026-05-18</t>
        </is>
      </c>
    </row>
    <row r="75">
      <c r="A75" t="inlineStr">
        <is>
          <t>pay_abfaaf9e1a87</t>
        </is>
      </c>
      <c r="B75" t="inlineStr">
        <is>
          <t>許瀞鍶</t>
        </is>
      </c>
      <c r="C75" t="inlineStr">
        <is>
          <t>2026-01-05</t>
        </is>
      </c>
      <c r="D75" t="inlineStr">
        <is>
          <t>cus_96ae9740e12a</t>
        </is>
      </c>
      <c r="E75" t="inlineStr">
        <is>
          <t>inv_b453b08746c6</t>
        </is>
      </c>
      <c r="F75" t="n">
        <v>157500</v>
      </c>
      <c r="G75" t="inlineStr"/>
      <c r="H75" t="inlineStr">
        <is>
          <t>來源：訂閱型發票及收款紀錄 第 105 列</t>
        </is>
      </c>
      <c r="I75" t="inlineStr">
        <is>
          <t>2026-05-18</t>
        </is>
      </c>
    </row>
    <row r="76">
      <c r="A76" t="inlineStr">
        <is>
          <t>pay_3bc083d6c609</t>
        </is>
      </c>
      <c r="B76" t="inlineStr">
        <is>
          <t>許瀞鍶</t>
        </is>
      </c>
      <c r="C76" t="inlineStr">
        <is>
          <t>2026-02-10</t>
        </is>
      </c>
      <c r="D76" t="inlineStr">
        <is>
          <t>cus_96ae9740e12a</t>
        </is>
      </c>
      <c r="E76" t="inlineStr">
        <is>
          <t>inv_317d87c4e500</t>
        </is>
      </c>
      <c r="F76" t="n">
        <v>157500</v>
      </c>
      <c r="G76" t="inlineStr"/>
      <c r="H76" t="inlineStr">
        <is>
          <t>來源：訂閱型發票及收款紀錄 第 106 列</t>
        </is>
      </c>
      <c r="I76" t="inlineStr">
        <is>
          <t>2026-05-18</t>
        </is>
      </c>
    </row>
    <row r="77">
      <c r="A77" t="inlineStr">
        <is>
          <t>pay_1fc738a3eace</t>
        </is>
      </c>
      <c r="B77" t="inlineStr">
        <is>
          <t>許瀞鍶</t>
        </is>
      </c>
      <c r="C77" t="inlineStr">
        <is>
          <t>2026-03-05</t>
        </is>
      </c>
      <c r="D77" t="inlineStr">
        <is>
          <t>cus_96ae9740e12a</t>
        </is>
      </c>
      <c r="E77" t="inlineStr">
        <is>
          <t>inv_792d588de158</t>
        </is>
      </c>
      <c r="F77" t="n">
        <v>157500</v>
      </c>
      <c r="G77" t="inlineStr"/>
      <c r="H77" t="inlineStr">
        <is>
          <t>來源：訂閱型發票及收款紀錄 第 107 列</t>
        </is>
      </c>
      <c r="I77" t="inlineStr">
        <is>
          <t>2026-05-18</t>
        </is>
      </c>
    </row>
    <row r="78">
      <c r="A78" t="inlineStr">
        <is>
          <t>pay_7642160e3734</t>
        </is>
      </c>
      <c r="B78" t="inlineStr">
        <is>
          <t>許瀞鍶</t>
        </is>
      </c>
      <c r="C78" t="inlineStr">
        <is>
          <t>2026-04-10</t>
        </is>
      </c>
      <c r="D78" t="inlineStr">
        <is>
          <t>cus_96ae9740e12a</t>
        </is>
      </c>
      <c r="E78" t="inlineStr">
        <is>
          <t>inv_ede410c8b303</t>
        </is>
      </c>
      <c r="F78" t="n">
        <v>157500</v>
      </c>
      <c r="G78" t="inlineStr"/>
      <c r="H78" t="inlineStr">
        <is>
          <t>來源：訂閱型發票及收款紀錄 第 108 列</t>
        </is>
      </c>
      <c r="I78" t="inlineStr">
        <is>
          <t>2026-05-18</t>
        </is>
      </c>
    </row>
    <row r="79">
      <c r="A79" t="inlineStr">
        <is>
          <t>pay_906d074c9fd8</t>
        </is>
      </c>
      <c r="B79" t="inlineStr">
        <is>
          <t>楊育承</t>
        </is>
      </c>
      <c r="C79" t="inlineStr">
        <is>
          <t>2022-07-12</t>
        </is>
      </c>
      <c r="D79" t="inlineStr">
        <is>
          <t>cus_7880af1bd682</t>
        </is>
      </c>
      <c r="E79" t="inlineStr">
        <is>
          <t>inv_590cbc8650df</t>
        </is>
      </c>
      <c r="F79" t="n">
        <v>315000</v>
      </c>
      <c r="G79" t="inlineStr"/>
      <c r="H79" t="inlineStr">
        <is>
          <t>來源：訂閱型發票及收款紀錄 第 115 列</t>
        </is>
      </c>
      <c r="I79" t="inlineStr">
        <is>
          <t>2026-05-18</t>
        </is>
      </c>
    </row>
    <row r="80">
      <c r="A80" t="inlineStr">
        <is>
          <t>pay_ed5e4028dd42</t>
        </is>
      </c>
      <c r="B80" t="inlineStr">
        <is>
          <t>楊育承</t>
        </is>
      </c>
      <c r="C80" t="inlineStr">
        <is>
          <t>2022-07-12</t>
        </is>
      </c>
      <c r="D80" t="inlineStr">
        <is>
          <t>cus_7880af1bd682</t>
        </is>
      </c>
      <c r="E80" t="inlineStr">
        <is>
          <t>inv_bb55bcc30289</t>
        </is>
      </c>
      <c r="F80" t="n">
        <v>315000</v>
      </c>
      <c r="G80" t="inlineStr"/>
      <c r="H80" t="inlineStr">
        <is>
          <t>來源：訂閱型發票及收款紀錄 第 116 列</t>
        </is>
      </c>
      <c r="I80" t="inlineStr">
        <is>
          <t>2026-05-18</t>
        </is>
      </c>
    </row>
    <row r="81">
      <c r="A81" t="inlineStr">
        <is>
          <t>pay_2f10d057d7b5</t>
        </is>
      </c>
      <c r="B81" t="inlineStr">
        <is>
          <t>楊育承</t>
        </is>
      </c>
      <c r="C81" t="inlineStr">
        <is>
          <t>2022-11-30</t>
        </is>
      </c>
      <c r="D81" t="inlineStr">
        <is>
          <t>cus_7880af1bd682</t>
        </is>
      </c>
      <c r="E81" t="inlineStr">
        <is>
          <t>inv_46e937d42900</t>
        </is>
      </c>
      <c r="F81" t="n">
        <v>315000</v>
      </c>
      <c r="G81" t="inlineStr"/>
      <c r="H81" t="inlineStr">
        <is>
          <t>來源：訂閱型發票及收款紀錄 第 117 列</t>
        </is>
      </c>
      <c r="I81" t="inlineStr">
        <is>
          <t>2026-05-18</t>
        </is>
      </c>
    </row>
    <row r="82">
      <c r="A82" t="inlineStr">
        <is>
          <t>pay_2292bf1e3bbb</t>
        </is>
      </c>
      <c r="B82" t="inlineStr">
        <is>
          <t>楊育承</t>
        </is>
      </c>
      <c r="C82" t="inlineStr">
        <is>
          <t>2022-12-30</t>
        </is>
      </c>
      <c r="D82" t="inlineStr">
        <is>
          <t>cus_7880af1bd682</t>
        </is>
      </c>
      <c r="E82" t="inlineStr">
        <is>
          <t>inv_b43e331b75ea</t>
        </is>
      </c>
      <c r="F82" t="n">
        <v>315000</v>
      </c>
      <c r="G82" t="inlineStr"/>
      <c r="H82" t="inlineStr">
        <is>
          <t>來源：訂閱型發票及收款紀錄 第 118 列</t>
        </is>
      </c>
      <c r="I82" t="inlineStr">
        <is>
          <t>2026-05-18</t>
        </is>
      </c>
    </row>
    <row r="83">
      <c r="A83" t="inlineStr">
        <is>
          <t>pay_3355abd19daa</t>
        </is>
      </c>
      <c r="B83" t="inlineStr">
        <is>
          <t>楊育承</t>
        </is>
      </c>
      <c r="C83" t="inlineStr">
        <is>
          <t>2023-03-15</t>
        </is>
      </c>
      <c r="D83" t="inlineStr">
        <is>
          <t>cus_7880af1bd682</t>
        </is>
      </c>
      <c r="E83" t="inlineStr">
        <is>
          <t>inv_1a9a57507f0b</t>
        </is>
      </c>
      <c r="F83" t="n">
        <v>315000</v>
      </c>
      <c r="G83" t="inlineStr"/>
      <c r="H83" t="inlineStr">
        <is>
          <t>來源：訂閱型發票及收款紀錄 第 119 列</t>
        </is>
      </c>
      <c r="I83" t="inlineStr">
        <is>
          <t>2026-05-18</t>
        </is>
      </c>
    </row>
    <row r="84">
      <c r="A84" t="inlineStr">
        <is>
          <t>pay_8a2f7c61279d</t>
        </is>
      </c>
      <c r="B84" t="inlineStr">
        <is>
          <t>林慶文</t>
        </is>
      </c>
      <c r="C84" t="inlineStr">
        <is>
          <t>2023-07-31</t>
        </is>
      </c>
      <c r="D84" t="inlineStr">
        <is>
          <t>cus_7880af1bd682</t>
        </is>
      </c>
      <c r="E84" t="inlineStr">
        <is>
          <t>inv_48fab80dffa2</t>
        </is>
      </c>
      <c r="F84" t="n">
        <v>472500</v>
      </c>
      <c r="G84" t="inlineStr"/>
      <c r="H84" t="inlineStr">
        <is>
          <t>來源：訂閱型發票及收款紀錄 第 120 列</t>
        </is>
      </c>
      <c r="I84" t="inlineStr">
        <is>
          <t>2026-05-18</t>
        </is>
      </c>
    </row>
    <row r="85">
      <c r="A85" t="inlineStr">
        <is>
          <t>pay_7c2816c6c62b</t>
        </is>
      </c>
      <c r="B85" t="inlineStr">
        <is>
          <t>林慶文</t>
        </is>
      </c>
      <c r="C85" t="inlineStr">
        <is>
          <t>2024-01-31</t>
        </is>
      </c>
      <c r="D85" t="inlineStr">
        <is>
          <t>cus_7880af1bd682</t>
        </is>
      </c>
      <c r="E85" t="inlineStr">
        <is>
          <t>inv_20671440cea9</t>
        </is>
      </c>
      <c r="F85" t="n">
        <v>472500</v>
      </c>
      <c r="G85" t="inlineStr"/>
      <c r="H85" t="inlineStr">
        <is>
          <t>來源：訂閱型發票及收款紀錄 第 121 列</t>
        </is>
      </c>
      <c r="I85" t="inlineStr">
        <is>
          <t>2026-05-18</t>
        </is>
      </c>
    </row>
    <row r="86">
      <c r="A86" t="inlineStr">
        <is>
          <t>pay_f82016a80e03</t>
        </is>
      </c>
      <c r="B86" t="inlineStr">
        <is>
          <t>林慶文</t>
        </is>
      </c>
      <c r="C86" t="inlineStr">
        <is>
          <t>2024-12-31</t>
        </is>
      </c>
      <c r="D86" t="inlineStr">
        <is>
          <t>cus_7880af1bd682</t>
        </is>
      </c>
      <c r="E86" t="inlineStr">
        <is>
          <t>inv_f732618a0fbc</t>
        </is>
      </c>
      <c r="F86" t="n">
        <v>472500</v>
      </c>
      <c r="G86" t="inlineStr"/>
      <c r="H86" t="inlineStr">
        <is>
          <t>來源：訂閱型發票及收款紀錄 第 122 列</t>
        </is>
      </c>
      <c r="I86" t="inlineStr">
        <is>
          <t>2026-05-18</t>
        </is>
      </c>
    </row>
    <row r="87">
      <c r="A87" t="inlineStr">
        <is>
          <t>pay_5600c2d42aba</t>
        </is>
      </c>
      <c r="B87" t="inlineStr">
        <is>
          <t>Cobi</t>
        </is>
      </c>
      <c r="C87" t="inlineStr">
        <is>
          <t>2025-01-15</t>
        </is>
      </c>
      <c r="D87" t="inlineStr">
        <is>
          <t>cus_7880af1bd682</t>
        </is>
      </c>
      <c r="E87" t="inlineStr">
        <is>
          <t>inv_c3fdf8b8cf9b</t>
        </is>
      </c>
      <c r="F87" t="n">
        <v>472500</v>
      </c>
      <c r="G87" t="inlineStr"/>
      <c r="H87" t="inlineStr">
        <is>
          <t>來源：訂閱型發票及收款紀錄 第 123 列</t>
        </is>
      </c>
      <c r="I87" t="inlineStr">
        <is>
          <t>2026-05-18</t>
        </is>
      </c>
    </row>
    <row r="88">
      <c r="A88" t="inlineStr">
        <is>
          <t>pay_855d3b33c950</t>
        </is>
      </c>
      <c r="B88" t="inlineStr">
        <is>
          <t>Cobi</t>
        </is>
      </c>
      <c r="C88" t="inlineStr">
        <is>
          <t>2025-02-14</t>
        </is>
      </c>
      <c r="D88" t="inlineStr">
        <is>
          <t>cus_7880af1bd682</t>
        </is>
      </c>
      <c r="E88" t="inlineStr">
        <is>
          <t>inv_8f982a22ec1a</t>
        </is>
      </c>
      <c r="F88" t="n">
        <v>472500</v>
      </c>
      <c r="G88" t="inlineStr"/>
      <c r="H88" t="inlineStr">
        <is>
          <t>來源：訂閱型發票及收款紀錄 第 124 列</t>
        </is>
      </c>
      <c r="I88" t="inlineStr">
        <is>
          <t>2026-05-18</t>
        </is>
      </c>
    </row>
    <row r="89">
      <c r="A89" t="inlineStr">
        <is>
          <t>pay_3fd5b59d1a7f</t>
        </is>
      </c>
      <c r="B89" t="inlineStr">
        <is>
          <t>Cobi</t>
        </is>
      </c>
      <c r="C89" t="inlineStr">
        <is>
          <t>2025-03-14</t>
        </is>
      </c>
      <c r="D89" t="inlineStr">
        <is>
          <t>cus_7880af1bd682</t>
        </is>
      </c>
      <c r="E89" t="inlineStr">
        <is>
          <t>inv_ad6cf5d5af54</t>
        </is>
      </c>
      <c r="F89" t="n">
        <v>472500</v>
      </c>
      <c r="G89" t="inlineStr"/>
      <c r="H89" t="inlineStr">
        <is>
          <t>來源：訂閱型發票及收款紀錄 第 125 列</t>
        </is>
      </c>
      <c r="I89" t="inlineStr">
        <is>
          <t>2026-05-18</t>
        </is>
      </c>
    </row>
    <row r="90">
      <c r="A90" t="inlineStr">
        <is>
          <t>pay_c4d07291369e</t>
        </is>
      </c>
      <c r="B90" t="inlineStr">
        <is>
          <t>Cobi</t>
        </is>
      </c>
      <c r="C90" t="inlineStr">
        <is>
          <t>2025-03-14</t>
        </is>
      </c>
      <c r="D90" t="inlineStr">
        <is>
          <t>cus_7880af1bd682</t>
        </is>
      </c>
      <c r="E90" t="inlineStr">
        <is>
          <t>inv_e18a12d3623a</t>
        </is>
      </c>
      <c r="F90" t="n">
        <v>472500</v>
      </c>
      <c r="G90" t="inlineStr"/>
      <c r="H90" t="inlineStr">
        <is>
          <t>來源：訂閱型發票及收款紀錄 第 126 列</t>
        </is>
      </c>
      <c r="I90" t="inlineStr">
        <is>
          <t>2026-05-18</t>
        </is>
      </c>
    </row>
    <row r="91">
      <c r="A91" t="inlineStr">
        <is>
          <t>pay_ca6335ccd0e2</t>
        </is>
      </c>
      <c r="B91" t="inlineStr">
        <is>
          <t>Cobi</t>
        </is>
      </c>
      <c r="C91" t="inlineStr">
        <is>
          <t>2025-05-15</t>
        </is>
      </c>
      <c r="D91" t="inlineStr">
        <is>
          <t>cus_7880af1bd682</t>
        </is>
      </c>
      <c r="E91" t="inlineStr">
        <is>
          <t>inv_fc7d3ab9b141</t>
        </is>
      </c>
      <c r="F91" t="n">
        <v>472500</v>
      </c>
      <c r="G91" t="inlineStr"/>
      <c r="H91" t="inlineStr">
        <is>
          <t>來源：訂閱型發票及收款紀錄 第 127 列</t>
        </is>
      </c>
      <c r="I91" t="inlineStr">
        <is>
          <t>2026-05-18</t>
        </is>
      </c>
    </row>
    <row r="92">
      <c r="A92" t="inlineStr">
        <is>
          <t>pay_a6c3003613c7</t>
        </is>
      </c>
      <c r="B92" t="inlineStr">
        <is>
          <t>Kate</t>
        </is>
      </c>
      <c r="C92" t="inlineStr">
        <is>
          <t>2025-05-15</t>
        </is>
      </c>
      <c r="D92" t="inlineStr">
        <is>
          <t>cus_7880af1bd682</t>
        </is>
      </c>
      <c r="E92" t="inlineStr">
        <is>
          <t>inv_dd126b6f9e42</t>
        </is>
      </c>
      <c r="F92" t="n">
        <v>472500</v>
      </c>
      <c r="G92" t="inlineStr"/>
      <c r="H92" t="inlineStr">
        <is>
          <t>來源：訂閱型發票及收款紀錄 第 128 列</t>
        </is>
      </c>
      <c r="I92" t="inlineStr">
        <is>
          <t>2026-05-18</t>
        </is>
      </c>
    </row>
    <row r="93">
      <c r="A93" t="inlineStr">
        <is>
          <t>pay_6a7df64a3f88</t>
        </is>
      </c>
      <c r="B93" t="inlineStr">
        <is>
          <t>Kate</t>
        </is>
      </c>
      <c r="C93" t="inlineStr">
        <is>
          <t>2025-12-31</t>
        </is>
      </c>
      <c r="D93" t="inlineStr">
        <is>
          <t>cus_7880af1bd682</t>
        </is>
      </c>
      <c r="E93" t="inlineStr">
        <is>
          <t>inv_d85aaa7301de</t>
        </is>
      </c>
      <c r="F93" t="n">
        <v>472500</v>
      </c>
      <c r="G93" t="inlineStr"/>
      <c r="H93" t="inlineStr">
        <is>
          <t>來源：訂閱型發票及收款紀錄 第 129 列</t>
        </is>
      </c>
      <c r="I93" t="inlineStr">
        <is>
          <t>2026-05-18</t>
        </is>
      </c>
    </row>
    <row r="94">
      <c r="A94" t="inlineStr">
        <is>
          <t>pay_cf9a535650a8</t>
        </is>
      </c>
      <c r="B94" t="inlineStr">
        <is>
          <t>Kate</t>
        </is>
      </c>
      <c r="C94" t="inlineStr">
        <is>
          <t>2026-01-30</t>
        </is>
      </c>
      <c r="D94" t="inlineStr">
        <is>
          <t>cus_7880af1bd682</t>
        </is>
      </c>
      <c r="E94" t="inlineStr">
        <is>
          <t>inv_a70bec7f3a70</t>
        </is>
      </c>
      <c r="F94" t="n">
        <v>472500</v>
      </c>
      <c r="G94" t="inlineStr"/>
      <c r="H94" t="inlineStr">
        <is>
          <t>來源：訂閱型發票及收款紀錄 第 130 列</t>
        </is>
      </c>
      <c r="I94" t="inlineStr">
        <is>
          <t>2026-05-18</t>
        </is>
      </c>
    </row>
    <row r="95">
      <c r="A95" t="inlineStr">
        <is>
          <t>pay_d424f2d6f066</t>
        </is>
      </c>
      <c r="B95" t="inlineStr">
        <is>
          <t>Kate</t>
        </is>
      </c>
      <c r="C95" t="inlineStr">
        <is>
          <t>2026-04-30</t>
        </is>
      </c>
      <c r="D95" t="inlineStr">
        <is>
          <t>cus_7880af1bd682</t>
        </is>
      </c>
      <c r="E95" t="inlineStr">
        <is>
          <t>inv_6f705e300fe0</t>
        </is>
      </c>
      <c r="F95" t="n">
        <v>472500</v>
      </c>
      <c r="G95" t="inlineStr"/>
      <c r="H95" t="inlineStr">
        <is>
          <t>來源：訂閱型發票及收款紀錄 第 131 列</t>
        </is>
      </c>
      <c r="I95" t="inlineStr">
        <is>
          <t>2026-05-18</t>
        </is>
      </c>
    </row>
    <row r="96">
      <c r="A96" t="inlineStr">
        <is>
          <t>pay_eecc3709ad2b</t>
        </is>
      </c>
      <c r="B96" t="inlineStr">
        <is>
          <t>楊育承</t>
        </is>
      </c>
      <c r="C96" t="inlineStr">
        <is>
          <t>2022-10-05</t>
        </is>
      </c>
      <c r="D96" t="inlineStr">
        <is>
          <t>cus_9bf4e5d4c066</t>
        </is>
      </c>
      <c r="E96" t="inlineStr">
        <is>
          <t>inv_d8f5313a3bc9</t>
        </is>
      </c>
      <c r="F96" t="n">
        <v>210000</v>
      </c>
      <c r="G96" t="inlineStr"/>
      <c r="H96" t="inlineStr">
        <is>
          <t>來源：訂閱型發票及收款紀錄 第 138 列</t>
        </is>
      </c>
      <c r="I96" t="inlineStr">
        <is>
          <t>2026-05-18</t>
        </is>
      </c>
    </row>
    <row r="97">
      <c r="A97" t="inlineStr">
        <is>
          <t>pay_8fc959e1d2e7</t>
        </is>
      </c>
      <c r="B97" t="inlineStr">
        <is>
          <t>楊育承</t>
        </is>
      </c>
      <c r="C97" t="inlineStr">
        <is>
          <t>2022-11-10</t>
        </is>
      </c>
      <c r="D97" t="inlineStr">
        <is>
          <t>cus_9bf4e5d4c066</t>
        </is>
      </c>
      <c r="E97" t="inlineStr">
        <is>
          <t>inv_e729b8841116</t>
        </is>
      </c>
      <c r="F97" t="n">
        <v>210000</v>
      </c>
      <c r="G97" t="inlineStr"/>
      <c r="H97" t="inlineStr">
        <is>
          <t>來源：訂閱型發票及收款紀錄 第 139 列</t>
        </is>
      </c>
      <c r="I97" t="inlineStr">
        <is>
          <t>2026-05-18</t>
        </is>
      </c>
    </row>
    <row r="98">
      <c r="A98" t="inlineStr">
        <is>
          <t>pay_147cc3e2bfdb</t>
        </is>
      </c>
      <c r="B98" t="inlineStr">
        <is>
          <t>楊育承</t>
        </is>
      </c>
      <c r="C98" t="inlineStr">
        <is>
          <t>2022-11-17</t>
        </is>
      </c>
      <c r="D98" t="inlineStr">
        <is>
          <t>cus_9bf4e5d4c066</t>
        </is>
      </c>
      <c r="E98" t="inlineStr">
        <is>
          <t>inv_d6c2ff3beb84</t>
        </is>
      </c>
      <c r="F98" t="n">
        <v>210000</v>
      </c>
      <c r="G98" t="inlineStr"/>
      <c r="H98" t="inlineStr">
        <is>
          <t>來源：訂閱型發票及收款紀錄 第 140 列</t>
        </is>
      </c>
      <c r="I98" t="inlineStr">
        <is>
          <t>2026-05-18</t>
        </is>
      </c>
    </row>
    <row r="99">
      <c r="A99" t="inlineStr">
        <is>
          <t>pay_c2fc48c6b694</t>
        </is>
      </c>
      <c r="B99" t="inlineStr">
        <is>
          <t>楊育承</t>
        </is>
      </c>
      <c r="C99" t="inlineStr">
        <is>
          <t>2022-12-15</t>
        </is>
      </c>
      <c r="D99" t="inlineStr">
        <is>
          <t>cus_9bf4e5d4c066</t>
        </is>
      </c>
      <c r="E99" t="inlineStr">
        <is>
          <t>inv_c4496dbcbe71</t>
        </is>
      </c>
      <c r="F99" t="n">
        <v>210000</v>
      </c>
      <c r="G99" t="inlineStr"/>
      <c r="H99" t="inlineStr">
        <is>
          <t>來源：訂閱型發票及收款紀錄 第 141 列</t>
        </is>
      </c>
      <c r="I99" t="inlineStr">
        <is>
          <t>2026-05-18</t>
        </is>
      </c>
    </row>
    <row r="100">
      <c r="A100" t="inlineStr">
        <is>
          <t>pay_61d30eb61338</t>
        </is>
      </c>
      <c r="B100" t="inlineStr">
        <is>
          <t>楊育承</t>
        </is>
      </c>
      <c r="C100" t="inlineStr">
        <is>
          <t>2023-01-19</t>
        </is>
      </c>
      <c r="D100" t="inlineStr">
        <is>
          <t>cus_9bf4e5d4c066</t>
        </is>
      </c>
      <c r="E100" t="inlineStr">
        <is>
          <t>inv_01e8d2f5edcb</t>
        </is>
      </c>
      <c r="F100" t="n">
        <v>210000</v>
      </c>
      <c r="G100" t="inlineStr"/>
      <c r="H100" t="inlineStr">
        <is>
          <t>來源：訂閱型發票及收款紀錄 第 142 列</t>
        </is>
      </c>
      <c r="I100" t="inlineStr">
        <is>
          <t>2026-05-18</t>
        </is>
      </c>
    </row>
    <row r="101">
      <c r="A101" t="inlineStr">
        <is>
          <t>pay_eb7466448ac7</t>
        </is>
      </c>
      <c r="B101" t="inlineStr">
        <is>
          <t>楊育承</t>
        </is>
      </c>
      <c r="C101" t="inlineStr">
        <is>
          <t>2023-02-09</t>
        </is>
      </c>
      <c r="D101" t="inlineStr">
        <is>
          <t>cus_9bf4e5d4c066</t>
        </is>
      </c>
      <c r="E101" t="inlineStr">
        <is>
          <t>inv_a06455be9d52</t>
        </is>
      </c>
      <c r="F101" t="n">
        <v>210000</v>
      </c>
      <c r="G101" t="inlineStr"/>
      <c r="H101" t="inlineStr">
        <is>
          <t>來源：訂閱型發票及收款紀錄 第 143 列</t>
        </is>
      </c>
      <c r="I101" t="inlineStr">
        <is>
          <t>2026-05-18</t>
        </is>
      </c>
    </row>
    <row r="102">
      <c r="A102" t="inlineStr">
        <is>
          <t>pay_31445aa5b77b</t>
        </is>
      </c>
      <c r="B102" t="inlineStr">
        <is>
          <t>楊育承</t>
        </is>
      </c>
      <c r="C102" t="inlineStr">
        <is>
          <t>2023-03-23</t>
        </is>
      </c>
      <c r="D102" t="inlineStr">
        <is>
          <t>cus_9bf4e5d4c066</t>
        </is>
      </c>
      <c r="E102" t="inlineStr">
        <is>
          <t>inv_de6a5e51a88a</t>
        </is>
      </c>
      <c r="F102" t="n">
        <v>210000</v>
      </c>
      <c r="G102" t="inlineStr"/>
      <c r="H102" t="inlineStr">
        <is>
          <t>來源：訂閱型發票及收款紀錄 第 144 列</t>
        </is>
      </c>
      <c r="I102" t="inlineStr">
        <is>
          <t>2026-05-18</t>
        </is>
      </c>
    </row>
    <row r="103">
      <c r="A103" t="inlineStr">
        <is>
          <t>pay_bb6f5d0888eb</t>
        </is>
      </c>
      <c r="B103" t="inlineStr">
        <is>
          <t>楊育承</t>
        </is>
      </c>
      <c r="C103" t="inlineStr">
        <is>
          <t>2023-04-20</t>
        </is>
      </c>
      <c r="D103" t="inlineStr">
        <is>
          <t>cus_9bf4e5d4c066</t>
        </is>
      </c>
      <c r="E103" t="inlineStr">
        <is>
          <t>inv_df214cf381b6</t>
        </is>
      </c>
      <c r="F103" t="n">
        <v>210000</v>
      </c>
      <c r="G103" t="inlineStr"/>
      <c r="H103" t="inlineStr">
        <is>
          <t>來源：訂閱型發票及收款紀錄 第 145 列</t>
        </is>
      </c>
      <c r="I103" t="inlineStr">
        <is>
          <t>2026-05-18</t>
        </is>
      </c>
    </row>
    <row r="104">
      <c r="A104" t="inlineStr">
        <is>
          <t>pay_79a91215df54</t>
        </is>
      </c>
      <c r="B104" t="inlineStr">
        <is>
          <t>楊育承</t>
        </is>
      </c>
      <c r="C104" t="inlineStr">
        <is>
          <t>2023-06-08</t>
        </is>
      </c>
      <c r="D104" t="inlineStr">
        <is>
          <t>cus_9bf4e5d4c066</t>
        </is>
      </c>
      <c r="E104" t="inlineStr">
        <is>
          <t>inv_837739b14a56</t>
        </is>
      </c>
      <c r="F104" t="n">
        <v>210000</v>
      </c>
      <c r="G104" t="inlineStr"/>
      <c r="H104" t="inlineStr">
        <is>
          <t>來源：訂閱型發票及收款紀錄 第 146 列</t>
        </is>
      </c>
      <c r="I104" t="inlineStr">
        <is>
          <t>2026-05-18</t>
        </is>
      </c>
    </row>
    <row r="105">
      <c r="A105" t="inlineStr">
        <is>
          <t>pay_f1ca897879bd</t>
        </is>
      </c>
      <c r="B105" t="inlineStr">
        <is>
          <t>思睿</t>
        </is>
      </c>
      <c r="C105" t="inlineStr">
        <is>
          <t>2023-07-06</t>
        </is>
      </c>
      <c r="D105" t="inlineStr">
        <is>
          <t>cus_9bf4e5d4c066</t>
        </is>
      </c>
      <c r="E105" t="inlineStr">
        <is>
          <t>inv_29120e07ede6</t>
        </is>
      </c>
      <c r="F105" t="n">
        <v>210000</v>
      </c>
      <c r="G105" t="inlineStr"/>
      <c r="H105" t="inlineStr">
        <is>
          <t>來源：訂閱型發票及收款紀錄 第 147 列</t>
        </is>
      </c>
      <c r="I105" t="inlineStr">
        <is>
          <t>2026-05-18</t>
        </is>
      </c>
    </row>
    <row r="106">
      <c r="A106" t="inlineStr">
        <is>
          <t>pay_d47371798d93</t>
        </is>
      </c>
      <c r="B106" t="inlineStr">
        <is>
          <t>思睿</t>
        </is>
      </c>
      <c r="C106" t="inlineStr">
        <is>
          <t>2023-07-20</t>
        </is>
      </c>
      <c r="D106" t="inlineStr">
        <is>
          <t>cus_9bf4e5d4c066</t>
        </is>
      </c>
      <c r="E106" t="inlineStr">
        <is>
          <t>inv_8dddc694e49e</t>
        </is>
      </c>
      <c r="F106" t="n">
        <v>210000</v>
      </c>
      <c r="G106" t="inlineStr"/>
      <c r="H106" t="inlineStr">
        <is>
          <t>來源：訂閱型發票及收款紀錄 第 148 列</t>
        </is>
      </c>
      <c r="I106" t="inlineStr">
        <is>
          <t>2026-05-18</t>
        </is>
      </c>
    </row>
    <row r="107">
      <c r="A107" t="inlineStr">
        <is>
          <t>pay_f1a23ab9ff72</t>
        </is>
      </c>
      <c r="B107" t="inlineStr">
        <is>
          <t>思睿</t>
        </is>
      </c>
      <c r="C107" t="inlineStr">
        <is>
          <t>2023-08-17</t>
        </is>
      </c>
      <c r="D107" t="inlineStr">
        <is>
          <t>cus_9bf4e5d4c066</t>
        </is>
      </c>
      <c r="E107" t="inlineStr">
        <is>
          <t>inv_53bc3a081d5c</t>
        </is>
      </c>
      <c r="F107" t="n">
        <v>210000</v>
      </c>
      <c r="G107" t="inlineStr"/>
      <c r="H107" t="inlineStr">
        <is>
          <t>來源：訂閱型發票及收款紀錄 第 149 列</t>
        </is>
      </c>
      <c r="I107" t="inlineStr">
        <is>
          <t>2026-05-18</t>
        </is>
      </c>
    </row>
    <row r="108">
      <c r="A108" t="inlineStr">
        <is>
          <t>pay_ea1fd6dc9ebe</t>
        </is>
      </c>
      <c r="B108" t="inlineStr">
        <is>
          <t>思睿</t>
        </is>
      </c>
      <c r="C108" t="inlineStr">
        <is>
          <t>2023-09-14</t>
        </is>
      </c>
      <c r="D108" t="inlineStr">
        <is>
          <t>cus_9bf4e5d4c066</t>
        </is>
      </c>
      <c r="E108" t="inlineStr">
        <is>
          <t>inv_81e00711e096</t>
        </is>
      </c>
      <c r="F108" t="n">
        <v>210000</v>
      </c>
      <c r="G108" t="inlineStr"/>
      <c r="H108" t="inlineStr">
        <is>
          <t>來源：訂閱型發票及收款紀錄 第 150 列</t>
        </is>
      </c>
      <c r="I108" t="inlineStr">
        <is>
          <t>2026-05-18</t>
        </is>
      </c>
    </row>
    <row r="109">
      <c r="A109" t="inlineStr">
        <is>
          <t>pay_8c87986a4f7e</t>
        </is>
      </c>
      <c r="B109" t="inlineStr">
        <is>
          <t>思睿</t>
        </is>
      </c>
      <c r="C109" t="inlineStr">
        <is>
          <t>2023-10-12</t>
        </is>
      </c>
      <c r="D109" t="inlineStr">
        <is>
          <t>cus_9bf4e5d4c066</t>
        </is>
      </c>
      <c r="E109" t="inlineStr">
        <is>
          <t>inv_24d4549c56f3</t>
        </is>
      </c>
      <c r="F109" t="n">
        <v>210000</v>
      </c>
      <c r="G109" t="inlineStr"/>
      <c r="H109" t="inlineStr">
        <is>
          <t>來源：訂閱型發票及收款紀錄 第 151 列</t>
        </is>
      </c>
      <c r="I109" t="inlineStr">
        <is>
          <t>2026-05-18</t>
        </is>
      </c>
    </row>
    <row r="110">
      <c r="A110" t="inlineStr">
        <is>
          <t>pay_62b0c1027028</t>
        </is>
      </c>
      <c r="B110" t="inlineStr">
        <is>
          <t>思睿</t>
        </is>
      </c>
      <c r="C110" t="inlineStr">
        <is>
          <t>2023-11-23</t>
        </is>
      </c>
      <c r="D110" t="inlineStr">
        <is>
          <t>cus_9bf4e5d4c066</t>
        </is>
      </c>
      <c r="E110" t="inlineStr">
        <is>
          <t>inv_f840997d95d2</t>
        </is>
      </c>
      <c r="F110" t="n">
        <v>210000</v>
      </c>
      <c r="G110" t="inlineStr"/>
      <c r="H110" t="inlineStr">
        <is>
          <t>來源：訂閱型發票及收款紀錄 第 152 列</t>
        </is>
      </c>
      <c r="I110" t="inlineStr">
        <is>
          <t>2026-05-18</t>
        </is>
      </c>
    </row>
    <row r="111">
      <c r="A111" t="inlineStr">
        <is>
          <t>pay_15e95f8c538a</t>
        </is>
      </c>
      <c r="B111" t="inlineStr">
        <is>
          <t>思睿</t>
        </is>
      </c>
      <c r="C111" t="inlineStr">
        <is>
          <t>2023-12-14</t>
        </is>
      </c>
      <c r="D111" t="inlineStr">
        <is>
          <t>cus_9bf4e5d4c066</t>
        </is>
      </c>
      <c r="E111" t="inlineStr">
        <is>
          <t>inv_a1f099c40ccc</t>
        </is>
      </c>
      <c r="F111" t="n">
        <v>210000</v>
      </c>
      <c r="G111" t="inlineStr"/>
      <c r="H111" t="inlineStr">
        <is>
          <t>來源：訂閱型發票及收款紀錄 第 153 列</t>
        </is>
      </c>
      <c r="I111" t="inlineStr">
        <is>
          <t>2026-05-18</t>
        </is>
      </c>
    </row>
    <row r="112">
      <c r="A112" t="inlineStr">
        <is>
          <t>pay_bdd480d5ea39</t>
        </is>
      </c>
      <c r="B112" t="inlineStr">
        <is>
          <t>思睿</t>
        </is>
      </c>
      <c r="C112" t="inlineStr">
        <is>
          <t>2024-01-11</t>
        </is>
      </c>
      <c r="D112" t="inlineStr">
        <is>
          <t>cus_9bf4e5d4c066</t>
        </is>
      </c>
      <c r="E112" t="inlineStr">
        <is>
          <t>inv_0d2dfb057076</t>
        </is>
      </c>
      <c r="F112" t="n">
        <v>210000</v>
      </c>
      <c r="G112" t="inlineStr"/>
      <c r="H112" t="inlineStr">
        <is>
          <t>來源：訂閱型發票及收款紀錄 第 154 列</t>
        </is>
      </c>
      <c r="I112" t="inlineStr">
        <is>
          <t>2026-05-18</t>
        </is>
      </c>
    </row>
    <row r="113">
      <c r="A113" t="inlineStr">
        <is>
          <t>pay_7a13e4d528f9</t>
        </is>
      </c>
      <c r="B113" t="inlineStr">
        <is>
          <t>思睿</t>
        </is>
      </c>
      <c r="C113" t="inlineStr">
        <is>
          <t>2024-02-06</t>
        </is>
      </c>
      <c r="D113" t="inlineStr">
        <is>
          <t>cus_9bf4e5d4c066</t>
        </is>
      </c>
      <c r="E113" t="inlineStr">
        <is>
          <t>inv_f7308afaf55a</t>
        </is>
      </c>
      <c r="F113" t="n">
        <v>210000</v>
      </c>
      <c r="G113" t="inlineStr"/>
      <c r="H113" t="inlineStr">
        <is>
          <t>來源：訂閱型發票及收款紀錄 第 155 列</t>
        </is>
      </c>
      <c r="I113" t="inlineStr">
        <is>
          <t>2026-05-18</t>
        </is>
      </c>
    </row>
    <row r="114">
      <c r="A114" t="inlineStr">
        <is>
          <t>pay_0fee3a5171d3</t>
        </is>
      </c>
      <c r="B114" t="inlineStr">
        <is>
          <t>Cobi</t>
        </is>
      </c>
      <c r="C114" t="inlineStr">
        <is>
          <t>2024-03-21</t>
        </is>
      </c>
      <c r="D114" t="inlineStr">
        <is>
          <t>cus_9bf4e5d4c066</t>
        </is>
      </c>
      <c r="E114" t="inlineStr">
        <is>
          <t>inv_e867f519fc7b</t>
        </is>
      </c>
      <c r="F114" t="n">
        <v>210000</v>
      </c>
      <c r="G114" t="inlineStr"/>
      <c r="H114" t="inlineStr">
        <is>
          <t>來源：訂閱型發票及收款紀錄 第 156 列</t>
        </is>
      </c>
      <c r="I114" t="inlineStr">
        <is>
          <t>2026-05-18</t>
        </is>
      </c>
    </row>
    <row r="115">
      <c r="A115" t="inlineStr">
        <is>
          <t>pay_7a6ddb446915</t>
        </is>
      </c>
      <c r="B115" t="inlineStr">
        <is>
          <t>Cobi</t>
        </is>
      </c>
      <c r="C115" t="inlineStr">
        <is>
          <t>2024-04-18</t>
        </is>
      </c>
      <c r="D115" t="inlineStr">
        <is>
          <t>cus_9bf4e5d4c066</t>
        </is>
      </c>
      <c r="E115" t="inlineStr">
        <is>
          <t>inv_75de31568dbb</t>
        </is>
      </c>
      <c r="F115" t="n">
        <v>315000</v>
      </c>
      <c r="G115" t="inlineStr"/>
      <c r="H115" t="inlineStr">
        <is>
          <t>來源：訂閱型發票及收款紀錄 第 157 列</t>
        </is>
      </c>
      <c r="I115" t="inlineStr">
        <is>
          <t>2026-05-18</t>
        </is>
      </c>
    </row>
    <row r="116">
      <c r="A116" t="inlineStr">
        <is>
          <t>pay_49d70c266c3b</t>
        </is>
      </c>
      <c r="B116" t="inlineStr">
        <is>
          <t>Cobi</t>
        </is>
      </c>
      <c r="C116" t="inlineStr">
        <is>
          <t>2024-05-23</t>
        </is>
      </c>
      <c r="D116" t="inlineStr">
        <is>
          <t>cus_9bf4e5d4c066</t>
        </is>
      </c>
      <c r="E116" t="inlineStr">
        <is>
          <t>inv_cd5372f9b2dd</t>
        </is>
      </c>
      <c r="F116" t="n">
        <v>315000</v>
      </c>
      <c r="G116" t="inlineStr"/>
      <c r="H116" t="inlineStr">
        <is>
          <t>來源：訂閱型發票及收款紀錄 第 158 列</t>
        </is>
      </c>
      <c r="I116" t="inlineStr">
        <is>
          <t>2026-05-18</t>
        </is>
      </c>
    </row>
    <row r="117">
      <c r="A117" t="inlineStr">
        <is>
          <t>pay_12efc3225a5a</t>
        </is>
      </c>
      <c r="B117" t="inlineStr">
        <is>
          <t>Cobi</t>
        </is>
      </c>
      <c r="C117" t="inlineStr">
        <is>
          <t>2024-06-20</t>
        </is>
      </c>
      <c r="D117" t="inlineStr">
        <is>
          <t>cus_9bf4e5d4c066</t>
        </is>
      </c>
      <c r="E117" t="inlineStr">
        <is>
          <t>inv_e97753b08934</t>
        </is>
      </c>
      <c r="F117" t="n">
        <v>315000</v>
      </c>
      <c r="G117" t="inlineStr"/>
      <c r="H117" t="inlineStr">
        <is>
          <t>來源：訂閱型發票及收款紀錄 第 159 列</t>
        </is>
      </c>
      <c r="I117" t="inlineStr">
        <is>
          <t>2026-05-18</t>
        </is>
      </c>
    </row>
    <row r="118">
      <c r="A118" t="inlineStr">
        <is>
          <t>pay_0ec37b053198</t>
        </is>
      </c>
      <c r="B118" t="inlineStr">
        <is>
          <t>Cobi</t>
        </is>
      </c>
      <c r="C118" t="inlineStr">
        <is>
          <t>2024-07-18</t>
        </is>
      </c>
      <c r="D118" t="inlineStr">
        <is>
          <t>cus_9bf4e5d4c066</t>
        </is>
      </c>
      <c r="E118" t="inlineStr">
        <is>
          <t>inv_b569cdaf2286</t>
        </is>
      </c>
      <c r="F118" t="n">
        <v>315000</v>
      </c>
      <c r="G118" t="inlineStr"/>
      <c r="H118" t="inlineStr">
        <is>
          <t>來源：訂閱型發票及收款紀錄 第 160 列</t>
        </is>
      </c>
      <c r="I118" t="inlineStr">
        <is>
          <t>2026-05-18</t>
        </is>
      </c>
    </row>
    <row r="119">
      <c r="A119" t="inlineStr">
        <is>
          <t>pay_d9afb1efd95c</t>
        </is>
      </c>
      <c r="B119" t="inlineStr">
        <is>
          <t>Cobi</t>
        </is>
      </c>
      <c r="C119" t="inlineStr">
        <is>
          <t>2024-08-22</t>
        </is>
      </c>
      <c r="D119" t="inlineStr">
        <is>
          <t>cus_9bf4e5d4c066</t>
        </is>
      </c>
      <c r="E119" t="inlineStr">
        <is>
          <t>inv_2fc5b8a79a87</t>
        </is>
      </c>
      <c r="F119" t="n">
        <v>315000</v>
      </c>
      <c r="G119" t="inlineStr"/>
      <c r="H119" t="inlineStr">
        <is>
          <t>來源：訂閱型發票及收款紀錄 第 161 列</t>
        </is>
      </c>
      <c r="I119" t="inlineStr">
        <is>
          <t>2026-05-18</t>
        </is>
      </c>
    </row>
    <row r="120">
      <c r="A120" t="inlineStr">
        <is>
          <t>pay_564fa9bc42f5</t>
        </is>
      </c>
      <c r="B120" t="inlineStr">
        <is>
          <t>Cobi</t>
        </is>
      </c>
      <c r="C120" t="inlineStr">
        <is>
          <t>2024-09-19</t>
        </is>
      </c>
      <c r="D120" t="inlineStr">
        <is>
          <t>cus_9bf4e5d4c066</t>
        </is>
      </c>
      <c r="E120" t="inlineStr">
        <is>
          <t>inv_be3be518847e</t>
        </is>
      </c>
      <c r="F120" t="n">
        <v>315000</v>
      </c>
      <c r="G120" t="inlineStr"/>
      <c r="H120" t="inlineStr">
        <is>
          <t>來源：訂閱型發票及收款紀錄 第 162 列</t>
        </is>
      </c>
      <c r="I120" t="inlineStr">
        <is>
          <t>2026-05-18</t>
        </is>
      </c>
    </row>
    <row r="121">
      <c r="A121" t="inlineStr">
        <is>
          <t>pay_3bb70370d597</t>
        </is>
      </c>
      <c r="B121" t="inlineStr">
        <is>
          <t>Cobi</t>
        </is>
      </c>
      <c r="C121" t="inlineStr">
        <is>
          <t>2024-10-17</t>
        </is>
      </c>
      <c r="D121" t="inlineStr">
        <is>
          <t>cus_9bf4e5d4c066</t>
        </is>
      </c>
      <c r="E121" t="inlineStr">
        <is>
          <t>inv_3940978c8bbd</t>
        </is>
      </c>
      <c r="F121" t="n">
        <v>315000</v>
      </c>
      <c r="G121" t="inlineStr"/>
      <c r="H121" t="inlineStr">
        <is>
          <t>來源：訂閱型發票及收款紀錄 第 163 列</t>
        </is>
      </c>
      <c r="I121" t="inlineStr">
        <is>
          <t>2026-05-18</t>
        </is>
      </c>
    </row>
    <row r="122">
      <c r="A122" t="inlineStr">
        <is>
          <t>pay_e564c9807ca5</t>
        </is>
      </c>
      <c r="B122" t="inlineStr">
        <is>
          <t>Cobi</t>
        </is>
      </c>
      <c r="C122" t="inlineStr">
        <is>
          <t>2024-11-14</t>
        </is>
      </c>
      <c r="D122" t="inlineStr">
        <is>
          <t>cus_9bf4e5d4c066</t>
        </is>
      </c>
      <c r="E122" t="inlineStr">
        <is>
          <t>inv_e8b86d993ada</t>
        </is>
      </c>
      <c r="F122" t="n">
        <v>315000</v>
      </c>
      <c r="G122" t="inlineStr"/>
      <c r="H122" t="inlineStr">
        <is>
          <t>來源：訂閱型發票及收款紀錄 第 164 列</t>
        </is>
      </c>
      <c r="I122" t="inlineStr">
        <is>
          <t>2026-05-18</t>
        </is>
      </c>
    </row>
    <row r="123">
      <c r="A123" t="inlineStr">
        <is>
          <t>pay_17a153bc3398</t>
        </is>
      </c>
      <c r="B123" t="inlineStr">
        <is>
          <t>Cobi</t>
        </is>
      </c>
      <c r="C123" t="inlineStr">
        <is>
          <t>2024-12-19</t>
        </is>
      </c>
      <c r="D123" t="inlineStr">
        <is>
          <t>cus_9bf4e5d4c066</t>
        </is>
      </c>
      <c r="E123" t="inlineStr">
        <is>
          <t>inv_6dfb56be2d41</t>
        </is>
      </c>
      <c r="F123" t="n">
        <v>315000</v>
      </c>
      <c r="G123" t="inlineStr"/>
      <c r="H123" t="inlineStr">
        <is>
          <t>來源：訂閱型發票及收款紀錄 第 165 列</t>
        </is>
      </c>
      <c r="I123" t="inlineStr">
        <is>
          <t>2026-05-18</t>
        </is>
      </c>
    </row>
    <row r="124">
      <c r="A124" t="inlineStr">
        <is>
          <t>pay_515bee812790</t>
        </is>
      </c>
      <c r="B124" t="inlineStr">
        <is>
          <t>許瀞鍶</t>
        </is>
      </c>
      <c r="C124" t="inlineStr">
        <is>
          <t>2025-01-16</t>
        </is>
      </c>
      <c r="D124" t="inlineStr">
        <is>
          <t>cus_9bf4e5d4c066</t>
        </is>
      </c>
      <c r="E124" t="inlineStr">
        <is>
          <t>inv_ba2fd97daee2</t>
        </is>
      </c>
      <c r="F124" t="n">
        <v>315000</v>
      </c>
      <c r="G124" t="inlineStr"/>
      <c r="H124" t="inlineStr">
        <is>
          <t>來源：訂閱型發票及收款紀錄 第 166 列</t>
        </is>
      </c>
      <c r="I124" t="inlineStr">
        <is>
          <t>2026-05-18</t>
        </is>
      </c>
    </row>
    <row r="125">
      <c r="A125" t="inlineStr">
        <is>
          <t>pay_54fb6777cf71</t>
        </is>
      </c>
      <c r="B125" t="inlineStr">
        <is>
          <t>許瀞鍶</t>
        </is>
      </c>
      <c r="C125" t="inlineStr">
        <is>
          <t>2025-02-13</t>
        </is>
      </c>
      <c r="D125" t="inlineStr">
        <is>
          <t>cus_9bf4e5d4c066</t>
        </is>
      </c>
      <c r="E125" t="inlineStr">
        <is>
          <t>inv_bcf3372f6166</t>
        </is>
      </c>
      <c r="F125" t="n">
        <v>315000</v>
      </c>
      <c r="G125" t="inlineStr"/>
      <c r="H125" t="inlineStr">
        <is>
          <t>來源：訂閱型發票及收款紀錄 第 167 列</t>
        </is>
      </c>
      <c r="I125" t="inlineStr">
        <is>
          <t>2026-05-18</t>
        </is>
      </c>
    </row>
    <row r="126">
      <c r="A126" t="inlineStr">
        <is>
          <t>pay_3b7526673cda</t>
        </is>
      </c>
      <c r="B126" t="inlineStr">
        <is>
          <t>許瀞鍶</t>
        </is>
      </c>
      <c r="C126" t="inlineStr">
        <is>
          <t>2025-03-20</t>
        </is>
      </c>
      <c r="D126" t="inlineStr">
        <is>
          <t>cus_9bf4e5d4c066</t>
        </is>
      </c>
      <c r="E126" t="inlineStr">
        <is>
          <t>inv_16589452ef60</t>
        </is>
      </c>
      <c r="F126" t="n">
        <v>315000</v>
      </c>
      <c r="G126" t="inlineStr"/>
      <c r="H126" t="inlineStr">
        <is>
          <t>來源：訂閱型發票及收款紀錄 第 168 列</t>
        </is>
      </c>
      <c r="I126" t="inlineStr">
        <is>
          <t>2026-05-18</t>
        </is>
      </c>
    </row>
    <row r="127">
      <c r="A127" t="inlineStr">
        <is>
          <t>pay_1ddb376adf64</t>
        </is>
      </c>
      <c r="B127" t="inlineStr">
        <is>
          <t>許瀞鍶</t>
        </is>
      </c>
      <c r="C127" t="inlineStr">
        <is>
          <t>2025-04-17</t>
        </is>
      </c>
      <c r="D127" t="inlineStr">
        <is>
          <t>cus_9bf4e5d4c066</t>
        </is>
      </c>
      <c r="E127" t="inlineStr">
        <is>
          <t>inv_933155282d26</t>
        </is>
      </c>
      <c r="F127" t="n">
        <v>315000</v>
      </c>
      <c r="G127" t="inlineStr"/>
      <c r="H127" t="inlineStr">
        <is>
          <t>來源：訂閱型發票及收款紀錄 第 169 列</t>
        </is>
      </c>
      <c r="I127" t="inlineStr">
        <is>
          <t>2026-05-18</t>
        </is>
      </c>
    </row>
    <row r="128">
      <c r="A128" t="inlineStr">
        <is>
          <t>pay_5131a4ab418f</t>
        </is>
      </c>
      <c r="B128" t="inlineStr">
        <is>
          <t>許瀞鍶</t>
        </is>
      </c>
      <c r="C128" t="inlineStr">
        <is>
          <t>2025-05-22</t>
        </is>
      </c>
      <c r="D128" t="inlineStr">
        <is>
          <t>cus_9bf4e5d4c066</t>
        </is>
      </c>
      <c r="E128" t="inlineStr">
        <is>
          <t>inv_f2959c91d06d</t>
        </is>
      </c>
      <c r="F128" t="n">
        <v>315000</v>
      </c>
      <c r="G128" t="inlineStr"/>
      <c r="H128" t="inlineStr">
        <is>
          <t>來源：訂閱型發票及收款紀錄 第 170 列</t>
        </is>
      </c>
      <c r="I128" t="inlineStr">
        <is>
          <t>2026-05-18</t>
        </is>
      </c>
    </row>
    <row r="129">
      <c r="A129" t="inlineStr">
        <is>
          <t>pay_112dc991a5ce</t>
        </is>
      </c>
      <c r="B129" t="inlineStr">
        <is>
          <t>許瀞鍶</t>
        </is>
      </c>
      <c r="C129" t="inlineStr">
        <is>
          <t>2025-06-20</t>
        </is>
      </c>
      <c r="D129" t="inlineStr">
        <is>
          <t>cus_9bf4e5d4c066</t>
        </is>
      </c>
      <c r="E129" t="inlineStr">
        <is>
          <t>inv_bf655d6669ac</t>
        </is>
      </c>
      <c r="F129" t="n">
        <v>315000</v>
      </c>
      <c r="G129" t="inlineStr"/>
      <c r="H129" t="inlineStr">
        <is>
          <t>來源：訂閱型發票及收款紀錄 第 171 列</t>
        </is>
      </c>
      <c r="I129" t="inlineStr">
        <is>
          <t>2026-05-18</t>
        </is>
      </c>
    </row>
    <row r="130">
      <c r="A130" t="inlineStr">
        <is>
          <t>pay_5ea41d8e6a40</t>
        </is>
      </c>
      <c r="B130" t="inlineStr">
        <is>
          <t>許瀞鍶</t>
        </is>
      </c>
      <c r="C130" t="inlineStr">
        <is>
          <t>2025-07-17</t>
        </is>
      </c>
      <c r="D130" t="inlineStr">
        <is>
          <t>cus_9bf4e5d4c066</t>
        </is>
      </c>
      <c r="E130" t="inlineStr">
        <is>
          <t>inv_ffa6e843d83c</t>
        </is>
      </c>
      <c r="F130" t="n">
        <v>315000</v>
      </c>
      <c r="G130" t="inlineStr"/>
      <c r="H130" t="inlineStr">
        <is>
          <t>來源：訂閱型發票及收款紀錄 第 172 列</t>
        </is>
      </c>
      <c r="I130" t="inlineStr">
        <is>
          <t>2026-05-18</t>
        </is>
      </c>
    </row>
    <row r="131">
      <c r="A131" t="inlineStr">
        <is>
          <t>pay_39b6a2da8dce</t>
        </is>
      </c>
      <c r="B131" t="inlineStr">
        <is>
          <t>許瀞鍶</t>
        </is>
      </c>
      <c r="C131" t="inlineStr">
        <is>
          <t>2025-09-10</t>
        </is>
      </c>
      <c r="D131" t="inlineStr">
        <is>
          <t>cus_9bf4e5d4c066</t>
        </is>
      </c>
      <c r="E131" t="inlineStr">
        <is>
          <t>inv_3d4e5451796b</t>
        </is>
      </c>
      <c r="F131" t="n">
        <v>315000</v>
      </c>
      <c r="G131" t="inlineStr"/>
      <c r="H131" t="inlineStr">
        <is>
          <t>來源：訂閱型發票及收款紀錄 第 173 列</t>
        </is>
      </c>
      <c r="I131" t="inlineStr">
        <is>
          <t>2026-05-18</t>
        </is>
      </c>
    </row>
    <row r="132">
      <c r="A132" t="inlineStr">
        <is>
          <t>pay_12e94933b905</t>
        </is>
      </c>
      <c r="B132" t="inlineStr">
        <is>
          <t>許瀞鍶</t>
        </is>
      </c>
      <c r="C132" t="inlineStr">
        <is>
          <t>2025-10-13</t>
        </is>
      </c>
      <c r="D132" t="inlineStr">
        <is>
          <t>cus_9bf4e5d4c066</t>
        </is>
      </c>
      <c r="E132" t="inlineStr">
        <is>
          <t>inv_cc77301ebc33</t>
        </is>
      </c>
      <c r="F132" t="n">
        <v>315000</v>
      </c>
      <c r="G132" t="inlineStr"/>
      <c r="H132" t="inlineStr">
        <is>
          <t>來源：訂閱型發票及收款紀錄 第 174 列</t>
        </is>
      </c>
      <c r="I132" t="inlineStr">
        <is>
          <t>2026-05-18</t>
        </is>
      </c>
    </row>
    <row r="133">
      <c r="A133" t="inlineStr">
        <is>
          <t>pay_26e00a6917fc</t>
        </is>
      </c>
      <c r="B133" t="inlineStr">
        <is>
          <t>許瀞鍶</t>
        </is>
      </c>
      <c r="C133" t="inlineStr">
        <is>
          <t>2025-11-13</t>
        </is>
      </c>
      <c r="D133" t="inlineStr">
        <is>
          <t>cus_9bf4e5d4c066</t>
        </is>
      </c>
      <c r="E133" t="inlineStr">
        <is>
          <t>inv_65bba48d3b8e</t>
        </is>
      </c>
      <c r="F133" t="n">
        <v>315000</v>
      </c>
      <c r="G133" t="inlineStr"/>
      <c r="H133" t="inlineStr">
        <is>
          <t>來源：訂閱型發票及收款紀錄 第 175 列</t>
        </is>
      </c>
      <c r="I133" t="inlineStr">
        <is>
          <t>2026-05-18</t>
        </is>
      </c>
    </row>
    <row r="134">
      <c r="A134" t="inlineStr">
        <is>
          <t>pay_3a19d0fcd56c</t>
        </is>
      </c>
      <c r="B134" t="inlineStr">
        <is>
          <t>許瀞鍶</t>
        </is>
      </c>
      <c r="C134" t="inlineStr">
        <is>
          <t>2025-12-11</t>
        </is>
      </c>
      <c r="D134" t="inlineStr">
        <is>
          <t>cus_9bf4e5d4c066</t>
        </is>
      </c>
      <c r="E134" t="inlineStr">
        <is>
          <t>inv_a9d935152f35</t>
        </is>
      </c>
      <c r="F134" t="n">
        <v>315000</v>
      </c>
      <c r="G134" t="inlineStr"/>
      <c r="H134" t="inlineStr">
        <is>
          <t>來源：訂閱型發票及收款紀錄 第 176 列</t>
        </is>
      </c>
      <c r="I134" t="inlineStr">
        <is>
          <t>2026-05-18</t>
        </is>
      </c>
    </row>
    <row r="135">
      <c r="A135" t="inlineStr">
        <is>
          <t>pay_8b2c88da5ae1</t>
        </is>
      </c>
      <c r="B135" t="inlineStr">
        <is>
          <t>許瀞鍶</t>
        </is>
      </c>
      <c r="C135" t="inlineStr">
        <is>
          <t>2025-01-14</t>
        </is>
      </c>
      <c r="D135" t="inlineStr">
        <is>
          <t>cus_9bf4e5d4c066</t>
        </is>
      </c>
      <c r="E135" t="inlineStr">
        <is>
          <t>inv_a25259fc8404</t>
        </is>
      </c>
      <c r="F135" t="n">
        <v>315000</v>
      </c>
      <c r="G135" t="inlineStr"/>
      <c r="H135" t="inlineStr">
        <is>
          <t>來源：訂閱型發票及收款紀錄 第 177 列</t>
        </is>
      </c>
      <c r="I135" t="inlineStr">
        <is>
          <t>2026-05-18</t>
        </is>
      </c>
    </row>
    <row r="136">
      <c r="A136" t="inlineStr">
        <is>
          <t>pay_c688ac91b2a6</t>
        </is>
      </c>
      <c r="B136" t="inlineStr">
        <is>
          <t>許瀞鍶</t>
        </is>
      </c>
      <c r="C136" t="inlineStr">
        <is>
          <t>2026-02-10</t>
        </is>
      </c>
      <c r="D136" t="inlineStr">
        <is>
          <t>cus_9bf4e5d4c066</t>
        </is>
      </c>
      <c r="E136" t="inlineStr">
        <is>
          <t>inv_2e3ebdaec1ac</t>
        </is>
      </c>
      <c r="F136" t="n">
        <v>315000</v>
      </c>
      <c r="G136" t="inlineStr"/>
      <c r="H136" t="inlineStr">
        <is>
          <t>來源：訂閱型發票及收款紀錄 第 178 列</t>
        </is>
      </c>
      <c r="I136" t="inlineStr">
        <is>
          <t>2026-05-18</t>
        </is>
      </c>
    </row>
    <row r="137">
      <c r="A137" t="inlineStr">
        <is>
          <t>pay_f744902c43f1</t>
        </is>
      </c>
      <c r="B137" t="inlineStr">
        <is>
          <t>許瀞鍶</t>
        </is>
      </c>
      <c r="C137" t="inlineStr">
        <is>
          <t>2026-02-10</t>
        </is>
      </c>
      <c r="D137" t="inlineStr">
        <is>
          <t>cus_9bf4e5d4c066</t>
        </is>
      </c>
      <c r="E137" t="inlineStr">
        <is>
          <t>inv_d82ef7993ebe</t>
        </is>
      </c>
      <c r="F137" t="n">
        <v>315000</v>
      </c>
      <c r="G137" t="inlineStr"/>
      <c r="H137" t="inlineStr">
        <is>
          <t>來源：訂閱型發票及收款紀錄 第 179 列</t>
        </is>
      </c>
      <c r="I137" t="inlineStr">
        <is>
          <t>2026-05-18</t>
        </is>
      </c>
    </row>
    <row r="138">
      <c r="A138" t="inlineStr">
        <is>
          <t>pay_80323246f44f</t>
        </is>
      </c>
      <c r="B138" t="inlineStr">
        <is>
          <t>許瀞鍶</t>
        </is>
      </c>
      <c r="C138" t="inlineStr">
        <is>
          <t>2026-04-13</t>
        </is>
      </c>
      <c r="D138" t="inlineStr">
        <is>
          <t>cus_9bf4e5d4c066</t>
        </is>
      </c>
      <c r="E138" t="inlineStr">
        <is>
          <t>inv_2b231acd999e</t>
        </is>
      </c>
      <c r="F138" t="n">
        <v>315000</v>
      </c>
      <c r="G138" t="inlineStr"/>
      <c r="H138" t="inlineStr">
        <is>
          <t>來源：訂閱型發票及收款紀錄 第 180 列</t>
        </is>
      </c>
      <c r="I138" t="inlineStr">
        <is>
          <t>2026-05-18</t>
        </is>
      </c>
    </row>
    <row r="139">
      <c r="A139" t="inlineStr">
        <is>
          <t>pay_52a2f8862553</t>
        </is>
      </c>
      <c r="B139" t="inlineStr">
        <is>
          <t>楊育承</t>
        </is>
      </c>
      <c r="C139" t="inlineStr">
        <is>
          <t>2022-04-29</t>
        </is>
      </c>
      <c r="D139" t="inlineStr">
        <is>
          <t>cus_ea78377525ac</t>
        </is>
      </c>
      <c r="E139" t="inlineStr">
        <is>
          <t>inv_14dc20b3f145</t>
        </is>
      </c>
      <c r="F139" t="n">
        <v>137500</v>
      </c>
      <c r="G139" t="inlineStr"/>
      <c r="H139" t="inlineStr">
        <is>
          <t>來源：訂閱型發票及收款紀錄 第 187 列</t>
        </is>
      </c>
      <c r="I139" t="inlineStr">
        <is>
          <t>2026-05-18</t>
        </is>
      </c>
    </row>
    <row r="140">
      <c r="A140" t="inlineStr">
        <is>
          <t>pay_32f28c951916</t>
        </is>
      </c>
      <c r="B140" t="inlineStr">
        <is>
          <t>楊育承</t>
        </is>
      </c>
      <c r="C140" t="inlineStr">
        <is>
          <t>2022-06-30</t>
        </is>
      </c>
      <c r="D140" t="inlineStr">
        <is>
          <t>cus_ea78377525ac</t>
        </is>
      </c>
      <c r="E140" t="inlineStr">
        <is>
          <t>inv_ff8f60f89990</t>
        </is>
      </c>
      <c r="F140" t="n">
        <v>375000</v>
      </c>
      <c r="G140" t="inlineStr"/>
      <c r="H140" t="inlineStr">
        <is>
          <t>來源：訂閱型發票及收款紀錄 第 188 列</t>
        </is>
      </c>
      <c r="I140" t="inlineStr">
        <is>
          <t>2026-05-18</t>
        </is>
      </c>
    </row>
    <row r="141">
      <c r="A141" t="inlineStr">
        <is>
          <t>pay_4bab7ac45487</t>
        </is>
      </c>
      <c r="B141" t="inlineStr">
        <is>
          <t>楊育承</t>
        </is>
      </c>
      <c r="C141" t="inlineStr">
        <is>
          <t>2022-09-30</t>
        </is>
      </c>
      <c r="D141" t="inlineStr">
        <is>
          <t>cus_ea78377525ac</t>
        </is>
      </c>
      <c r="E141" t="inlineStr">
        <is>
          <t>inv_b0a6fec25bde</t>
        </is>
      </c>
      <c r="F141" t="n">
        <v>375000</v>
      </c>
      <c r="G141" t="inlineStr"/>
      <c r="H141" t="inlineStr">
        <is>
          <t>來源：訂閱型發票及收款紀錄 第 189 列</t>
        </is>
      </c>
      <c r="I141" t="inlineStr">
        <is>
          <t>2026-05-18</t>
        </is>
      </c>
    </row>
    <row r="142">
      <c r="A142" t="inlineStr">
        <is>
          <t>pay_18f09335db2d</t>
        </is>
      </c>
      <c r="B142" t="inlineStr">
        <is>
          <t>楊育承</t>
        </is>
      </c>
      <c r="C142" t="inlineStr">
        <is>
          <t>2022-12-30</t>
        </is>
      </c>
      <c r="D142" t="inlineStr">
        <is>
          <t>cus_ea78377525ac</t>
        </is>
      </c>
      <c r="E142" t="inlineStr">
        <is>
          <t>inv_89639da57510</t>
        </is>
      </c>
      <c r="F142" t="n">
        <v>375000</v>
      </c>
      <c r="G142" t="inlineStr"/>
      <c r="H142" t="inlineStr">
        <is>
          <t>來源：訂閱型發票及收款紀錄 第 190 列</t>
        </is>
      </c>
      <c r="I142" t="inlineStr">
        <is>
          <t>2026-05-18</t>
        </is>
      </c>
    </row>
    <row r="143">
      <c r="A143" t="inlineStr">
        <is>
          <t>pay_17adf30090a8</t>
        </is>
      </c>
      <c r="B143" t="inlineStr">
        <is>
          <t>楊育承</t>
        </is>
      </c>
      <c r="C143" t="inlineStr">
        <is>
          <t>2023-04-28</t>
        </is>
      </c>
      <c r="D143" t="inlineStr">
        <is>
          <t>cus_ea78377525ac</t>
        </is>
      </c>
      <c r="E143" t="inlineStr">
        <is>
          <t>inv_c557553e964f</t>
        </is>
      </c>
      <c r="F143" t="n">
        <v>375000</v>
      </c>
      <c r="G143" t="inlineStr"/>
      <c r="H143" t="inlineStr">
        <is>
          <t>來源：訂閱型發票及收款紀錄 第 191 列</t>
        </is>
      </c>
      <c r="I143" t="inlineStr">
        <is>
          <t>2026-05-18</t>
        </is>
      </c>
    </row>
    <row r="144">
      <c r="A144" t="inlineStr">
        <is>
          <t>pay_317dd6676d60</t>
        </is>
      </c>
      <c r="B144" t="inlineStr">
        <is>
          <t>思睿</t>
        </is>
      </c>
      <c r="C144" t="inlineStr">
        <is>
          <t>2023-12-28</t>
        </is>
      </c>
      <c r="D144" t="inlineStr">
        <is>
          <t>cus_ea78377525ac</t>
        </is>
      </c>
      <c r="E144" t="inlineStr">
        <is>
          <t>inv_eeeec23c36b3</t>
        </is>
      </c>
      <c r="F144" t="n">
        <v>125000</v>
      </c>
      <c r="G144" t="inlineStr"/>
      <c r="H144" t="inlineStr">
        <is>
          <t>來源：訂閱型發票及收款紀錄 第 192 列</t>
        </is>
      </c>
      <c r="I144" t="inlineStr">
        <is>
          <t>2026-05-18</t>
        </is>
      </c>
    </row>
    <row r="145">
      <c r="A145" t="inlineStr">
        <is>
          <t>pay_2d1db0f5c6ec</t>
        </is>
      </c>
      <c r="B145" t="inlineStr">
        <is>
          <t>思睿</t>
        </is>
      </c>
      <c r="C145" t="inlineStr">
        <is>
          <t>2023-12-28</t>
        </is>
      </c>
      <c r="D145" t="inlineStr">
        <is>
          <t>cus_ea78377525ac</t>
        </is>
      </c>
      <c r="E145" t="inlineStr">
        <is>
          <t>inv_f68e550c849c</t>
        </is>
      </c>
      <c r="F145" t="n">
        <v>125000</v>
      </c>
      <c r="G145" t="inlineStr"/>
      <c r="H145" t="inlineStr">
        <is>
          <t>來源：訂閱型發票及收款紀錄 第 193 列</t>
        </is>
      </c>
      <c r="I145" t="inlineStr">
        <is>
          <t>2026-05-18</t>
        </is>
      </c>
    </row>
    <row r="146">
      <c r="A146" t="inlineStr">
        <is>
          <t>pay_6172e9436b56</t>
        </is>
      </c>
      <c r="B146" t="inlineStr">
        <is>
          <t>思睿</t>
        </is>
      </c>
      <c r="C146" t="inlineStr">
        <is>
          <t>2023-11-30</t>
        </is>
      </c>
      <c r="D146" t="inlineStr">
        <is>
          <t>cus_ea78377525ac</t>
        </is>
      </c>
      <c r="E146" t="inlineStr">
        <is>
          <t>inv_7244f2cde43c</t>
        </is>
      </c>
      <c r="F146" t="n">
        <v>125000</v>
      </c>
      <c r="G146" t="inlineStr"/>
      <c r="H146" t="inlineStr">
        <is>
          <t>來源：訂閱型發票及收款紀錄 第 194 列</t>
        </is>
      </c>
      <c r="I146" t="inlineStr">
        <is>
          <t>2026-05-18</t>
        </is>
      </c>
    </row>
    <row r="147">
      <c r="A147" t="inlineStr">
        <is>
          <t>pay_b574f98021bd</t>
        </is>
      </c>
      <c r="B147" t="inlineStr">
        <is>
          <t>思睿</t>
        </is>
      </c>
      <c r="C147" t="inlineStr">
        <is>
          <t>2023-12-28</t>
        </is>
      </c>
      <c r="D147" t="inlineStr">
        <is>
          <t>cus_ea78377525ac</t>
        </is>
      </c>
      <c r="E147" t="inlineStr">
        <is>
          <t>inv_f82054901ce1</t>
        </is>
      </c>
      <c r="F147" t="n">
        <v>125000</v>
      </c>
      <c r="G147" t="inlineStr"/>
      <c r="H147" t="inlineStr">
        <is>
          <t>來源：訂閱型發票及收款紀錄 第 195 列</t>
        </is>
      </c>
      <c r="I147" t="inlineStr">
        <is>
          <t>2026-05-18</t>
        </is>
      </c>
    </row>
    <row r="148">
      <c r="A148" t="inlineStr">
        <is>
          <t>pay_fb7cc1632c43</t>
        </is>
      </c>
      <c r="B148" t="inlineStr">
        <is>
          <t>思睿</t>
        </is>
      </c>
      <c r="C148" t="inlineStr">
        <is>
          <t>2023-12-28</t>
        </is>
      </c>
      <c r="D148" t="inlineStr">
        <is>
          <t>cus_ea78377525ac</t>
        </is>
      </c>
      <c r="E148" t="inlineStr">
        <is>
          <t>inv_168229a314fb</t>
        </is>
      </c>
      <c r="F148" t="n">
        <v>125000</v>
      </c>
      <c r="G148" t="inlineStr"/>
      <c r="H148" t="inlineStr">
        <is>
          <t>來源：訂閱型發票及收款紀錄 第 196 列</t>
        </is>
      </c>
      <c r="I148" t="inlineStr">
        <is>
          <t>2026-05-18</t>
        </is>
      </c>
    </row>
    <row r="149">
      <c r="A149" t="inlineStr">
        <is>
          <t>pay_15eff047d5f2</t>
        </is>
      </c>
      <c r="B149" t="inlineStr">
        <is>
          <t>思睿</t>
        </is>
      </c>
      <c r="C149" t="inlineStr">
        <is>
          <t>2024-01-31</t>
        </is>
      </c>
      <c r="D149" t="inlineStr">
        <is>
          <t>cus_ea78377525ac</t>
        </is>
      </c>
      <c r="E149" t="inlineStr">
        <is>
          <t>inv_25df088f5607</t>
        </is>
      </c>
      <c r="F149" t="n">
        <v>125000</v>
      </c>
      <c r="G149" t="inlineStr"/>
      <c r="H149" t="inlineStr">
        <is>
          <t>來源：訂閱型發票及收款紀錄 第 197 列</t>
        </is>
      </c>
      <c r="I149" t="inlineStr">
        <is>
          <t>2026-05-18</t>
        </is>
      </c>
    </row>
    <row r="150">
      <c r="A150" t="inlineStr">
        <is>
          <t>pay_e9f0e606817e</t>
        </is>
      </c>
      <c r="B150" t="inlineStr">
        <is>
          <t>Cobi</t>
        </is>
      </c>
      <c r="C150" t="inlineStr">
        <is>
          <t>2024-03-01</t>
        </is>
      </c>
      <c r="D150" t="inlineStr">
        <is>
          <t>cus_ea78377525ac</t>
        </is>
      </c>
      <c r="E150" t="inlineStr">
        <is>
          <t>inv_2607392a89a4</t>
        </is>
      </c>
      <c r="F150" t="n">
        <v>125000</v>
      </c>
      <c r="G150" t="inlineStr"/>
      <c r="H150" t="inlineStr">
        <is>
          <t>來源：訂閱型發票及收款紀錄 第 198 列</t>
        </is>
      </c>
      <c r="I150" t="inlineStr">
        <is>
          <t>2026-05-18</t>
        </is>
      </c>
    </row>
    <row r="151">
      <c r="A151" t="inlineStr">
        <is>
          <t>pay_d8b707936903</t>
        </is>
      </c>
      <c r="B151" t="inlineStr">
        <is>
          <t>Cobi</t>
        </is>
      </c>
      <c r="C151" t="inlineStr">
        <is>
          <t>2024-03-29</t>
        </is>
      </c>
      <c r="D151" t="inlineStr">
        <is>
          <t>cus_ea78377525ac</t>
        </is>
      </c>
      <c r="E151" t="inlineStr">
        <is>
          <t>inv_cad6da919447</t>
        </is>
      </c>
      <c r="F151" t="n">
        <v>125000</v>
      </c>
      <c r="G151" t="inlineStr"/>
      <c r="H151" t="inlineStr">
        <is>
          <t>來源：訂閱型發票及收款紀錄 第 199 列</t>
        </is>
      </c>
      <c r="I151" t="inlineStr">
        <is>
          <t>2026-05-18</t>
        </is>
      </c>
    </row>
    <row r="152">
      <c r="A152" t="inlineStr">
        <is>
          <t>pay_1a90ca32809a</t>
        </is>
      </c>
      <c r="B152" t="inlineStr">
        <is>
          <t>Cobi</t>
        </is>
      </c>
      <c r="C152" t="inlineStr">
        <is>
          <t>2024-04-30</t>
        </is>
      </c>
      <c r="D152" t="inlineStr">
        <is>
          <t>cus_ea78377525ac</t>
        </is>
      </c>
      <c r="E152" t="inlineStr">
        <is>
          <t>inv_46148b977afd</t>
        </is>
      </c>
      <c r="F152" t="n">
        <v>125000</v>
      </c>
      <c r="G152" t="inlineStr"/>
      <c r="H152" t="inlineStr">
        <is>
          <t>來源：訂閱型發票及收款紀錄 第 200 列</t>
        </is>
      </c>
      <c r="I152" t="inlineStr">
        <is>
          <t>2026-05-18</t>
        </is>
      </c>
    </row>
    <row r="153">
      <c r="A153" t="inlineStr">
        <is>
          <t>pay_852e0252ebe2</t>
        </is>
      </c>
      <c r="B153" t="inlineStr">
        <is>
          <t>Cobi</t>
        </is>
      </c>
      <c r="C153" t="inlineStr">
        <is>
          <t>2024-05-31</t>
        </is>
      </c>
      <c r="D153" t="inlineStr">
        <is>
          <t>cus_ea78377525ac</t>
        </is>
      </c>
      <c r="E153" t="inlineStr">
        <is>
          <t>inv_61b6840b3a88</t>
        </is>
      </c>
      <c r="F153" t="n">
        <v>125000</v>
      </c>
      <c r="G153" t="inlineStr"/>
      <c r="H153" t="inlineStr">
        <is>
          <t>來源：訂閱型發票及收款紀錄 第 201 列</t>
        </is>
      </c>
      <c r="I153" t="inlineStr">
        <is>
          <t>2026-05-18</t>
        </is>
      </c>
    </row>
    <row r="154">
      <c r="A154" t="inlineStr">
        <is>
          <t>pay_b25507e39529</t>
        </is>
      </c>
      <c r="B154" t="inlineStr">
        <is>
          <t>Cobi</t>
        </is>
      </c>
      <c r="C154" t="inlineStr">
        <is>
          <t>2024-07-31</t>
        </is>
      </c>
      <c r="D154" t="inlineStr">
        <is>
          <t>cus_ea78377525ac</t>
        </is>
      </c>
      <c r="E154" t="inlineStr">
        <is>
          <t>inv_57fadbb14183</t>
        </is>
      </c>
      <c r="F154" t="n">
        <v>125000</v>
      </c>
      <c r="G154" t="inlineStr"/>
      <c r="H154" t="inlineStr">
        <is>
          <t>來源：訂閱型發票及收款紀錄 第 202 列</t>
        </is>
      </c>
      <c r="I154" t="inlineStr">
        <is>
          <t>2026-05-18</t>
        </is>
      </c>
    </row>
    <row r="155">
      <c r="A155" t="inlineStr">
        <is>
          <t>pay_2cfc6d86d12c</t>
        </is>
      </c>
      <c r="B155" t="inlineStr">
        <is>
          <t>Cobi</t>
        </is>
      </c>
      <c r="C155" t="inlineStr">
        <is>
          <t>2024-09-02</t>
        </is>
      </c>
      <c r="D155" t="inlineStr">
        <is>
          <t>cus_ea78377525ac</t>
        </is>
      </c>
      <c r="E155" t="inlineStr">
        <is>
          <t>inv_fd2d72383dc4</t>
        </is>
      </c>
      <c r="F155" t="n">
        <v>125000</v>
      </c>
      <c r="G155" t="inlineStr"/>
      <c r="H155" t="inlineStr">
        <is>
          <t>來源：訂閱型發票及收款紀錄 第 203 列</t>
        </is>
      </c>
      <c r="I155" t="inlineStr">
        <is>
          <t>2026-05-18</t>
        </is>
      </c>
    </row>
    <row r="156">
      <c r="A156" t="inlineStr">
        <is>
          <t>pay_46d0198f56af</t>
        </is>
      </c>
      <c r="B156" t="inlineStr">
        <is>
          <t>Cobi</t>
        </is>
      </c>
      <c r="C156" t="inlineStr">
        <is>
          <t>2024-09-02</t>
        </is>
      </c>
      <c r="D156" t="inlineStr">
        <is>
          <t>cus_ea78377525ac</t>
        </is>
      </c>
      <c r="E156" t="inlineStr">
        <is>
          <t>inv_c36d5cb61ca7</t>
        </is>
      </c>
      <c r="F156" t="n">
        <v>125000</v>
      </c>
      <c r="G156" t="inlineStr"/>
      <c r="H156" t="inlineStr">
        <is>
          <t>來源：訂閱型發票及收款紀錄 第 204 列</t>
        </is>
      </c>
      <c r="I156" t="inlineStr">
        <is>
          <t>2026-05-18</t>
        </is>
      </c>
    </row>
    <row r="157">
      <c r="A157" t="inlineStr">
        <is>
          <t>pay_0ddd675b8716</t>
        </is>
      </c>
      <c r="B157" t="inlineStr">
        <is>
          <t>Cobi</t>
        </is>
      </c>
      <c r="C157" t="inlineStr">
        <is>
          <t>2024-09-30</t>
        </is>
      </c>
      <c r="D157" t="inlineStr">
        <is>
          <t>cus_ea78377525ac</t>
        </is>
      </c>
      <c r="E157" t="inlineStr">
        <is>
          <t>inv_5944e6090014</t>
        </is>
      </c>
      <c r="F157" t="n">
        <v>125000</v>
      </c>
      <c r="G157" t="inlineStr"/>
      <c r="H157" t="inlineStr">
        <is>
          <t>來源：訂閱型發票及收款紀錄 第 205 列</t>
        </is>
      </c>
      <c r="I157" t="inlineStr">
        <is>
          <t>2026-05-18</t>
        </is>
      </c>
    </row>
    <row r="158">
      <c r="A158" t="inlineStr">
        <is>
          <t>pay_42c0b1df4db9</t>
        </is>
      </c>
      <c r="B158" t="inlineStr">
        <is>
          <t>Cobi</t>
        </is>
      </c>
      <c r="C158" t="inlineStr">
        <is>
          <t>2024-10-31</t>
        </is>
      </c>
      <c r="D158" t="inlineStr">
        <is>
          <t>cus_ea78377525ac</t>
        </is>
      </c>
      <c r="E158" t="inlineStr">
        <is>
          <t>inv_e0106a135aae</t>
        </is>
      </c>
      <c r="F158" t="n">
        <v>125000</v>
      </c>
      <c r="G158" t="inlineStr"/>
      <c r="H158" t="inlineStr">
        <is>
          <t>來源：訂閱型發票及收款紀錄 第 206 列</t>
        </is>
      </c>
      <c r="I158" t="inlineStr">
        <is>
          <t>2026-05-18</t>
        </is>
      </c>
    </row>
    <row r="159">
      <c r="A159" t="inlineStr">
        <is>
          <t>pay_1b85b18c5854</t>
        </is>
      </c>
      <c r="B159" t="inlineStr">
        <is>
          <t>Cobi</t>
        </is>
      </c>
      <c r="C159" t="inlineStr">
        <is>
          <t>2024-11-29</t>
        </is>
      </c>
      <c r="D159" t="inlineStr">
        <is>
          <t>cus_ea78377525ac</t>
        </is>
      </c>
      <c r="E159" t="inlineStr">
        <is>
          <t>inv_70f1cac5653f</t>
        </is>
      </c>
      <c r="F159" t="n">
        <v>125000</v>
      </c>
      <c r="G159" t="inlineStr"/>
      <c r="H159" t="inlineStr">
        <is>
          <t>來源：訂閱型發票及收款紀錄 第 207 列</t>
        </is>
      </c>
      <c r="I159" t="inlineStr">
        <is>
          <t>2026-05-18</t>
        </is>
      </c>
    </row>
    <row r="160">
      <c r="A160" t="inlineStr">
        <is>
          <t>pay_f222115a5dd8</t>
        </is>
      </c>
      <c r="B160" t="inlineStr">
        <is>
          <t>許瀞鍶</t>
        </is>
      </c>
      <c r="C160" t="inlineStr">
        <is>
          <t>2024-12-31</t>
        </is>
      </c>
      <c r="D160" t="inlineStr">
        <is>
          <t>cus_ea78377525ac</t>
        </is>
      </c>
      <c r="E160" t="inlineStr">
        <is>
          <t>inv_89f663061d29</t>
        </is>
      </c>
      <c r="F160" t="n">
        <v>125000</v>
      </c>
      <c r="G160" t="inlineStr"/>
      <c r="H160" t="inlineStr">
        <is>
          <t>來源：訂閱型發票及收款紀錄 第 208 列</t>
        </is>
      </c>
      <c r="I160" t="inlineStr">
        <is>
          <t>2026-05-18</t>
        </is>
      </c>
    </row>
    <row r="161">
      <c r="A161" t="inlineStr">
        <is>
          <t>pay_4f358f95bea4</t>
        </is>
      </c>
      <c r="B161" t="inlineStr">
        <is>
          <t>許瀞鍶</t>
        </is>
      </c>
      <c r="C161" t="inlineStr">
        <is>
          <t>2025-02-03</t>
        </is>
      </c>
      <c r="D161" t="inlineStr">
        <is>
          <t>cus_ea78377525ac</t>
        </is>
      </c>
      <c r="E161" t="inlineStr">
        <is>
          <t>inv_3e880d6602de</t>
        </is>
      </c>
      <c r="F161" t="n">
        <v>125000</v>
      </c>
      <c r="G161" t="inlineStr"/>
      <c r="H161" t="inlineStr">
        <is>
          <t>來源：訂閱型發票及收款紀錄 第 209 列</t>
        </is>
      </c>
      <c r="I161" t="inlineStr">
        <is>
          <t>2026-05-18</t>
        </is>
      </c>
    </row>
    <row r="162">
      <c r="A162" t="inlineStr">
        <is>
          <t>pay_19bd5bb38f8c</t>
        </is>
      </c>
      <c r="B162" t="inlineStr">
        <is>
          <t>許瀞鍶</t>
        </is>
      </c>
      <c r="C162" t="inlineStr">
        <is>
          <t>2025-02-28</t>
        </is>
      </c>
      <c r="D162" t="inlineStr">
        <is>
          <t>cus_ea78377525ac</t>
        </is>
      </c>
      <c r="E162" t="inlineStr">
        <is>
          <t>inv_202cf702b51a</t>
        </is>
      </c>
      <c r="F162" t="n">
        <v>125000</v>
      </c>
      <c r="G162" t="inlineStr"/>
      <c r="H162" t="inlineStr">
        <is>
          <t>來源：訂閱型發票及收款紀錄 第 210 列</t>
        </is>
      </c>
      <c r="I162" t="inlineStr">
        <is>
          <t>2026-05-18</t>
        </is>
      </c>
    </row>
    <row r="163">
      <c r="A163" t="inlineStr">
        <is>
          <t>pay_17881a824d84</t>
        </is>
      </c>
      <c r="B163" t="inlineStr">
        <is>
          <t>許瀞鍶</t>
        </is>
      </c>
      <c r="C163" t="inlineStr">
        <is>
          <t>2025-03-31</t>
        </is>
      </c>
      <c r="D163" t="inlineStr">
        <is>
          <t>cus_ea78377525ac</t>
        </is>
      </c>
      <c r="E163" t="inlineStr">
        <is>
          <t>inv_b09b9de6e951</t>
        </is>
      </c>
      <c r="F163" t="n">
        <v>125000</v>
      </c>
      <c r="G163" t="inlineStr"/>
      <c r="H163" t="inlineStr">
        <is>
          <t>來源：訂閱型發票及收款紀錄 第 211 列</t>
        </is>
      </c>
      <c r="I163" t="inlineStr">
        <is>
          <t>2026-05-18</t>
        </is>
      </c>
    </row>
    <row r="164">
      <c r="A164" t="inlineStr">
        <is>
          <t>pay_0159dee235ff</t>
        </is>
      </c>
      <c r="B164" t="inlineStr">
        <is>
          <t>許瀞鍶</t>
        </is>
      </c>
      <c r="C164" t="inlineStr">
        <is>
          <t>2025-04-30</t>
        </is>
      </c>
      <c r="D164" t="inlineStr">
        <is>
          <t>cus_ea78377525ac</t>
        </is>
      </c>
      <c r="E164" t="inlineStr">
        <is>
          <t>inv_a05a9a7fe913</t>
        </is>
      </c>
      <c r="F164" t="n">
        <v>125000</v>
      </c>
      <c r="G164" t="inlineStr"/>
      <c r="H164" t="inlineStr">
        <is>
          <t>來源：訂閱型發票及收款紀錄 第 212 列</t>
        </is>
      </c>
      <c r="I164" t="inlineStr">
        <is>
          <t>2026-05-18</t>
        </is>
      </c>
    </row>
    <row r="165">
      <c r="A165" t="inlineStr">
        <is>
          <t>pay_393f7e5aa64f</t>
        </is>
      </c>
      <c r="B165" t="inlineStr">
        <is>
          <t>許瀞鍶</t>
        </is>
      </c>
      <c r="C165" t="inlineStr">
        <is>
          <t>2025-05-29</t>
        </is>
      </c>
      <c r="D165" t="inlineStr">
        <is>
          <t>cus_ea78377525ac</t>
        </is>
      </c>
      <c r="E165" t="inlineStr">
        <is>
          <t>inv_c18de629e0b8</t>
        </is>
      </c>
      <c r="F165" t="n">
        <v>125000</v>
      </c>
      <c r="G165" t="inlineStr"/>
      <c r="H165" t="inlineStr">
        <is>
          <t>來源：訂閱型發票及收款紀錄 第 213 列</t>
        </is>
      </c>
      <c r="I165" t="inlineStr">
        <is>
          <t>2026-05-18</t>
        </is>
      </c>
    </row>
    <row r="166">
      <c r="A166" t="inlineStr">
        <is>
          <t>pay_8c79ac5ed331</t>
        </is>
      </c>
      <c r="B166" t="inlineStr">
        <is>
          <t>許瀞鍶</t>
        </is>
      </c>
      <c r="C166" t="inlineStr">
        <is>
          <t>2025-06-30</t>
        </is>
      </c>
      <c r="D166" t="inlineStr">
        <is>
          <t>cus_ea78377525ac</t>
        </is>
      </c>
      <c r="E166" t="inlineStr">
        <is>
          <t>inv_3893d27f1f67</t>
        </is>
      </c>
      <c r="F166" t="n">
        <v>125000</v>
      </c>
      <c r="G166" t="inlineStr"/>
      <c r="H166" t="inlineStr">
        <is>
          <t>來源：訂閱型發票及收款紀錄 第 214 列</t>
        </is>
      </c>
      <c r="I166" t="inlineStr">
        <is>
          <t>2026-05-18</t>
        </is>
      </c>
    </row>
    <row r="167">
      <c r="A167" t="inlineStr">
        <is>
          <t>pay_bf56898fd904</t>
        </is>
      </c>
      <c r="B167" t="inlineStr">
        <is>
          <t>許瀞鍶</t>
        </is>
      </c>
      <c r="C167" t="inlineStr">
        <is>
          <t>2025-09-01</t>
        </is>
      </c>
      <c r="D167" t="inlineStr">
        <is>
          <t>cus_ea78377525ac</t>
        </is>
      </c>
      <c r="E167" t="inlineStr">
        <is>
          <t>inv_f8eb20dab06d</t>
        </is>
      </c>
      <c r="F167" t="n">
        <v>125000</v>
      </c>
      <c r="G167" t="inlineStr"/>
      <c r="H167" t="inlineStr">
        <is>
          <t>來源：訂閱型發票及收款紀錄 第 215 列</t>
        </is>
      </c>
      <c r="I167" t="inlineStr">
        <is>
          <t>2026-05-18</t>
        </is>
      </c>
    </row>
    <row r="168">
      <c r="A168" t="inlineStr">
        <is>
          <t>pay_7b80213dc750</t>
        </is>
      </c>
      <c r="B168" t="inlineStr">
        <is>
          <t>許瀞鍶</t>
        </is>
      </c>
      <c r="C168" t="inlineStr">
        <is>
          <t>2025-10-01</t>
        </is>
      </c>
      <c r="D168" t="inlineStr">
        <is>
          <t>cus_ea78377525ac</t>
        </is>
      </c>
      <c r="E168" t="inlineStr">
        <is>
          <t>inv_4c5354c09c43</t>
        </is>
      </c>
      <c r="F168" t="n">
        <v>131250</v>
      </c>
      <c r="G168" t="inlineStr"/>
      <c r="H168" t="inlineStr">
        <is>
          <t>來源：訂閱型發票及收款紀錄 第 216 列</t>
        </is>
      </c>
      <c r="I168" t="inlineStr">
        <is>
          <t>2026-05-18</t>
        </is>
      </c>
    </row>
    <row r="169">
      <c r="A169" t="inlineStr">
        <is>
          <t>pay_a5b56f5e9b0c</t>
        </is>
      </c>
      <c r="B169" t="inlineStr">
        <is>
          <t>許瀞鍶</t>
        </is>
      </c>
      <c r="C169" t="inlineStr">
        <is>
          <t>2025-11-05</t>
        </is>
      </c>
      <c r="D169" t="inlineStr">
        <is>
          <t>cus_ea78377525ac</t>
        </is>
      </c>
      <c r="E169" t="inlineStr">
        <is>
          <t>inv_0c3d8ea7c34f</t>
        </is>
      </c>
      <c r="F169" t="n">
        <v>131250</v>
      </c>
      <c r="G169" t="inlineStr"/>
      <c r="H169" t="inlineStr">
        <is>
          <t>來源：訂閱型發票及收款紀錄 第 217 列</t>
        </is>
      </c>
      <c r="I169" t="inlineStr">
        <is>
          <t>2026-05-18</t>
        </is>
      </c>
    </row>
    <row r="170">
      <c r="A170" t="inlineStr">
        <is>
          <t>pay_91d501d143fe</t>
        </is>
      </c>
      <c r="B170" t="inlineStr">
        <is>
          <t>許瀞鍶</t>
        </is>
      </c>
      <c r="C170" t="inlineStr">
        <is>
          <t>2025-12-31</t>
        </is>
      </c>
      <c r="D170" t="inlineStr">
        <is>
          <t>cus_ea78377525ac</t>
        </is>
      </c>
      <c r="E170" t="inlineStr">
        <is>
          <t>inv_9158fbbfb02c</t>
        </is>
      </c>
      <c r="F170" t="n">
        <v>131250</v>
      </c>
      <c r="G170" t="inlineStr"/>
      <c r="H170" t="inlineStr">
        <is>
          <t>來源：訂閱型發票及收款紀錄 第 218 列</t>
        </is>
      </c>
      <c r="I170" t="inlineStr">
        <is>
          <t>2026-05-18</t>
        </is>
      </c>
    </row>
    <row r="171">
      <c r="A171" t="inlineStr">
        <is>
          <t>pay_097193a3c9f9</t>
        </is>
      </c>
      <c r="B171" t="inlineStr">
        <is>
          <t>許瀞鍶</t>
        </is>
      </c>
      <c r="C171" t="inlineStr">
        <is>
          <t>2026-01-30</t>
        </is>
      </c>
      <c r="D171" t="inlineStr">
        <is>
          <t>cus_ea78377525ac</t>
        </is>
      </c>
      <c r="E171" t="inlineStr">
        <is>
          <t>inv_192bb8da4ddf</t>
        </is>
      </c>
      <c r="F171" t="n">
        <v>131250</v>
      </c>
      <c r="G171" t="inlineStr"/>
      <c r="H171" t="inlineStr">
        <is>
          <t>來源：訂閱型發票及收款紀錄 第 219 列</t>
        </is>
      </c>
      <c r="I171" t="inlineStr">
        <is>
          <t>2026-05-18</t>
        </is>
      </c>
    </row>
    <row r="172">
      <c r="A172" t="inlineStr">
        <is>
          <t>pay_774a1c9b3733</t>
        </is>
      </c>
      <c r="B172" t="inlineStr">
        <is>
          <t>許瀞鍶</t>
        </is>
      </c>
      <c r="C172" t="inlineStr">
        <is>
          <t>2026-03-02</t>
        </is>
      </c>
      <c r="D172" t="inlineStr">
        <is>
          <t>cus_ea78377525ac</t>
        </is>
      </c>
      <c r="E172" t="inlineStr">
        <is>
          <t>inv_c10b2dd71fc1</t>
        </is>
      </c>
      <c r="F172" t="n">
        <v>131250</v>
      </c>
      <c r="G172" t="inlineStr"/>
      <c r="H172" t="inlineStr">
        <is>
          <t>來源：訂閱型發票及收款紀錄 第 220 列</t>
        </is>
      </c>
      <c r="I172" t="inlineStr">
        <is>
          <t>2026-05-18</t>
        </is>
      </c>
    </row>
    <row r="173">
      <c r="A173" t="inlineStr">
        <is>
          <t>pay_753e384a33c3</t>
        </is>
      </c>
      <c r="B173" t="inlineStr">
        <is>
          <t>許瀞鍶</t>
        </is>
      </c>
      <c r="C173" t="inlineStr">
        <is>
          <t>2026-03-30</t>
        </is>
      </c>
      <c r="D173" t="inlineStr">
        <is>
          <t>cus_ea78377525ac</t>
        </is>
      </c>
      <c r="E173" t="inlineStr">
        <is>
          <t>inv_eb67e31220d3</t>
        </is>
      </c>
      <c r="F173" t="n">
        <v>131250</v>
      </c>
      <c r="G173" t="inlineStr"/>
      <c r="H173" t="inlineStr">
        <is>
          <t>來源：訂閱型發票及收款紀錄 第 221 列</t>
        </is>
      </c>
      <c r="I173" t="inlineStr">
        <is>
          <t>2026-05-18</t>
        </is>
      </c>
    </row>
    <row r="174">
      <c r="A174" t="inlineStr">
        <is>
          <t>pay_57fc1003abd2</t>
        </is>
      </c>
      <c r="B174" t="inlineStr">
        <is>
          <t>許瀞鍶</t>
        </is>
      </c>
      <c r="C174" t="inlineStr">
        <is>
          <t>2026-04-30</t>
        </is>
      </c>
      <c r="D174" t="inlineStr">
        <is>
          <t>cus_ea78377525ac</t>
        </is>
      </c>
      <c r="E174" t="inlineStr">
        <is>
          <t>inv_419247f660f2</t>
        </is>
      </c>
      <c r="F174" t="n">
        <v>131250</v>
      </c>
      <c r="G174" t="inlineStr"/>
      <c r="H174" t="inlineStr">
        <is>
          <t>來源：訂閱型發票及收款紀錄 第 222 列</t>
        </is>
      </c>
      <c r="I174" t="inlineStr">
        <is>
          <t>2026-05-18</t>
        </is>
      </c>
    </row>
    <row r="175">
      <c r="A175" t="inlineStr">
        <is>
          <t>pay_d3d194af6201</t>
        </is>
      </c>
      <c r="B175" t="inlineStr">
        <is>
          <t>Cobi</t>
        </is>
      </c>
      <c r="C175" t="inlineStr">
        <is>
          <t>2024-11-29</t>
        </is>
      </c>
      <c r="D175" t="inlineStr">
        <is>
          <t>cus_728435a6d937</t>
        </is>
      </c>
      <c r="E175" t="inlineStr">
        <is>
          <t>inv_33b253bcdfe0</t>
        </is>
      </c>
      <c r="F175" t="n">
        <v>420000</v>
      </c>
      <c r="G175" t="inlineStr"/>
      <c r="H175" t="inlineStr">
        <is>
          <t>來源：訂閱型發票及收款紀錄 第 230 列</t>
        </is>
      </c>
      <c r="I175" t="inlineStr">
        <is>
          <t>2026-05-18</t>
        </is>
      </c>
    </row>
    <row r="176">
      <c r="A176" t="inlineStr">
        <is>
          <t>pay_6a0ec6477b03</t>
        </is>
      </c>
      <c r="B176" t="inlineStr">
        <is>
          <t>Cobi</t>
        </is>
      </c>
      <c r="C176" t="inlineStr">
        <is>
          <t>2024-12-31</t>
        </is>
      </c>
      <c r="D176" t="inlineStr">
        <is>
          <t>cus_728435a6d937</t>
        </is>
      </c>
      <c r="E176" t="inlineStr">
        <is>
          <t>inv_94d947d234bd</t>
        </is>
      </c>
      <c r="F176" t="n">
        <v>420000</v>
      </c>
      <c r="G176" t="inlineStr"/>
      <c r="H176" t="inlineStr">
        <is>
          <t>來源：訂閱型發票及收款紀錄 第 231 列</t>
        </is>
      </c>
      <c r="I176" t="inlineStr">
        <is>
          <t>2026-05-18</t>
        </is>
      </c>
    </row>
    <row r="177">
      <c r="A177" t="inlineStr">
        <is>
          <t>pay_08dc88e0326f</t>
        </is>
      </c>
      <c r="B177" t="inlineStr">
        <is>
          <t>Cobi</t>
        </is>
      </c>
      <c r="C177" t="inlineStr">
        <is>
          <t>2025-03-31</t>
        </is>
      </c>
      <c r="D177" t="inlineStr">
        <is>
          <t>cus_728435a6d937</t>
        </is>
      </c>
      <c r="E177" t="inlineStr">
        <is>
          <t>inv_d618eb94f76e</t>
        </is>
      </c>
      <c r="F177" t="n">
        <v>420000</v>
      </c>
      <c r="G177" t="inlineStr"/>
      <c r="H177" t="inlineStr">
        <is>
          <t>來源：訂閱型發票及收款紀錄 第 232 列</t>
        </is>
      </c>
      <c r="I177" t="inlineStr">
        <is>
          <t>2026-05-18</t>
        </is>
      </c>
    </row>
    <row r="178">
      <c r="A178" t="inlineStr">
        <is>
          <t>pay_3d6532794b00</t>
        </is>
      </c>
      <c r="B178" t="inlineStr">
        <is>
          <t>Cobi</t>
        </is>
      </c>
      <c r="C178" t="inlineStr">
        <is>
          <t>2025-07-31</t>
        </is>
      </c>
      <c r="D178" t="inlineStr">
        <is>
          <t>cus_728435a6d937</t>
        </is>
      </c>
      <c r="E178" t="inlineStr">
        <is>
          <t>inv_21a0e2f1107e</t>
        </is>
      </c>
      <c r="F178" t="n">
        <v>420000</v>
      </c>
      <c r="G178" t="inlineStr"/>
      <c r="H178" t="inlineStr">
        <is>
          <t>來源：訂閱型發票及收款紀錄 第 233 列</t>
        </is>
      </c>
      <c r="I178" t="inlineStr">
        <is>
          <t>2026-05-18</t>
        </is>
      </c>
    </row>
    <row r="179">
      <c r="A179" t="inlineStr">
        <is>
          <t>pay_35ff0b9555b3</t>
        </is>
      </c>
      <c r="B179" t="inlineStr">
        <is>
          <t>許瀞鍶</t>
        </is>
      </c>
      <c r="C179" t="inlineStr">
        <is>
          <t>2025-12-31</t>
        </is>
      </c>
      <c r="D179" t="inlineStr">
        <is>
          <t>cus_728435a6d937</t>
        </is>
      </c>
      <c r="E179" t="inlineStr">
        <is>
          <t>inv_a01a9d466756</t>
        </is>
      </c>
      <c r="F179" t="n">
        <v>600000</v>
      </c>
      <c r="G179" t="inlineStr"/>
      <c r="H179" t="inlineStr">
        <is>
          <t>來源：訂閱型發票及收款紀錄 第 234 列</t>
        </is>
      </c>
      <c r="I179" t="inlineStr">
        <is>
          <t>2026-05-18</t>
        </is>
      </c>
    </row>
    <row r="180">
      <c r="A180" t="inlineStr">
        <is>
          <t>pay_04371902d77e</t>
        </is>
      </c>
      <c r="B180" t="inlineStr">
        <is>
          <t>許瀞鍶</t>
        </is>
      </c>
      <c r="C180" t="inlineStr">
        <is>
          <t>11/18作廢</t>
        </is>
      </c>
      <c r="D180" t="inlineStr">
        <is>
          <t>cus_728435a6d937</t>
        </is>
      </c>
      <c r="E180" t="inlineStr">
        <is>
          <t>inv_f89427587e72</t>
        </is>
      </c>
      <c r="F180" t="n">
        <v>600000</v>
      </c>
      <c r="G180" t="inlineStr"/>
      <c r="H180" t="inlineStr">
        <is>
          <t>來源：訂閱型發票及收款紀錄 第 235 列</t>
        </is>
      </c>
      <c r="I180" t="inlineStr">
        <is>
          <t>2026-05-18</t>
        </is>
      </c>
    </row>
    <row r="181">
      <c r="A181" t="inlineStr">
        <is>
          <t>pay_41cc40c2c1ec</t>
        </is>
      </c>
      <c r="B181" t="inlineStr">
        <is>
          <t>許瀞鍶</t>
        </is>
      </c>
      <c r="C181" t="inlineStr">
        <is>
          <t>2025-12-31</t>
        </is>
      </c>
      <c r="D181" t="inlineStr">
        <is>
          <t>cus_728435a6d937</t>
        </is>
      </c>
      <c r="E181" t="inlineStr">
        <is>
          <t>inv_94cad18f419f</t>
        </is>
      </c>
      <c r="F181" t="n">
        <v>30000</v>
      </c>
      <c r="G181" t="inlineStr"/>
      <c r="H181" t="inlineStr">
        <is>
          <t>來源：訂閱型發票及收款紀錄 第 236 列</t>
        </is>
      </c>
      <c r="I181" t="inlineStr">
        <is>
          <t>2026-05-18</t>
        </is>
      </c>
    </row>
    <row r="182">
      <c r="A182" t="inlineStr">
        <is>
          <t>pay_f715387d9563</t>
        </is>
      </c>
      <c r="B182" t="inlineStr">
        <is>
          <t>Erin</t>
        </is>
      </c>
      <c r="C182" t="inlineStr">
        <is>
          <t>2025-12-24</t>
        </is>
      </c>
      <c r="D182" t="inlineStr">
        <is>
          <t>cus_4351be6be044</t>
        </is>
      </c>
      <c r="E182" t="inlineStr">
        <is>
          <t>inv_0d17a95f67ef</t>
        </is>
      </c>
      <c r="F182" t="n">
        <v>157500</v>
      </c>
      <c r="G182" t="inlineStr"/>
      <c r="H182" t="inlineStr">
        <is>
          <t>來源：訂閱型發票及收款紀錄 第 254 列</t>
        </is>
      </c>
      <c r="I182" t="inlineStr">
        <is>
          <t>2026-05-18</t>
        </is>
      </c>
    </row>
    <row r="183">
      <c r="A183" t="inlineStr">
        <is>
          <t>pay_fea30e0ba32a</t>
        </is>
      </c>
      <c r="B183" t="inlineStr">
        <is>
          <t>Erin</t>
        </is>
      </c>
      <c r="C183" t="inlineStr">
        <is>
          <t>2026-01-23</t>
        </is>
      </c>
      <c r="D183" t="inlineStr">
        <is>
          <t>cus_4351be6be044</t>
        </is>
      </c>
      <c r="E183" t="inlineStr">
        <is>
          <t>inv_194dbee05aca</t>
        </is>
      </c>
      <c r="F183" t="n">
        <v>157500</v>
      </c>
      <c r="G183" t="inlineStr"/>
      <c r="H183" t="inlineStr">
        <is>
          <t>來源：訂閱型發票及收款紀錄 第 255 列</t>
        </is>
      </c>
      <c r="I183" t="inlineStr">
        <is>
          <t>2026-05-18</t>
        </is>
      </c>
    </row>
    <row r="184">
      <c r="A184" t="inlineStr">
        <is>
          <t>pay_c91892591676</t>
        </is>
      </c>
      <c r="B184" t="inlineStr">
        <is>
          <t>Erin</t>
        </is>
      </c>
      <c r="C184" t="inlineStr">
        <is>
          <t>2026-02-25</t>
        </is>
      </c>
      <c r="D184" t="inlineStr">
        <is>
          <t>cus_4351be6be044</t>
        </is>
      </c>
      <c r="E184" t="inlineStr">
        <is>
          <t>inv_93d9d4d9dca6</t>
        </is>
      </c>
      <c r="F184" t="n">
        <v>157500</v>
      </c>
      <c r="G184" t="inlineStr"/>
      <c r="H184" t="inlineStr">
        <is>
          <t>來源：訂閱型發票及收款紀錄 第 256 列</t>
        </is>
      </c>
      <c r="I184" t="inlineStr">
        <is>
          <t>2026-05-18</t>
        </is>
      </c>
    </row>
    <row r="185">
      <c r="A185" t="inlineStr">
        <is>
          <t>pay_9bacd86ea39d</t>
        </is>
      </c>
      <c r="B185" t="inlineStr">
        <is>
          <t>Erin</t>
        </is>
      </c>
      <c r="C185" t="inlineStr">
        <is>
          <t>2026-03-25</t>
        </is>
      </c>
      <c r="D185" t="inlineStr">
        <is>
          <t>cus_4351be6be044</t>
        </is>
      </c>
      <c r="E185" t="inlineStr">
        <is>
          <t>inv_db50adc3ff72</t>
        </is>
      </c>
      <c r="F185" t="n">
        <v>157500</v>
      </c>
      <c r="G185" t="inlineStr"/>
      <c r="H185" t="inlineStr">
        <is>
          <t>來源：訂閱型發票及收款紀錄 第 257 列</t>
        </is>
      </c>
      <c r="I185" t="inlineStr">
        <is>
          <t>2026-05-18</t>
        </is>
      </c>
    </row>
    <row r="186">
      <c r="A186" t="inlineStr">
        <is>
          <t>pay_374009b60457</t>
        </is>
      </c>
      <c r="B186" t="inlineStr">
        <is>
          <t>Erin</t>
        </is>
      </c>
      <c r="C186" t="inlineStr">
        <is>
          <t>2026-04-24</t>
        </is>
      </c>
      <c r="D186" t="inlineStr">
        <is>
          <t>cus_4351be6be044</t>
        </is>
      </c>
      <c r="E186" t="inlineStr">
        <is>
          <t>inv_2e073d816837</t>
        </is>
      </c>
      <c r="F186" t="n">
        <v>136500</v>
      </c>
      <c r="G186" t="inlineStr"/>
      <c r="H186" t="inlineStr">
        <is>
          <t>來源：訂閱型發票及收款紀錄 第 258 列</t>
        </is>
      </c>
      <c r="I186" t="inlineStr">
        <is>
          <t>2026-05-18</t>
        </is>
      </c>
    </row>
    <row r="187">
      <c r="A187" t="inlineStr">
        <is>
          <t>pay_af91095eaa98</t>
        </is>
      </c>
      <c r="B187" t="inlineStr">
        <is>
          <t>Erin</t>
        </is>
      </c>
      <c r="C187" t="inlineStr">
        <is>
          <t>2025-04-30</t>
        </is>
      </c>
      <c r="D187" t="inlineStr">
        <is>
          <t>cus_4a584ce53c9f</t>
        </is>
      </c>
      <c r="E187" t="inlineStr">
        <is>
          <t>inv_5332c05ab170</t>
        </is>
      </c>
      <c r="F187" t="n">
        <v>157500</v>
      </c>
      <c r="G187" t="inlineStr"/>
      <c r="H187" t="inlineStr">
        <is>
          <t>來源：訂閱型發票及收款紀錄 第 280 列</t>
        </is>
      </c>
      <c r="I187" t="inlineStr">
        <is>
          <t>2026-05-18</t>
        </is>
      </c>
    </row>
    <row r="188">
      <c r="A188" t="inlineStr">
        <is>
          <t>pay_75b65532b5cb</t>
        </is>
      </c>
      <c r="B188" t="inlineStr">
        <is>
          <t>Kate</t>
        </is>
      </c>
      <c r="C188" t="inlineStr">
        <is>
          <t>2025-05-29</t>
        </is>
      </c>
      <c r="D188" t="inlineStr">
        <is>
          <t>cus_4a584ce53c9f</t>
        </is>
      </c>
      <c r="E188" t="inlineStr">
        <is>
          <t>inv_4dec9e28132a</t>
        </is>
      </c>
      <c r="F188" t="n">
        <v>157500</v>
      </c>
      <c r="G188" t="inlineStr"/>
      <c r="H188" t="inlineStr">
        <is>
          <t>來源：訂閱型發票及收款紀錄 第 281 列</t>
        </is>
      </c>
      <c r="I188" t="inlineStr">
        <is>
          <t>2026-05-18</t>
        </is>
      </c>
    </row>
    <row r="189">
      <c r="A189" t="inlineStr">
        <is>
          <t>pay_239dee7185fa</t>
        </is>
      </c>
      <c r="B189" t="inlineStr">
        <is>
          <t>Kate</t>
        </is>
      </c>
      <c r="C189" t="inlineStr">
        <is>
          <t>2025-06-30</t>
        </is>
      </c>
      <c r="D189" t="inlineStr">
        <is>
          <t>cus_4a584ce53c9f</t>
        </is>
      </c>
      <c r="E189" t="inlineStr">
        <is>
          <t>inv_fe8cec8a6c4a</t>
        </is>
      </c>
      <c r="F189" t="n">
        <v>157500</v>
      </c>
      <c r="G189" t="inlineStr"/>
      <c r="H189" t="inlineStr">
        <is>
          <t>來源：訂閱型發票及收款紀錄 第 282 列</t>
        </is>
      </c>
      <c r="I189" t="inlineStr">
        <is>
          <t>2026-05-18</t>
        </is>
      </c>
    </row>
    <row r="190">
      <c r="A190" t="inlineStr">
        <is>
          <t>pay_87bc83ece73d</t>
        </is>
      </c>
      <c r="B190" t="inlineStr">
        <is>
          <t>Kate</t>
        </is>
      </c>
      <c r="C190" t="inlineStr">
        <is>
          <t>2025-07-31</t>
        </is>
      </c>
      <c r="D190" t="inlineStr">
        <is>
          <t>cus_4a584ce53c9f</t>
        </is>
      </c>
      <c r="E190" t="inlineStr">
        <is>
          <t>inv_4b09aba97b04</t>
        </is>
      </c>
      <c r="F190" t="n">
        <v>157500</v>
      </c>
      <c r="G190" t="inlineStr"/>
      <c r="H190" t="inlineStr">
        <is>
          <t>來源：訂閱型發票及收款紀錄 第 283 列</t>
        </is>
      </c>
      <c r="I190" t="inlineStr">
        <is>
          <t>2026-05-18</t>
        </is>
      </c>
    </row>
    <row r="191">
      <c r="A191" t="inlineStr">
        <is>
          <t>pay_4a3e889adde3</t>
        </is>
      </c>
      <c r="B191" t="inlineStr">
        <is>
          <t>Kate</t>
        </is>
      </c>
      <c r="C191" t="inlineStr">
        <is>
          <t>2025-08-29</t>
        </is>
      </c>
      <c r="D191" t="inlineStr">
        <is>
          <t>cus_4a584ce53c9f</t>
        </is>
      </c>
      <c r="E191" t="inlineStr">
        <is>
          <t>inv_215d058a9b12</t>
        </is>
      </c>
      <c r="F191" t="n">
        <v>157500</v>
      </c>
      <c r="G191" t="inlineStr"/>
      <c r="H191" t="inlineStr">
        <is>
          <t>來源：訂閱型發票及收款紀錄 第 284 列</t>
        </is>
      </c>
      <c r="I191" t="inlineStr">
        <is>
          <t>2026-05-18</t>
        </is>
      </c>
    </row>
    <row r="192">
      <c r="A192" t="inlineStr">
        <is>
          <t>pay_2fbf8e1b7b4d</t>
        </is>
      </c>
      <c r="B192" t="inlineStr">
        <is>
          <t>Kate</t>
        </is>
      </c>
      <c r="C192" t="inlineStr">
        <is>
          <t>2025-09-30</t>
        </is>
      </c>
      <c r="D192" t="inlineStr">
        <is>
          <t>cus_4a584ce53c9f</t>
        </is>
      </c>
      <c r="E192" t="inlineStr">
        <is>
          <t>inv_f9f499dca3fa</t>
        </is>
      </c>
      <c r="F192" t="n">
        <v>157500</v>
      </c>
      <c r="G192" t="inlineStr"/>
      <c r="H192" t="inlineStr">
        <is>
          <t>來源：訂閱型發票及收款紀錄 第 285 列</t>
        </is>
      </c>
      <c r="I192" t="inlineStr">
        <is>
          <t>2026-05-18</t>
        </is>
      </c>
    </row>
    <row r="193">
      <c r="A193" t="inlineStr">
        <is>
          <t>pay_f64b4776d4d5</t>
        </is>
      </c>
      <c r="B193" t="inlineStr">
        <is>
          <t>Kate</t>
        </is>
      </c>
      <c r="C193" t="inlineStr">
        <is>
          <t>2025-10-31</t>
        </is>
      </c>
      <c r="D193" t="inlineStr">
        <is>
          <t>cus_4a584ce53c9f</t>
        </is>
      </c>
      <c r="E193" t="inlineStr">
        <is>
          <t>inv_b1ac36ca62fc</t>
        </is>
      </c>
      <c r="F193" t="n">
        <v>157500</v>
      </c>
      <c r="G193" t="inlineStr"/>
      <c r="H193" t="inlineStr">
        <is>
          <t>來源：訂閱型發票及收款紀錄 第 286 列</t>
        </is>
      </c>
      <c r="I193" t="inlineStr">
        <is>
          <t>2026-05-18</t>
        </is>
      </c>
    </row>
    <row r="194">
      <c r="A194" t="inlineStr">
        <is>
          <t>pay_ffe3cf4912cb</t>
        </is>
      </c>
      <c r="B194" t="inlineStr">
        <is>
          <t>Kate</t>
        </is>
      </c>
      <c r="C194" t="inlineStr">
        <is>
          <t>2025-11-28</t>
        </is>
      </c>
      <c r="D194" t="inlineStr">
        <is>
          <t>cus_4a584ce53c9f</t>
        </is>
      </c>
      <c r="E194" t="inlineStr">
        <is>
          <t>inv_dac054e74b05</t>
        </is>
      </c>
      <c r="F194" t="n">
        <v>157500</v>
      </c>
      <c r="G194" t="inlineStr"/>
      <c r="H194" t="inlineStr">
        <is>
          <t>來源：訂閱型發票及收款紀錄 第 287 列</t>
        </is>
      </c>
      <c r="I194" t="inlineStr">
        <is>
          <t>2026-05-18</t>
        </is>
      </c>
    </row>
    <row r="195">
      <c r="A195" t="inlineStr">
        <is>
          <t>pay_045151f2b17e</t>
        </is>
      </c>
      <c r="B195" t="inlineStr">
        <is>
          <t>Kate</t>
        </is>
      </c>
      <c r="C195" t="inlineStr">
        <is>
          <t>2025-12-31</t>
        </is>
      </c>
      <c r="D195" t="inlineStr">
        <is>
          <t>cus_4a584ce53c9f</t>
        </is>
      </c>
      <c r="E195" t="inlineStr">
        <is>
          <t>inv_5351f0a82c3d</t>
        </is>
      </c>
      <c r="F195" t="n">
        <v>157500</v>
      </c>
      <c r="G195" t="inlineStr"/>
      <c r="H195" t="inlineStr">
        <is>
          <t>來源：訂閱型發票及收款紀錄 第 288 列</t>
        </is>
      </c>
      <c r="I195" t="inlineStr">
        <is>
          <t>2026-05-18</t>
        </is>
      </c>
    </row>
    <row r="196">
      <c r="A196" t="inlineStr">
        <is>
          <t>pay_2664195fdf36</t>
        </is>
      </c>
      <c r="B196" t="inlineStr">
        <is>
          <t>Kate</t>
        </is>
      </c>
      <c r="C196" t="inlineStr">
        <is>
          <t>2026-01-30</t>
        </is>
      </c>
      <c r="D196" t="inlineStr">
        <is>
          <t>cus_4a584ce53c9f</t>
        </is>
      </c>
      <c r="E196" t="inlineStr">
        <is>
          <t>inv_6c582935b961</t>
        </is>
      </c>
      <c r="F196" t="n">
        <v>157500</v>
      </c>
      <c r="G196" t="inlineStr"/>
      <c r="H196" t="inlineStr">
        <is>
          <t>來源：訂閱型發票及收款紀錄 第 289 列</t>
        </is>
      </c>
      <c r="I196" t="inlineStr">
        <is>
          <t>2026-05-18</t>
        </is>
      </c>
    </row>
    <row r="197">
      <c r="A197" t="inlineStr">
        <is>
          <t>pay_9f67630c31c2</t>
        </is>
      </c>
      <c r="B197" t="inlineStr">
        <is>
          <t>Kate</t>
        </is>
      </c>
      <c r="C197" t="inlineStr">
        <is>
          <t>2026-03-05</t>
        </is>
      </c>
      <c r="D197" t="inlineStr">
        <is>
          <t>cus_4a584ce53c9f</t>
        </is>
      </c>
      <c r="E197" t="inlineStr">
        <is>
          <t>inv_be320cbea9fc</t>
        </is>
      </c>
      <c r="F197" t="n">
        <v>157500</v>
      </c>
      <c r="G197" t="inlineStr"/>
      <c r="H197" t="inlineStr">
        <is>
          <t>來源：訂閱型發票及收款紀錄 第 290 列</t>
        </is>
      </c>
      <c r="I197" t="inlineStr">
        <is>
          <t>2026-05-18</t>
        </is>
      </c>
    </row>
    <row r="198">
      <c r="A198" t="inlineStr">
        <is>
          <t>pay_f33b98c5078e</t>
        </is>
      </c>
      <c r="B198" t="inlineStr">
        <is>
          <t>Kate</t>
        </is>
      </c>
      <c r="C198" t="inlineStr">
        <is>
          <t>2026-03-31</t>
        </is>
      </c>
      <c r="D198" t="inlineStr">
        <is>
          <t>cus_4a584ce53c9f</t>
        </is>
      </c>
      <c r="E198" t="inlineStr">
        <is>
          <t>inv_ec8ad3ee9344</t>
        </is>
      </c>
      <c r="F198" t="n">
        <v>157500</v>
      </c>
      <c r="G198" t="inlineStr"/>
      <c r="H198" t="inlineStr">
        <is>
          <t>來源：訂閱型發票及收款紀錄 第 291 列</t>
        </is>
      </c>
      <c r="I198" t="inlineStr">
        <is>
          <t>2026-05-18</t>
        </is>
      </c>
    </row>
    <row r="199">
      <c r="A199" t="inlineStr">
        <is>
          <t>pay_ad46f23c5d70</t>
        </is>
      </c>
      <c r="B199" t="inlineStr">
        <is>
          <t>Kate</t>
        </is>
      </c>
      <c r="C199" t="inlineStr">
        <is>
          <t>2026-04-30</t>
        </is>
      </c>
      <c r="D199" t="inlineStr">
        <is>
          <t>cus_4a584ce53c9f</t>
        </is>
      </c>
      <c r="E199" t="inlineStr">
        <is>
          <t>inv_b21756f89a36</t>
        </is>
      </c>
      <c r="F199" t="n">
        <v>157500</v>
      </c>
      <c r="G199" t="inlineStr"/>
      <c r="H199" t="inlineStr">
        <is>
          <t>來源：訂閱型發票及收款紀錄 第 292 列</t>
        </is>
      </c>
      <c r="I199" t="inlineStr">
        <is>
          <t>2026-05-18</t>
        </is>
      </c>
    </row>
    <row r="200">
      <c r="A200" t="inlineStr">
        <is>
          <t>pay_a7277434f232</t>
        </is>
      </c>
      <c r="B200" t="inlineStr">
        <is>
          <t>Cobi</t>
        </is>
      </c>
      <c r="C200" t="inlineStr">
        <is>
          <t>2025-07-09</t>
        </is>
      </c>
      <c r="D200" t="inlineStr">
        <is>
          <t>cus_18a142f23643</t>
        </is>
      </c>
      <c r="E200" t="inlineStr">
        <is>
          <t>inv_4f64ad1e5946</t>
        </is>
      </c>
      <c r="F200" t="n">
        <v>21000</v>
      </c>
      <c r="G200" t="inlineStr"/>
      <c r="H200" t="inlineStr">
        <is>
          <t>來源：訂閱型發票及收款紀錄 第 306 列</t>
        </is>
      </c>
      <c r="I200" t="inlineStr">
        <is>
          <t>2026-05-18</t>
        </is>
      </c>
    </row>
    <row r="201">
      <c r="A201" t="inlineStr">
        <is>
          <t>pay_112249475f58</t>
        </is>
      </c>
      <c r="B201" t="inlineStr">
        <is>
          <t>Cobi</t>
        </is>
      </c>
      <c r="C201" t="inlineStr">
        <is>
          <t>2025-08-06</t>
        </is>
      </c>
      <c r="D201" t="inlineStr">
        <is>
          <t>cus_18a142f23643</t>
        </is>
      </c>
      <c r="E201" t="inlineStr">
        <is>
          <t>inv_e5e80e51cff1</t>
        </is>
      </c>
      <c r="F201" t="n">
        <v>21000</v>
      </c>
      <c r="G201" t="inlineStr"/>
      <c r="H201" t="inlineStr">
        <is>
          <t>來源：訂閱型發票及收款紀錄 第 307 列</t>
        </is>
      </c>
      <c r="I201" t="inlineStr">
        <is>
          <t>2026-05-18</t>
        </is>
      </c>
    </row>
    <row r="202">
      <c r="A202" t="inlineStr">
        <is>
          <t>pay_80ea023a9168</t>
        </is>
      </c>
      <c r="B202" t="inlineStr">
        <is>
          <t>Cobi</t>
        </is>
      </c>
      <c r="C202" t="inlineStr">
        <is>
          <t>2025-09-08</t>
        </is>
      </c>
      <c r="D202" t="inlineStr">
        <is>
          <t>cus_18a142f23643</t>
        </is>
      </c>
      <c r="E202" t="inlineStr">
        <is>
          <t>inv_f27a6c0fede8</t>
        </is>
      </c>
      <c r="F202" t="n">
        <v>21000</v>
      </c>
      <c r="G202" t="inlineStr"/>
      <c r="H202" t="inlineStr">
        <is>
          <t>來源：訂閱型發票及收款紀錄 第 308 列</t>
        </is>
      </c>
      <c r="I202" t="inlineStr">
        <is>
          <t>2026-05-18</t>
        </is>
      </c>
    </row>
    <row r="203">
      <c r="A203" t="inlineStr">
        <is>
          <t>pay_d8397e86dc19</t>
        </is>
      </c>
      <c r="B203" t="inlineStr">
        <is>
          <t>Cobi</t>
        </is>
      </c>
      <c r="C203" t="inlineStr">
        <is>
          <t>2025-10-03</t>
        </is>
      </c>
      <c r="D203" t="inlineStr">
        <is>
          <t>cus_18a142f23643</t>
        </is>
      </c>
      <c r="E203" t="inlineStr">
        <is>
          <t>inv_f0133ff69b44</t>
        </is>
      </c>
      <c r="F203" t="n">
        <v>21000</v>
      </c>
      <c r="G203" t="inlineStr"/>
      <c r="H203" t="inlineStr">
        <is>
          <t>來源：訂閱型發票及收款紀錄 第 309 列</t>
        </is>
      </c>
      <c r="I203" t="inlineStr">
        <is>
          <t>2026-05-18</t>
        </is>
      </c>
    </row>
    <row r="204">
      <c r="A204" t="inlineStr">
        <is>
          <t>pay_39be3a5e3ed1</t>
        </is>
      </c>
      <c r="B204" t="inlineStr">
        <is>
          <t>Cobi</t>
        </is>
      </c>
      <c r="C204" t="inlineStr">
        <is>
          <t>2025-11-05</t>
        </is>
      </c>
      <c r="D204" t="inlineStr">
        <is>
          <t>cus_18a142f23643</t>
        </is>
      </c>
      <c r="E204" t="inlineStr">
        <is>
          <t>inv_3ac74ff21107</t>
        </is>
      </c>
      <c r="F204" t="n">
        <v>21000</v>
      </c>
      <c r="G204" t="inlineStr"/>
      <c r="H204" t="inlineStr">
        <is>
          <t>來源：訂閱型發票及收款紀錄 第 310 列</t>
        </is>
      </c>
      <c r="I204" t="inlineStr">
        <is>
          <t>2026-05-18</t>
        </is>
      </c>
    </row>
    <row r="205">
      <c r="A205" t="inlineStr">
        <is>
          <t>pay_fb85f203be1f</t>
        </is>
      </c>
      <c r="B205" t="inlineStr">
        <is>
          <t>Cobi</t>
        </is>
      </c>
      <c r="C205" t="inlineStr">
        <is>
          <t>2025-12-05</t>
        </is>
      </c>
      <c r="D205" t="inlineStr">
        <is>
          <t>cus_18a142f23643</t>
        </is>
      </c>
      <c r="E205" t="inlineStr">
        <is>
          <t>inv_029f928e247e</t>
        </is>
      </c>
      <c r="F205" t="n">
        <v>21000</v>
      </c>
      <c r="G205" t="inlineStr"/>
      <c r="H205" t="inlineStr">
        <is>
          <t>來源：訂閱型發票及收款紀錄 第 311 列</t>
        </is>
      </c>
      <c r="I205" t="inlineStr">
        <is>
          <t>2026-05-18</t>
        </is>
      </c>
    </row>
    <row r="206">
      <c r="A206" t="inlineStr">
        <is>
          <t>pay_ea38947a6cdd</t>
        </is>
      </c>
      <c r="B206" t="inlineStr">
        <is>
          <t>Cobi</t>
        </is>
      </c>
      <c r="C206" t="inlineStr">
        <is>
          <t>2026-01-06</t>
        </is>
      </c>
      <c r="D206" t="inlineStr">
        <is>
          <t>cus_18a142f23643</t>
        </is>
      </c>
      <c r="E206" t="inlineStr">
        <is>
          <t>inv_1209143e779e</t>
        </is>
      </c>
      <c r="F206" t="n">
        <v>21000</v>
      </c>
      <c r="G206" t="inlineStr"/>
      <c r="H206" t="inlineStr">
        <is>
          <t>來源：訂閱型發票及收款紀錄 第 312 列</t>
        </is>
      </c>
      <c r="I206" t="inlineStr">
        <is>
          <t>2026-05-18</t>
        </is>
      </c>
    </row>
    <row r="207">
      <c r="A207" t="inlineStr">
        <is>
          <t>pay_2dc88aa0f4b8</t>
        </is>
      </c>
      <c r="B207" t="inlineStr">
        <is>
          <t>Cobi</t>
        </is>
      </c>
      <c r="C207" t="inlineStr">
        <is>
          <t>2026-02-05</t>
        </is>
      </c>
      <c r="D207" t="inlineStr">
        <is>
          <t>cus_18a142f23643</t>
        </is>
      </c>
      <c r="E207" t="inlineStr">
        <is>
          <t>inv_7e50a652b87c</t>
        </is>
      </c>
      <c r="F207" t="n">
        <v>21000</v>
      </c>
      <c r="G207" t="inlineStr"/>
      <c r="H207" t="inlineStr">
        <is>
          <t>來源：訂閱型發票及收款紀錄 第 313 列</t>
        </is>
      </c>
      <c r="I207" t="inlineStr">
        <is>
          <t>2026-05-18</t>
        </is>
      </c>
    </row>
    <row r="208">
      <c r="A208" t="inlineStr">
        <is>
          <t>pay_798ceee6853c</t>
        </is>
      </c>
      <c r="B208" t="inlineStr">
        <is>
          <t>Kate</t>
        </is>
      </c>
      <c r="C208" t="inlineStr">
        <is>
          <t>2025-12-15</t>
        </is>
      </c>
      <c r="D208" t="inlineStr">
        <is>
          <t>cus_45f7f5ab2cf9</t>
        </is>
      </c>
      <c r="E208" t="inlineStr">
        <is>
          <t>inv_fc2742833ca3</t>
        </is>
      </c>
      <c r="F208" t="n">
        <v>136500</v>
      </c>
      <c r="G208" t="inlineStr"/>
      <c r="H208" t="inlineStr">
        <is>
          <t>來源：訂閱型發票及收款紀錄 第 319 列</t>
        </is>
      </c>
      <c r="I208" t="inlineStr">
        <is>
          <t>2026-05-18</t>
        </is>
      </c>
    </row>
    <row r="209">
      <c r="A209" t="inlineStr">
        <is>
          <t>pay_f5eb6b168737</t>
        </is>
      </c>
      <c r="B209" t="inlineStr">
        <is>
          <t>Kate</t>
        </is>
      </c>
      <c r="C209" t="inlineStr">
        <is>
          <t>2025-12-31</t>
        </is>
      </c>
      <c r="D209" t="inlineStr">
        <is>
          <t>cus_45f7f5ab2cf9</t>
        </is>
      </c>
      <c r="E209" t="inlineStr">
        <is>
          <t>inv_1d1e6dfff1cc</t>
        </is>
      </c>
      <c r="F209" t="n">
        <v>136500</v>
      </c>
      <c r="G209" t="inlineStr"/>
      <c r="H209" t="inlineStr">
        <is>
          <t>來源：訂閱型發票及收款紀錄 第 320 列</t>
        </is>
      </c>
      <c r="I209" t="inlineStr">
        <is>
          <t>2026-05-18</t>
        </is>
      </c>
    </row>
    <row r="210">
      <c r="A210" t="inlineStr">
        <is>
          <t>pay_5897c7c3e7ce</t>
        </is>
      </c>
      <c r="B210" t="inlineStr">
        <is>
          <t>Kate</t>
        </is>
      </c>
      <c r="C210" t="inlineStr">
        <is>
          <t>2026-01-30</t>
        </is>
      </c>
      <c r="D210" t="inlineStr">
        <is>
          <t>cus_45f7f5ab2cf9</t>
        </is>
      </c>
      <c r="E210" t="inlineStr">
        <is>
          <t>inv_454ac9c78056</t>
        </is>
      </c>
      <c r="F210" t="n">
        <v>136500</v>
      </c>
      <c r="G210" t="inlineStr"/>
      <c r="H210" t="inlineStr">
        <is>
          <t>來源：訂閱型發票及收款紀錄 第 321 列</t>
        </is>
      </c>
      <c r="I210" t="inlineStr">
        <is>
          <t>2026-05-18</t>
        </is>
      </c>
    </row>
    <row r="211">
      <c r="A211" t="inlineStr">
        <is>
          <t>pay_290606f4159a</t>
        </is>
      </c>
      <c r="B211" t="inlineStr">
        <is>
          <t>Kate</t>
        </is>
      </c>
      <c r="C211" t="inlineStr">
        <is>
          <t>2026-03-05</t>
        </is>
      </c>
      <c r="D211" t="inlineStr">
        <is>
          <t>cus_45f7f5ab2cf9</t>
        </is>
      </c>
      <c r="E211" t="inlineStr">
        <is>
          <t>inv_31940f39345f</t>
        </is>
      </c>
      <c r="F211" t="n">
        <v>136500</v>
      </c>
      <c r="G211" t="inlineStr"/>
      <c r="H211" t="inlineStr">
        <is>
          <t>來源：訂閱型發票及收款紀錄 第 322 列</t>
        </is>
      </c>
      <c r="I211" t="inlineStr">
        <is>
          <t>2026-05-18</t>
        </is>
      </c>
    </row>
    <row r="212">
      <c r="A212" t="inlineStr">
        <is>
          <t>pay_935e4ddfb1c6</t>
        </is>
      </c>
      <c r="B212" t="inlineStr">
        <is>
          <t>Kate</t>
        </is>
      </c>
      <c r="C212" t="inlineStr">
        <is>
          <t>2026-04-15</t>
        </is>
      </c>
      <c r="D212" t="inlineStr">
        <is>
          <t>cus_45f7f5ab2cf9</t>
        </is>
      </c>
      <c r="E212" t="inlineStr">
        <is>
          <t>inv_854d19c486a8</t>
        </is>
      </c>
      <c r="F212" t="n">
        <v>136500</v>
      </c>
      <c r="G212" t="inlineStr"/>
      <c r="H212" t="inlineStr">
        <is>
          <t>來源：訂閱型發票及收款紀錄 第 323 列</t>
        </is>
      </c>
      <c r="I212" t="inlineStr">
        <is>
          <t>2026-05-18</t>
        </is>
      </c>
    </row>
    <row r="213">
      <c r="A213" t="inlineStr">
        <is>
          <t>pay_5b9b04eea9e1</t>
        </is>
      </c>
      <c r="B213" t="inlineStr">
        <is>
          <t>Kate</t>
        </is>
      </c>
      <c r="C213" t="inlineStr">
        <is>
          <t>2026-04-30</t>
        </is>
      </c>
      <c r="D213" t="inlineStr">
        <is>
          <t>cus_45f7f5ab2cf9</t>
        </is>
      </c>
      <c r="E213" t="inlineStr">
        <is>
          <t>inv_2dbd483eb33d</t>
        </is>
      </c>
      <c r="F213" t="n">
        <v>136500</v>
      </c>
      <c r="G213" t="inlineStr"/>
      <c r="H213" t="inlineStr">
        <is>
          <t>來源：訂閱型發票及收款紀錄 第 324 列</t>
        </is>
      </c>
      <c r="I213" t="inlineStr">
        <is>
          <t>2026-05-18</t>
        </is>
      </c>
    </row>
    <row r="214">
      <c r="A214" t="inlineStr">
        <is>
          <t>pay_cf46dc15c3ef</t>
        </is>
      </c>
      <c r="B214" t="inlineStr">
        <is>
          <t>瀞鍶</t>
        </is>
      </c>
      <c r="C214" t="inlineStr">
        <is>
          <t>2025-12-22</t>
        </is>
      </c>
      <c r="D214" t="inlineStr">
        <is>
          <t>cus_3816722e3e66</t>
        </is>
      </c>
      <c r="E214" t="inlineStr">
        <is>
          <t>inv_19e95d7f0dfb</t>
        </is>
      </c>
      <c r="F214" t="n">
        <v>94500</v>
      </c>
      <c r="G214" t="inlineStr"/>
      <c r="H214" t="inlineStr">
        <is>
          <t>來源：訂閱型發票及收款紀錄 第 332 列</t>
        </is>
      </c>
      <c r="I214" t="inlineStr">
        <is>
          <t>2026-05-18</t>
        </is>
      </c>
    </row>
    <row r="215">
      <c r="A215" t="inlineStr">
        <is>
          <t>pay_be91eee20906</t>
        </is>
      </c>
      <c r="B215" t="inlineStr">
        <is>
          <t>瀞鍶</t>
        </is>
      </c>
      <c r="C215" t="inlineStr">
        <is>
          <t>2026-01-20</t>
        </is>
      </c>
      <c r="D215" t="inlineStr">
        <is>
          <t>cus_3816722e3e66</t>
        </is>
      </c>
      <c r="E215" t="inlineStr">
        <is>
          <t>inv_40e889fdc349</t>
        </is>
      </c>
      <c r="F215" t="n">
        <v>94500</v>
      </c>
      <c r="G215" t="inlineStr"/>
      <c r="H215" t="inlineStr">
        <is>
          <t>來源：訂閱型發票及收款紀錄 第 333 列</t>
        </is>
      </c>
      <c r="I215" t="inlineStr">
        <is>
          <t>2026-05-18</t>
        </is>
      </c>
    </row>
    <row r="216">
      <c r="A216" t="inlineStr">
        <is>
          <t>pay_155e8526ca7e</t>
        </is>
      </c>
      <c r="B216" t="inlineStr">
        <is>
          <t>瀞鍶</t>
        </is>
      </c>
      <c r="C216" t="inlineStr">
        <is>
          <t>2026-03-05</t>
        </is>
      </c>
      <c r="D216" t="inlineStr">
        <is>
          <t>cus_3816722e3e66</t>
        </is>
      </c>
      <c r="E216" t="inlineStr">
        <is>
          <t>inv_64724fd09c22</t>
        </is>
      </c>
      <c r="F216" t="n">
        <v>94500</v>
      </c>
      <c r="G216" t="inlineStr"/>
      <c r="H216" t="inlineStr">
        <is>
          <t>來源：訂閱型發票及收款紀錄 第 334 列</t>
        </is>
      </c>
      <c r="I216" t="inlineStr">
        <is>
          <t>2026-05-18</t>
        </is>
      </c>
    </row>
    <row r="217">
      <c r="A217" t="inlineStr">
        <is>
          <t>pay_c787b086f166</t>
        </is>
      </c>
      <c r="B217" t="inlineStr">
        <is>
          <t>瀞鍶</t>
        </is>
      </c>
      <c r="C217" t="inlineStr">
        <is>
          <t>2026-05-05</t>
        </is>
      </c>
      <c r="D217" t="inlineStr">
        <is>
          <t>cus_3816722e3e66</t>
        </is>
      </c>
      <c r="E217" t="inlineStr">
        <is>
          <t>inv_552a009eaf41</t>
        </is>
      </c>
      <c r="F217" t="n">
        <v>126000</v>
      </c>
      <c r="G217" t="inlineStr"/>
      <c r="H217" t="inlineStr">
        <is>
          <t>來源：訂閱型發票及收款紀錄 第 335 列</t>
        </is>
      </c>
      <c r="I217" t="inlineStr">
        <is>
          <t>2026-05-18</t>
        </is>
      </c>
    </row>
    <row r="218">
      <c r="A218" t="inlineStr">
        <is>
          <t>pay_dba578a26f48</t>
        </is>
      </c>
      <c r="B218" t="inlineStr">
        <is>
          <t>瀞鍶</t>
        </is>
      </c>
      <c r="C218" t="inlineStr">
        <is>
          <t>2026-05-05</t>
        </is>
      </c>
      <c r="D218" t="inlineStr">
        <is>
          <t>cus_3816722e3e66</t>
        </is>
      </c>
      <c r="E218" t="inlineStr">
        <is>
          <t>inv_8c4c96948131</t>
        </is>
      </c>
      <c r="F218" t="n">
        <v>126000</v>
      </c>
      <c r="G218" t="inlineStr"/>
      <c r="H218" t="inlineStr">
        <is>
          <t>來源：訂閱型發票及收款紀錄 第 336 列</t>
        </is>
      </c>
      <c r="I218" t="inlineStr">
        <is>
          <t>2026-05-18</t>
        </is>
      </c>
    </row>
    <row r="219">
      <c r="A219" t="inlineStr">
        <is>
          <t>pay_31723b79c76a</t>
        </is>
      </c>
      <c r="B219" t="inlineStr">
        <is>
          <t>瀞鍶</t>
        </is>
      </c>
      <c r="C219" t="inlineStr">
        <is>
          <t>2025-12-22</t>
        </is>
      </c>
      <c r="D219" t="inlineStr">
        <is>
          <t>cus_3816722e3e66</t>
        </is>
      </c>
      <c r="E219" t="inlineStr">
        <is>
          <t>inv_0b9692bfe710</t>
        </is>
      </c>
      <c r="F219" t="n">
        <v>86100</v>
      </c>
      <c r="G219" t="inlineStr"/>
      <c r="H219" t="inlineStr">
        <is>
          <t>來源：訂閱型發票及收款紀錄 第 340 列</t>
        </is>
      </c>
      <c r="I219" t="inlineStr">
        <is>
          <t>2026-05-18</t>
        </is>
      </c>
    </row>
    <row r="220">
      <c r="A220" t="inlineStr">
        <is>
          <t>pay_bdfa715d1b0b</t>
        </is>
      </c>
      <c r="B220" t="inlineStr">
        <is>
          <t>瀞鍶</t>
        </is>
      </c>
      <c r="C220" t="inlineStr">
        <is>
          <t>2026-01-20</t>
        </is>
      </c>
      <c r="D220" t="inlineStr">
        <is>
          <t>cus_3816722e3e66</t>
        </is>
      </c>
      <c r="E220" t="inlineStr">
        <is>
          <t>inv_d8cec006434c</t>
        </is>
      </c>
      <c r="F220" t="n">
        <v>86100</v>
      </c>
      <c r="G220" t="inlineStr"/>
      <c r="H220" t="inlineStr">
        <is>
          <t>來源：訂閱型發票及收款紀錄 第 341 列</t>
        </is>
      </c>
      <c r="I220" t="inlineStr">
        <is>
          <t>2026-05-18</t>
        </is>
      </c>
    </row>
    <row r="221">
      <c r="A221" t="inlineStr">
        <is>
          <t>pay_c0f1714f9c5e</t>
        </is>
      </c>
      <c r="B221" t="inlineStr">
        <is>
          <t>瀞鍶</t>
        </is>
      </c>
      <c r="C221" t="inlineStr">
        <is>
          <t>2026-03-05</t>
        </is>
      </c>
      <c r="D221" t="inlineStr">
        <is>
          <t>cus_3816722e3e66</t>
        </is>
      </c>
      <c r="E221" t="inlineStr">
        <is>
          <t>inv_3bec0919f0c0</t>
        </is>
      </c>
      <c r="F221" t="n">
        <v>86100</v>
      </c>
      <c r="G221" t="inlineStr"/>
      <c r="H221" t="inlineStr">
        <is>
          <t>來源：訂閱型發票及收款紀錄 第 342 列</t>
        </is>
      </c>
      <c r="I221" t="inlineStr">
        <is>
          <t>2026-05-18</t>
        </is>
      </c>
    </row>
    <row r="222">
      <c r="A222" t="inlineStr">
        <is>
          <t>pay_0be32f693655</t>
        </is>
      </c>
      <c r="B222" t="inlineStr">
        <is>
          <t>瀞鍶</t>
        </is>
      </c>
      <c r="C222" t="inlineStr">
        <is>
          <t>2026-05-05</t>
        </is>
      </c>
      <c r="D222" t="inlineStr">
        <is>
          <t>cus_3816722e3e66</t>
        </is>
      </c>
      <c r="E222" t="inlineStr">
        <is>
          <t>inv_b8f9c2dba34a</t>
        </is>
      </c>
      <c r="F222" t="n">
        <v>86100</v>
      </c>
      <c r="G222" t="inlineStr"/>
      <c r="H222" t="inlineStr">
        <is>
          <t>來源：訂閱型發票及收款紀錄 第 343 列</t>
        </is>
      </c>
      <c r="I222" t="inlineStr">
        <is>
          <t>2026-05-18</t>
        </is>
      </c>
    </row>
    <row r="223">
      <c r="A223" t="inlineStr">
        <is>
          <t>pay_2f3c1a1bd8b1</t>
        </is>
      </c>
      <c r="B223" t="inlineStr">
        <is>
          <t>瀞鍶</t>
        </is>
      </c>
      <c r="C223" t="inlineStr">
        <is>
          <t>2026-05-05</t>
        </is>
      </c>
      <c r="D223" t="inlineStr">
        <is>
          <t>cus_3816722e3e66</t>
        </is>
      </c>
      <c r="E223" t="inlineStr">
        <is>
          <t>inv_b392507f842d</t>
        </is>
      </c>
      <c r="F223" t="n">
        <v>86100</v>
      </c>
      <c r="G223" t="inlineStr"/>
      <c r="H223" t="inlineStr">
        <is>
          <t>來源：訂閱型發票及收款紀錄 第 344 列</t>
        </is>
      </c>
      <c r="I223" t="inlineStr">
        <is>
          <t>2026-05-18</t>
        </is>
      </c>
    </row>
    <row r="224">
      <c r="A224" t="inlineStr">
        <is>
          <t>pay_0152fc605569</t>
        </is>
      </c>
      <c r="B224" t="inlineStr">
        <is>
          <t>Kate</t>
        </is>
      </c>
      <c r="C224" t="inlineStr">
        <is>
          <t>2025-10-30</t>
        </is>
      </c>
      <c r="D224" t="inlineStr">
        <is>
          <t>cus_6cf846994bdb</t>
        </is>
      </c>
      <c r="E224" t="inlineStr">
        <is>
          <t>inv_f41fedbcc9ff</t>
        </is>
      </c>
      <c r="F224" t="n">
        <v>31500</v>
      </c>
      <c r="G224" t="inlineStr"/>
      <c r="H224" t="inlineStr">
        <is>
          <t>來源：訂閱型發票及收款紀錄 第 349 列</t>
        </is>
      </c>
      <c r="I224" t="inlineStr">
        <is>
          <t>2026-05-18</t>
        </is>
      </c>
    </row>
    <row r="225">
      <c r="A225" t="inlineStr">
        <is>
          <t>pay_5f2930efdb4a</t>
        </is>
      </c>
      <c r="B225" t="inlineStr">
        <is>
          <t>Kate</t>
        </is>
      </c>
      <c r="C225" t="inlineStr">
        <is>
          <t>2025-11-28</t>
        </is>
      </c>
      <c r="D225" t="inlineStr">
        <is>
          <t>cus_6cf846994bdb</t>
        </is>
      </c>
      <c r="E225" t="inlineStr">
        <is>
          <t>inv_920d596ece99</t>
        </is>
      </c>
      <c r="F225" t="n">
        <v>10500</v>
      </c>
      <c r="G225" t="inlineStr"/>
      <c r="H225" t="inlineStr">
        <is>
          <t>來源：訂閱型發票及收款紀錄 第 350 列</t>
        </is>
      </c>
      <c r="I225" t="inlineStr">
        <is>
          <t>2026-05-18</t>
        </is>
      </c>
    </row>
    <row r="226">
      <c r="A226" t="inlineStr">
        <is>
          <t>pay_d5a39c0ce700</t>
        </is>
      </c>
      <c r="B226" t="inlineStr">
        <is>
          <t>Kate</t>
        </is>
      </c>
      <c r="C226" t="inlineStr">
        <is>
          <t>2025-11-28</t>
        </is>
      </c>
      <c r="D226" t="inlineStr">
        <is>
          <t>cus_6cf846994bdb</t>
        </is>
      </c>
      <c r="E226" t="inlineStr">
        <is>
          <t>inv_38b07d0f5b74</t>
        </is>
      </c>
      <c r="F226" t="n">
        <v>10500</v>
      </c>
      <c r="G226" t="inlineStr"/>
      <c r="H226" t="inlineStr">
        <is>
          <t>來源：訂閱型發票及收款紀錄 第 351 列</t>
        </is>
      </c>
      <c r="I226" t="inlineStr">
        <is>
          <t>2026-05-18</t>
        </is>
      </c>
    </row>
    <row r="227">
      <c r="A227" t="inlineStr">
        <is>
          <t>pay_5ada853f831a</t>
        </is>
      </c>
      <c r="B227" t="inlineStr">
        <is>
          <t>Kate</t>
        </is>
      </c>
      <c r="C227" t="inlineStr">
        <is>
          <t>2025-11-28</t>
        </is>
      </c>
      <c r="D227" t="inlineStr">
        <is>
          <t>cus_6cf846994bdb</t>
        </is>
      </c>
      <c r="E227" t="inlineStr">
        <is>
          <t>inv_31ec74659cda</t>
        </is>
      </c>
      <c r="F227" t="n">
        <v>10500</v>
      </c>
      <c r="G227" t="inlineStr"/>
      <c r="H227" t="inlineStr">
        <is>
          <t>來源：訂閱型發票及收款紀錄 第 352 列</t>
        </is>
      </c>
      <c r="I227" t="inlineStr">
        <is>
          <t>2026-05-18</t>
        </is>
      </c>
    </row>
    <row r="228">
      <c r="A228" t="inlineStr">
        <is>
          <t>pay_7865b5f32753</t>
        </is>
      </c>
      <c r="B228" t="inlineStr">
        <is>
          <t>Kate</t>
        </is>
      </c>
      <c r="C228" t="inlineStr">
        <is>
          <t>2025-12-30</t>
        </is>
      </c>
      <c r="D228" t="inlineStr">
        <is>
          <t>cus_6cf846994bdb</t>
        </is>
      </c>
      <c r="E228" t="inlineStr">
        <is>
          <t>inv_74b9f0ea409d</t>
        </is>
      </c>
      <c r="F228" t="n">
        <v>10500</v>
      </c>
      <c r="G228" t="inlineStr"/>
      <c r="H228" t="inlineStr">
        <is>
          <t>來源：訂閱型發票及收款紀錄 第 353 列</t>
        </is>
      </c>
      <c r="I228" t="inlineStr">
        <is>
          <t>2026-05-18</t>
        </is>
      </c>
    </row>
    <row r="229">
      <c r="A229" t="inlineStr">
        <is>
          <t>pay_6aa23155bb4e</t>
        </is>
      </c>
      <c r="B229" t="inlineStr">
        <is>
          <t>Kate</t>
        </is>
      </c>
      <c r="C229" t="inlineStr">
        <is>
          <t>2025-12-30</t>
        </is>
      </c>
      <c r="D229" t="inlineStr">
        <is>
          <t>cus_6cf846994bdb</t>
        </is>
      </c>
      <c r="E229" t="inlineStr">
        <is>
          <t>inv_a0952dee4c61</t>
        </is>
      </c>
      <c r="F229" t="n">
        <v>10500</v>
      </c>
      <c r="G229" t="inlineStr"/>
      <c r="H229" t="inlineStr">
        <is>
          <t>來源：訂閱型發票及收款紀錄 第 354 列</t>
        </is>
      </c>
      <c r="I229" t="inlineStr">
        <is>
          <t>2026-05-18</t>
        </is>
      </c>
    </row>
    <row r="230">
      <c r="A230" t="inlineStr">
        <is>
          <t>pay_68da9a1dc264</t>
        </is>
      </c>
      <c r="B230" t="inlineStr">
        <is>
          <t>Kate</t>
        </is>
      </c>
      <c r="C230" t="inlineStr">
        <is>
          <t>2025-12-30</t>
        </is>
      </c>
      <c r="D230" t="inlineStr">
        <is>
          <t>cus_6cf846994bdb</t>
        </is>
      </c>
      <c r="E230" t="inlineStr">
        <is>
          <t>inv_354d3a80d2f2</t>
        </is>
      </c>
      <c r="F230" t="n">
        <v>10500</v>
      </c>
      <c r="G230" t="inlineStr"/>
      <c r="H230" t="inlineStr">
        <is>
          <t>來源：訂閱型發票及收款紀錄 第 355 列</t>
        </is>
      </c>
      <c r="I230" t="inlineStr">
        <is>
          <t>2026-05-18</t>
        </is>
      </c>
    </row>
    <row r="231">
      <c r="A231" t="inlineStr">
        <is>
          <t>pay_185f34a9e6a1</t>
        </is>
      </c>
      <c r="B231" t="inlineStr">
        <is>
          <t>Kate</t>
        </is>
      </c>
      <c r="C231" t="inlineStr">
        <is>
          <t>2026-01-30</t>
        </is>
      </c>
      <c r="D231" t="inlineStr">
        <is>
          <t>cus_6cf846994bdb</t>
        </is>
      </c>
      <c r="E231" t="inlineStr">
        <is>
          <t>inv_ec0a797612b7</t>
        </is>
      </c>
      <c r="F231" t="n">
        <v>10500</v>
      </c>
      <c r="G231" t="inlineStr"/>
      <c r="H231" t="inlineStr">
        <is>
          <t>來源：訂閱型發票及收款紀錄 第 356 列</t>
        </is>
      </c>
      <c r="I231" t="inlineStr">
        <is>
          <t>2026-05-18</t>
        </is>
      </c>
    </row>
    <row r="232">
      <c r="A232" t="inlineStr">
        <is>
          <t>pay_1020f15c799c</t>
        </is>
      </c>
      <c r="B232" t="inlineStr">
        <is>
          <t>Kate</t>
        </is>
      </c>
      <c r="C232" t="inlineStr">
        <is>
          <t>2026-01-30</t>
        </is>
      </c>
      <c r="D232" t="inlineStr">
        <is>
          <t>cus_6cf846994bdb</t>
        </is>
      </c>
      <c r="E232" t="inlineStr">
        <is>
          <t>inv_f1975e5d4cb1</t>
        </is>
      </c>
      <c r="F232" t="n">
        <v>10500</v>
      </c>
      <c r="G232" t="inlineStr"/>
      <c r="H232" t="inlineStr">
        <is>
          <t>來源：訂閱型發票及收款紀錄 第 357 列</t>
        </is>
      </c>
      <c r="I232" t="inlineStr">
        <is>
          <t>2026-05-18</t>
        </is>
      </c>
    </row>
    <row r="233">
      <c r="A233" t="inlineStr">
        <is>
          <t>pay_419cf93ffcd4</t>
        </is>
      </c>
      <c r="B233" t="inlineStr">
        <is>
          <t>Kate</t>
        </is>
      </c>
      <c r="C233" t="inlineStr">
        <is>
          <t>2026-01-30</t>
        </is>
      </c>
      <c r="D233" t="inlineStr">
        <is>
          <t>cus_6cf846994bdb</t>
        </is>
      </c>
      <c r="E233" t="inlineStr">
        <is>
          <t>inv_6d6b886ad649</t>
        </is>
      </c>
      <c r="F233" t="n">
        <v>10500</v>
      </c>
      <c r="G233" t="inlineStr"/>
      <c r="H233" t="inlineStr">
        <is>
          <t>來源：訂閱型發票及收款紀錄 第 358 列</t>
        </is>
      </c>
      <c r="I233" t="inlineStr">
        <is>
          <t>2026-05-18</t>
        </is>
      </c>
    </row>
    <row r="234">
      <c r="A234" t="inlineStr">
        <is>
          <t>pay_5677d383bc0d</t>
        </is>
      </c>
      <c r="B234" t="inlineStr">
        <is>
          <t>Kate</t>
        </is>
      </c>
      <c r="C234" t="inlineStr">
        <is>
          <t>2026-03-05</t>
        </is>
      </c>
      <c r="D234" t="inlineStr">
        <is>
          <t>cus_6cf846994bdb</t>
        </is>
      </c>
      <c r="E234" t="inlineStr">
        <is>
          <t>inv_12c553c28db7</t>
        </is>
      </c>
      <c r="F234" t="n">
        <v>10500</v>
      </c>
      <c r="G234" t="inlineStr"/>
      <c r="H234" t="inlineStr">
        <is>
          <t>來源：訂閱型發票及收款紀錄 第 359 列</t>
        </is>
      </c>
      <c r="I234" t="inlineStr">
        <is>
          <t>2026-05-18</t>
        </is>
      </c>
    </row>
    <row r="235">
      <c r="A235" t="inlineStr">
        <is>
          <t>pay_97c54b0298df</t>
        </is>
      </c>
      <c r="B235" t="inlineStr">
        <is>
          <t>Kate</t>
        </is>
      </c>
      <c r="C235" t="inlineStr">
        <is>
          <t>2026-03-05</t>
        </is>
      </c>
      <c r="D235" t="inlineStr">
        <is>
          <t>cus_6cf846994bdb</t>
        </is>
      </c>
      <c r="E235" t="inlineStr">
        <is>
          <t>inv_8a454b791a94</t>
        </is>
      </c>
      <c r="F235" t="n">
        <v>10500</v>
      </c>
      <c r="G235" t="inlineStr"/>
      <c r="H235" t="inlineStr">
        <is>
          <t>來源：訂閱型發票及收款紀錄 第 360 列</t>
        </is>
      </c>
      <c r="I235" t="inlineStr">
        <is>
          <t>2026-05-18</t>
        </is>
      </c>
    </row>
    <row r="236">
      <c r="A236" t="inlineStr">
        <is>
          <t>pay_330abbadc749</t>
        </is>
      </c>
      <c r="B236" t="inlineStr">
        <is>
          <t>Kate</t>
        </is>
      </c>
      <c r="C236" t="inlineStr">
        <is>
          <t>2026-03-05</t>
        </is>
      </c>
      <c r="D236" t="inlineStr">
        <is>
          <t>cus_6cf846994bdb</t>
        </is>
      </c>
      <c r="E236" t="inlineStr">
        <is>
          <t>inv_7318d87aea14</t>
        </is>
      </c>
      <c r="F236" t="n">
        <v>10500</v>
      </c>
      <c r="G236" t="inlineStr"/>
      <c r="H236" t="inlineStr">
        <is>
          <t>來源：訂閱型發票及收款紀錄 第 361 列</t>
        </is>
      </c>
      <c r="I236" t="inlineStr">
        <is>
          <t>2026-05-18</t>
        </is>
      </c>
    </row>
    <row r="237">
      <c r="A237" t="inlineStr">
        <is>
          <t>pay_04be3c68d08a</t>
        </is>
      </c>
      <c r="B237" t="inlineStr">
        <is>
          <t>Kate</t>
        </is>
      </c>
      <c r="C237" t="inlineStr">
        <is>
          <t>2026-03-30</t>
        </is>
      </c>
      <c r="D237" t="inlineStr">
        <is>
          <t>cus_6cf846994bdb</t>
        </is>
      </c>
      <c r="E237" t="inlineStr">
        <is>
          <t>inv_571a20d29cef</t>
        </is>
      </c>
      <c r="F237" t="n">
        <v>10500</v>
      </c>
      <c r="G237" t="inlineStr"/>
      <c r="H237" t="inlineStr">
        <is>
          <t>來源：訂閱型發票及收款紀錄 第 362 列</t>
        </is>
      </c>
      <c r="I237" t="inlineStr">
        <is>
          <t>2026-05-18</t>
        </is>
      </c>
    </row>
    <row r="238">
      <c r="A238" t="inlineStr">
        <is>
          <t>pay_e538ba9c1ebb</t>
        </is>
      </c>
      <c r="B238" t="inlineStr">
        <is>
          <t>Kate</t>
        </is>
      </c>
      <c r="C238" t="inlineStr">
        <is>
          <t>2026-04-30</t>
        </is>
      </c>
      <c r="D238" t="inlineStr">
        <is>
          <t>cus_6cf846994bdb</t>
        </is>
      </c>
      <c r="E238" t="inlineStr">
        <is>
          <t>inv_720c4ef6debe</t>
        </is>
      </c>
      <c r="F238" t="n">
        <v>10500</v>
      </c>
      <c r="G238" t="inlineStr"/>
      <c r="H238" t="inlineStr">
        <is>
          <t>來源：訂閱型發票及收款紀錄 第 363 列</t>
        </is>
      </c>
      <c r="I238" t="inlineStr">
        <is>
          <t>2026-05-18</t>
        </is>
      </c>
    </row>
    <row r="239">
      <c r="A239" t="inlineStr">
        <is>
          <t>pay_8ad69aea1e1f</t>
        </is>
      </c>
      <c r="B239" t="inlineStr">
        <is>
          <t>Kate</t>
        </is>
      </c>
      <c r="C239" t="inlineStr">
        <is>
          <t>2026-04-30</t>
        </is>
      </c>
      <c r="D239" t="inlineStr">
        <is>
          <t>cus_6cf846994bdb</t>
        </is>
      </c>
      <c r="E239" t="inlineStr">
        <is>
          <t>inv_b0d0a9e14ed4</t>
        </is>
      </c>
      <c r="F239" t="n">
        <v>10500</v>
      </c>
      <c r="G239" t="inlineStr"/>
      <c r="H239" t="inlineStr">
        <is>
          <t>來源：訂閱型發票及收款紀錄 第 364 列</t>
        </is>
      </c>
      <c r="I239" t="inlineStr">
        <is>
          <t>2026-05-18</t>
        </is>
      </c>
    </row>
    <row r="240">
      <c r="A240" t="inlineStr">
        <is>
          <t>pay_9fafff9a9210</t>
        </is>
      </c>
      <c r="B240" t="inlineStr">
        <is>
          <t>Kate</t>
        </is>
      </c>
      <c r="C240" t="inlineStr">
        <is>
          <t>2026-04-30</t>
        </is>
      </c>
      <c r="D240" t="inlineStr">
        <is>
          <t>cus_6cf846994bdb</t>
        </is>
      </c>
      <c r="E240" t="inlineStr">
        <is>
          <t>inv_a278ca11536e</t>
        </is>
      </c>
      <c r="F240" t="n">
        <v>10500</v>
      </c>
      <c r="G240" t="inlineStr"/>
      <c r="H240" t="inlineStr">
        <is>
          <t>來源：訂閱型發票及收款紀錄 第 365 列</t>
        </is>
      </c>
      <c r="I240" t="inlineStr">
        <is>
          <t>2026-05-18</t>
        </is>
      </c>
    </row>
    <row r="241">
      <c r="A241" t="inlineStr">
        <is>
          <t>pay_432b547ef9aa</t>
        </is>
      </c>
      <c r="B241" t="inlineStr">
        <is>
          <t>Peggy</t>
        </is>
      </c>
      <c r="C241" t="inlineStr">
        <is>
          <t>2026-03-02</t>
        </is>
      </c>
      <c r="D241" t="inlineStr">
        <is>
          <t>cus_41dc0723f069</t>
        </is>
      </c>
      <c r="E241" t="inlineStr">
        <is>
          <t>inv_c92441314ac5</t>
        </is>
      </c>
      <c r="F241" t="n">
        <v>378000</v>
      </c>
      <c r="G241" t="inlineStr"/>
      <c r="H241" t="inlineStr">
        <is>
          <t>來源：訂閱型發票及收款紀錄 第 399 列</t>
        </is>
      </c>
      <c r="I241" t="inlineStr">
        <is>
          <t>2026-05-18</t>
        </is>
      </c>
    </row>
    <row r="242">
      <c r="A242" t="inlineStr">
        <is>
          <t>pay_fc914415f919</t>
        </is>
      </c>
      <c r="B242" t="inlineStr">
        <is>
          <t>Peggy</t>
        </is>
      </c>
      <c r="C242" t="inlineStr">
        <is>
          <t>2026-03-05</t>
        </is>
      </c>
      <c r="D242" t="inlineStr">
        <is>
          <t>cus_c5dc9d1310ce</t>
        </is>
      </c>
      <c r="E242" t="inlineStr">
        <is>
          <t>inv_40cb1736540e</t>
        </is>
      </c>
      <c r="F242" t="n">
        <v>84000</v>
      </c>
      <c r="G242" t="inlineStr"/>
      <c r="H242" t="inlineStr">
        <is>
          <t>來源：訂閱型發票及收款紀錄 第 447 列</t>
        </is>
      </c>
      <c r="I242" t="inlineStr">
        <is>
          <t>2026-05-18</t>
        </is>
      </c>
    </row>
    <row r="243">
      <c r="A243" t="inlineStr">
        <is>
          <t>pay_60086c89d203</t>
        </is>
      </c>
      <c r="B243" t="inlineStr">
        <is>
          <t>Peggy</t>
        </is>
      </c>
      <c r="C243" t="inlineStr">
        <is>
          <t>2026-04-15</t>
        </is>
      </c>
      <c r="D243" t="inlineStr">
        <is>
          <t>cus_c5dc9d1310ce</t>
        </is>
      </c>
      <c r="E243" t="inlineStr">
        <is>
          <t>inv_f4e865049fe3</t>
        </is>
      </c>
      <c r="F243" t="n">
        <v>84000</v>
      </c>
      <c r="G243" t="inlineStr"/>
      <c r="H243" t="inlineStr">
        <is>
          <t>來源：訂閱型發票及收款紀錄 第 448 列</t>
        </is>
      </c>
      <c r="I243" t="inlineStr">
        <is>
          <t>2026-05-18</t>
        </is>
      </c>
    </row>
    <row r="244">
      <c r="A244" t="inlineStr">
        <is>
          <t>pay_39b39172ed2a</t>
        </is>
      </c>
      <c r="B244" t="inlineStr">
        <is>
          <t>許瀞鍶</t>
        </is>
      </c>
      <c r="C244" t="inlineStr">
        <is>
          <t>2025-03-03</t>
        </is>
      </c>
      <c r="D244" t="inlineStr">
        <is>
          <t>cus_15dd7113b465</t>
        </is>
      </c>
      <c r="E244" t="inlineStr">
        <is>
          <t>inv_126d8f3a7ef8</t>
        </is>
      </c>
      <c r="F244" t="n">
        <v>52500</v>
      </c>
      <c r="G244" t="inlineStr"/>
      <c r="H244" t="inlineStr">
        <is>
          <t>來源：訂閱型發票及收款紀錄 第 494 列</t>
        </is>
      </c>
      <c r="I244" t="inlineStr">
        <is>
          <t>2026-05-18</t>
        </is>
      </c>
    </row>
    <row r="245">
      <c r="A245" t="inlineStr">
        <is>
          <t>pay_193144528c38</t>
        </is>
      </c>
      <c r="B245" t="inlineStr">
        <is>
          <t>許瀞鍶</t>
        </is>
      </c>
      <c r="C245" t="inlineStr">
        <is>
          <t>2025-03-31</t>
        </is>
      </c>
      <c r="D245" t="inlineStr">
        <is>
          <t>cus_15dd7113b465</t>
        </is>
      </c>
      <c r="E245" t="inlineStr">
        <is>
          <t>inv_efdeb52dfcbb</t>
        </is>
      </c>
      <c r="F245" t="n">
        <v>52500</v>
      </c>
      <c r="G245" t="inlineStr"/>
      <c r="H245" t="inlineStr">
        <is>
          <t>來源：訂閱型發票及收款紀錄 第 495 列</t>
        </is>
      </c>
      <c r="I245" t="inlineStr">
        <is>
          <t>2026-05-18</t>
        </is>
      </c>
    </row>
    <row r="246">
      <c r="A246" t="inlineStr">
        <is>
          <t>pay_7c5b756b89a4</t>
        </is>
      </c>
      <c r="B246" t="inlineStr">
        <is>
          <t>許瀞鍶</t>
        </is>
      </c>
      <c r="C246" t="inlineStr">
        <is>
          <t>2025-04-30</t>
        </is>
      </c>
      <c r="D246" t="inlineStr">
        <is>
          <t>cus_15dd7113b465</t>
        </is>
      </c>
      <c r="E246" t="inlineStr">
        <is>
          <t>inv_a10f38b61e1c</t>
        </is>
      </c>
      <c r="F246" t="n">
        <v>52500</v>
      </c>
      <c r="G246" t="inlineStr"/>
      <c r="H246" t="inlineStr">
        <is>
          <t>來源：訂閱型發票及收款紀錄 第 496 列</t>
        </is>
      </c>
      <c r="I246" t="inlineStr">
        <is>
          <t>2026-05-18</t>
        </is>
      </c>
    </row>
    <row r="247">
      <c r="A247" t="inlineStr">
        <is>
          <t>pay_44a7b47b5c28</t>
        </is>
      </c>
      <c r="B247" t="inlineStr">
        <is>
          <t>許瀞鍶</t>
        </is>
      </c>
      <c r="C247" t="inlineStr">
        <is>
          <t>2025-06-02</t>
        </is>
      </c>
      <c r="D247" t="inlineStr">
        <is>
          <t>cus_15dd7113b465</t>
        </is>
      </c>
      <c r="E247" t="inlineStr">
        <is>
          <t>inv_254167df6d47</t>
        </is>
      </c>
      <c r="F247" t="n">
        <v>52500</v>
      </c>
      <c r="G247" t="inlineStr"/>
      <c r="H247" t="inlineStr">
        <is>
          <t>來源：訂閱型發票及收款紀錄 第 497 列</t>
        </is>
      </c>
      <c r="I247" t="inlineStr">
        <is>
          <t>2026-05-18</t>
        </is>
      </c>
    </row>
    <row r="248">
      <c r="A248" t="inlineStr">
        <is>
          <t>pay_9beb569c4883</t>
        </is>
      </c>
      <c r="B248" t="inlineStr">
        <is>
          <t>許瀞鍶</t>
        </is>
      </c>
      <c r="C248" t="inlineStr">
        <is>
          <t>2025-06-30</t>
        </is>
      </c>
      <c r="D248" t="inlineStr">
        <is>
          <t>cus_15dd7113b465</t>
        </is>
      </c>
      <c r="E248" t="inlineStr">
        <is>
          <t>inv_fca45edd80e8</t>
        </is>
      </c>
      <c r="F248" t="n">
        <v>52500</v>
      </c>
      <c r="G248" t="inlineStr"/>
      <c r="H248" t="inlineStr">
        <is>
          <t>來源：訂閱型發票及收款紀錄 第 498 列</t>
        </is>
      </c>
      <c r="I248" t="inlineStr">
        <is>
          <t>2026-05-18</t>
        </is>
      </c>
    </row>
    <row r="249">
      <c r="A249" t="inlineStr">
        <is>
          <t>pay_e073f0db0c4e</t>
        </is>
      </c>
      <c r="B249" t="inlineStr">
        <is>
          <t>許瀞鍶</t>
        </is>
      </c>
      <c r="C249" t="inlineStr">
        <is>
          <t>2025-07-31</t>
        </is>
      </c>
      <c r="D249" t="inlineStr">
        <is>
          <t>cus_15dd7113b465</t>
        </is>
      </c>
      <c r="E249" t="inlineStr">
        <is>
          <t>inv_1e9bb3c4fd24</t>
        </is>
      </c>
      <c r="F249" t="n">
        <v>52500</v>
      </c>
      <c r="G249" t="inlineStr"/>
      <c r="H249" t="inlineStr">
        <is>
          <t>來源：訂閱型發票及收款紀錄 第 499 列</t>
        </is>
      </c>
      <c r="I249" t="inlineStr">
        <is>
          <t>2026-05-18</t>
        </is>
      </c>
    </row>
    <row r="250">
      <c r="A250" t="inlineStr">
        <is>
          <t>pay_8ade848fc27f</t>
        </is>
      </c>
      <c r="B250" t="inlineStr">
        <is>
          <t>Cobi</t>
        </is>
      </c>
      <c r="C250" t="inlineStr">
        <is>
          <t>2024-11-25</t>
        </is>
      </c>
      <c r="D250" t="inlineStr">
        <is>
          <t>cus_0b41f3919191</t>
        </is>
      </c>
      <c r="E250" t="inlineStr">
        <is>
          <t>inv_da4c372ba557</t>
        </is>
      </c>
      <c r="F250" t="n">
        <v>157500</v>
      </c>
      <c r="G250" t="inlineStr"/>
      <c r="H250" t="inlineStr">
        <is>
          <t>來源：訂閱型發票及收款紀錄 第 501 列</t>
        </is>
      </c>
      <c r="I250" t="inlineStr">
        <is>
          <t>2026-05-18</t>
        </is>
      </c>
    </row>
    <row r="251">
      <c r="A251" t="inlineStr">
        <is>
          <t>pay_9928b7d1c7e9</t>
        </is>
      </c>
      <c r="B251" t="inlineStr">
        <is>
          <t>Cobi</t>
        </is>
      </c>
      <c r="C251" t="inlineStr">
        <is>
          <t>2024-11-25</t>
        </is>
      </c>
      <c r="D251" t="inlineStr">
        <is>
          <t>cus_0b41f3919191</t>
        </is>
      </c>
      <c r="E251" t="inlineStr">
        <is>
          <t>inv_d9e58568bcc5</t>
        </is>
      </c>
      <c r="F251" t="n">
        <v>157500</v>
      </c>
      <c r="G251" t="inlineStr"/>
      <c r="H251" t="inlineStr">
        <is>
          <t>來源：訂閱型發票及收款紀錄 第 502 列</t>
        </is>
      </c>
      <c r="I251" t="inlineStr">
        <is>
          <t>2026-05-18</t>
        </is>
      </c>
    </row>
    <row r="252">
      <c r="A252" t="inlineStr">
        <is>
          <t>pay_709a9cfa8ce1</t>
        </is>
      </c>
      <c r="B252" t="inlineStr">
        <is>
          <t>Cobi</t>
        </is>
      </c>
      <c r="C252" t="inlineStr">
        <is>
          <t>2024-11-25</t>
        </is>
      </c>
      <c r="D252" t="inlineStr">
        <is>
          <t>cus_0b41f3919191</t>
        </is>
      </c>
      <c r="E252" t="inlineStr">
        <is>
          <t>inv_90346d1e92f3</t>
        </is>
      </c>
      <c r="F252" t="n">
        <v>157500</v>
      </c>
      <c r="G252" t="inlineStr"/>
      <c r="H252" t="inlineStr">
        <is>
          <t>來源：訂閱型發票及收款紀錄 第 503 列</t>
        </is>
      </c>
      <c r="I252" t="inlineStr">
        <is>
          <t>2026-05-18</t>
        </is>
      </c>
    </row>
    <row r="253">
      <c r="A253" t="inlineStr">
        <is>
          <t>pay_e844a71f00eb</t>
        </is>
      </c>
      <c r="B253" t="inlineStr">
        <is>
          <t>Cobi</t>
        </is>
      </c>
      <c r="C253" t="inlineStr">
        <is>
          <t>2024-11-25</t>
        </is>
      </c>
      <c r="D253" t="inlineStr">
        <is>
          <t>cus_0b41f3919191</t>
        </is>
      </c>
      <c r="E253" t="inlineStr">
        <is>
          <t>inv_bdcfe0decf60</t>
        </is>
      </c>
      <c r="F253" t="n">
        <v>157500</v>
      </c>
      <c r="G253" t="inlineStr"/>
      <c r="H253" t="inlineStr">
        <is>
          <t>來源：訂閱型發票及收款紀錄 第 504 列</t>
        </is>
      </c>
      <c r="I253" t="inlineStr">
        <is>
          <t>2026-05-18</t>
        </is>
      </c>
    </row>
    <row r="254">
      <c r="A254" t="inlineStr">
        <is>
          <t>pay_24a57f4d01e0</t>
        </is>
      </c>
      <c r="B254" t="inlineStr">
        <is>
          <t>Cobi</t>
        </is>
      </c>
      <c r="C254" t="inlineStr">
        <is>
          <t>2024-12-25</t>
        </is>
      </c>
      <c r="D254" t="inlineStr">
        <is>
          <t>cus_0b41f3919191</t>
        </is>
      </c>
      <c r="E254" t="inlineStr">
        <is>
          <t>inv_d86562f5380c</t>
        </is>
      </c>
      <c r="F254" t="n">
        <v>157500</v>
      </c>
      <c r="G254" t="inlineStr"/>
      <c r="H254" t="inlineStr">
        <is>
          <t>來源：訂閱型發票及收款紀錄 第 505 列</t>
        </is>
      </c>
      <c r="I254" t="inlineStr">
        <is>
          <t>2026-05-18</t>
        </is>
      </c>
    </row>
    <row r="255">
      <c r="A255" t="inlineStr">
        <is>
          <t>pay_0fdc588c5ce7</t>
        </is>
      </c>
      <c r="B255" t="inlineStr">
        <is>
          <t>許瀞鍶</t>
        </is>
      </c>
      <c r="C255" t="inlineStr">
        <is>
          <t>2025-01-24</t>
        </is>
      </c>
      <c r="D255" t="inlineStr">
        <is>
          <t>cus_0b41f3919191</t>
        </is>
      </c>
      <c r="E255" t="inlineStr">
        <is>
          <t>inv_66e4b2022408</t>
        </is>
      </c>
      <c r="F255" t="n">
        <v>157500</v>
      </c>
      <c r="G255" t="inlineStr"/>
      <c r="H255" t="inlineStr">
        <is>
          <t>來源：訂閱型發票及收款紀錄 第 506 列</t>
        </is>
      </c>
      <c r="I255" t="inlineStr">
        <is>
          <t>2026-05-18</t>
        </is>
      </c>
    </row>
    <row r="256">
      <c r="A256" t="inlineStr">
        <is>
          <t>pay_367f5112f47a</t>
        </is>
      </c>
      <c r="B256" t="inlineStr">
        <is>
          <t>許瀞鍶</t>
        </is>
      </c>
      <c r="C256" t="inlineStr">
        <is>
          <t>2025-02-25</t>
        </is>
      </c>
      <c r="D256" t="inlineStr">
        <is>
          <t>cus_0b41f3919191</t>
        </is>
      </c>
      <c r="E256" t="inlineStr">
        <is>
          <t>inv_332e0d47f128</t>
        </is>
      </c>
      <c r="F256" t="n">
        <v>157500</v>
      </c>
      <c r="G256" t="inlineStr"/>
      <c r="H256" t="inlineStr">
        <is>
          <t>來源：訂閱型發票及收款紀錄 第 507 列</t>
        </is>
      </c>
      <c r="I256" t="inlineStr">
        <is>
          <t>2026-05-18</t>
        </is>
      </c>
    </row>
    <row r="257">
      <c r="A257" t="inlineStr">
        <is>
          <t>pay_786d70c214d1</t>
        </is>
      </c>
      <c r="B257" t="inlineStr">
        <is>
          <t>許瀞鍶</t>
        </is>
      </c>
      <c r="C257" t="inlineStr">
        <is>
          <t>2025-03-25</t>
        </is>
      </c>
      <c r="D257" t="inlineStr">
        <is>
          <t>cus_0b41f3919191</t>
        </is>
      </c>
      <c r="E257" t="inlineStr">
        <is>
          <t>inv_fab7aa6dd075</t>
        </is>
      </c>
      <c r="F257" t="n">
        <v>157500</v>
      </c>
      <c r="G257" t="inlineStr"/>
      <c r="H257" t="inlineStr">
        <is>
          <t>來源：訂閱型發票及收款紀錄 第 508 列</t>
        </is>
      </c>
      <c r="I257" t="inlineStr">
        <is>
          <t>2026-05-18</t>
        </is>
      </c>
    </row>
    <row r="258">
      <c r="A258" t="inlineStr">
        <is>
          <t>pay_70b2e71237d9</t>
        </is>
      </c>
      <c r="B258" t="inlineStr">
        <is>
          <t>許瀞鍶</t>
        </is>
      </c>
      <c r="C258" t="inlineStr">
        <is>
          <t>2025-04-25</t>
        </is>
      </c>
      <c r="D258" t="inlineStr">
        <is>
          <t>cus_0b41f3919191</t>
        </is>
      </c>
      <c r="E258" t="inlineStr">
        <is>
          <t>inv_777293c9cbcb</t>
        </is>
      </c>
      <c r="F258" t="n">
        <v>157500</v>
      </c>
      <c r="G258" t="inlineStr"/>
      <c r="H258" t="inlineStr">
        <is>
          <t>來源：訂閱型發票及收款紀錄 第 509 列</t>
        </is>
      </c>
      <c r="I258" t="inlineStr">
        <is>
          <t>2026-05-18</t>
        </is>
      </c>
    </row>
    <row r="259">
      <c r="A259" t="inlineStr">
        <is>
          <t>pay_5a84db2164e4</t>
        </is>
      </c>
      <c r="B259" t="inlineStr">
        <is>
          <t>許瀞鍶</t>
        </is>
      </c>
      <c r="C259" t="inlineStr">
        <is>
          <t>2025-06-02</t>
        </is>
      </c>
      <c r="D259" t="inlineStr">
        <is>
          <t>cus_0b41f3919191</t>
        </is>
      </c>
      <c r="E259" t="inlineStr">
        <is>
          <t>inv_ba7bb9a2b3b6</t>
        </is>
      </c>
      <c r="F259" t="n">
        <v>157500</v>
      </c>
      <c r="G259" t="inlineStr"/>
      <c r="H259" t="inlineStr">
        <is>
          <t>來源：訂閱型發票及收款紀錄 第 510 列</t>
        </is>
      </c>
      <c r="I259" t="inlineStr">
        <is>
          <t>2026-05-18</t>
        </is>
      </c>
    </row>
    <row r="260">
      <c r="A260" t="inlineStr">
        <is>
          <t>pay_5d1b22db3c8b</t>
        </is>
      </c>
      <c r="B260" t="inlineStr">
        <is>
          <t>許瀞鍶</t>
        </is>
      </c>
      <c r="C260" t="inlineStr">
        <is>
          <t>2025-06-25</t>
        </is>
      </c>
      <c r="D260" t="inlineStr">
        <is>
          <t>cus_0b41f3919191</t>
        </is>
      </c>
      <c r="E260" t="inlineStr">
        <is>
          <t>inv_7ebf29c64e38</t>
        </is>
      </c>
      <c r="F260" t="n">
        <v>157500</v>
      </c>
      <c r="G260" t="inlineStr"/>
      <c r="H260" t="inlineStr">
        <is>
          <t>來源：訂閱型發票及收款紀錄 第 511 列</t>
        </is>
      </c>
      <c r="I260" t="inlineStr">
        <is>
          <t>2026-05-18</t>
        </is>
      </c>
    </row>
    <row r="261">
      <c r="A261" t="inlineStr">
        <is>
          <t>pay_8bf7ac0f6664</t>
        </is>
      </c>
      <c r="B261" t="inlineStr">
        <is>
          <t>許瀞鍶</t>
        </is>
      </c>
      <c r="C261" t="inlineStr">
        <is>
          <t>2025-07-25</t>
        </is>
      </c>
      <c r="D261" t="inlineStr">
        <is>
          <t>cus_0b41f3919191</t>
        </is>
      </c>
      <c r="E261" t="inlineStr">
        <is>
          <t>inv_bc72834b26e1</t>
        </is>
      </c>
      <c r="F261" t="n">
        <v>157500</v>
      </c>
      <c r="G261" t="inlineStr"/>
      <c r="H261" t="inlineStr">
        <is>
          <t>來源：訂閱型發票及收款紀錄 第 512 列</t>
        </is>
      </c>
      <c r="I261" t="inlineStr">
        <is>
          <t>2026-05-18</t>
        </is>
      </c>
    </row>
    <row r="262">
      <c r="A262" t="inlineStr">
        <is>
          <t>pay_43ad9e5be010</t>
        </is>
      </c>
      <c r="B262" t="inlineStr">
        <is>
          <t>許瀞鍶</t>
        </is>
      </c>
      <c r="C262" t="inlineStr">
        <is>
          <t>8/19作廢</t>
        </is>
      </c>
      <c r="D262" t="inlineStr">
        <is>
          <t>cus_0b41f3919191</t>
        </is>
      </c>
      <c r="E262" t="inlineStr">
        <is>
          <t>inv_1b53beb52d56</t>
        </is>
      </c>
      <c r="F262" t="n">
        <v>157500</v>
      </c>
      <c r="G262" t="inlineStr"/>
      <c r="H262" t="inlineStr">
        <is>
          <t>來源：訂閱型發票及收款紀錄 第 513 列</t>
        </is>
      </c>
      <c r="I262" t="inlineStr">
        <is>
          <t>2026-05-18</t>
        </is>
      </c>
    </row>
    <row r="263">
      <c r="A263" t="inlineStr">
        <is>
          <t>pay_ab2b509afad7</t>
        </is>
      </c>
      <c r="B263" t="inlineStr">
        <is>
          <t>Maggie</t>
        </is>
      </c>
      <c r="C263" t="inlineStr">
        <is>
          <t>2025-06-03</t>
        </is>
      </c>
      <c r="D263" t="inlineStr">
        <is>
          <t>cus_d37d7a6d8a4e</t>
        </is>
      </c>
      <c r="E263" t="inlineStr">
        <is>
          <t>inv_bbd610fb0baf</t>
        </is>
      </c>
      <c r="F263" t="n">
        <v>24500</v>
      </c>
      <c r="G263" t="inlineStr"/>
      <c r="H263" t="inlineStr">
        <is>
          <t>來源：單次型發票及收款紀錄 第 2 列</t>
        </is>
      </c>
      <c r="I263" t="inlineStr">
        <is>
          <t>2026-05-18</t>
        </is>
      </c>
    </row>
    <row r="264">
      <c r="A264" t="inlineStr">
        <is>
          <t>pay_c196092725f4</t>
        </is>
      </c>
      <c r="B264" t="inlineStr">
        <is>
          <t>Peggy</t>
        </is>
      </c>
      <c r="C264" t="inlineStr">
        <is>
          <t>2025-09-17</t>
        </is>
      </c>
      <c r="D264" t="inlineStr">
        <is>
          <t>cus_d37d7a6d8a4e</t>
        </is>
      </c>
      <c r="E264" t="inlineStr">
        <is>
          <t>inv_8ddc1a136650</t>
        </is>
      </c>
      <c r="F264" t="n">
        <v>94500</v>
      </c>
      <c r="G264" t="inlineStr"/>
      <c r="H264" t="inlineStr">
        <is>
          <t>來源：單次型發票及收款紀錄 第 3 列</t>
        </is>
      </c>
      <c r="I264" t="inlineStr">
        <is>
          <t>2026-05-18</t>
        </is>
      </c>
    </row>
    <row r="265">
      <c r="A265" t="inlineStr">
        <is>
          <t>pay_e62aebea68fe</t>
        </is>
      </c>
      <c r="B265" t="inlineStr">
        <is>
          <t>Maggie</t>
        </is>
      </c>
      <c r="C265" t="inlineStr">
        <is>
          <t>2025-07-04</t>
        </is>
      </c>
      <c r="D265" t="inlineStr">
        <is>
          <t>cus_b8e52468d76b</t>
        </is>
      </c>
      <c r="E265" t="inlineStr">
        <is>
          <t>inv_efca41242cc4</t>
        </is>
      </c>
      <c r="F265" t="n">
        <v>24500</v>
      </c>
      <c r="G265" t="inlineStr"/>
      <c r="H265" t="inlineStr">
        <is>
          <t>來源：單次型發票及收款紀錄 第 4 列</t>
        </is>
      </c>
      <c r="I265" t="inlineStr">
        <is>
          <t>2026-05-18</t>
        </is>
      </c>
    </row>
    <row r="266">
      <c r="A266" t="inlineStr">
        <is>
          <t>pay_774196d5be9d</t>
        </is>
      </c>
      <c r="B266" t="inlineStr">
        <is>
          <t>Peggy</t>
        </is>
      </c>
      <c r="C266" t="inlineStr">
        <is>
          <t>2025-10-14</t>
        </is>
      </c>
      <c r="D266" t="inlineStr">
        <is>
          <t>cus_b8e52468d76b</t>
        </is>
      </c>
      <c r="E266" t="inlineStr">
        <is>
          <t>inv_de2d1e302cad</t>
        </is>
      </c>
      <c r="F266" t="n">
        <v>56700</v>
      </c>
      <c r="G266" t="inlineStr"/>
      <c r="H266" t="inlineStr">
        <is>
          <t>來源：單次型發票及收款紀錄 第 5 列</t>
        </is>
      </c>
      <c r="I266" t="inlineStr">
        <is>
          <t>2026-05-18</t>
        </is>
      </c>
    </row>
    <row r="267">
      <c r="A267" t="inlineStr">
        <is>
          <t>pay_b372c1f7f670</t>
        </is>
      </c>
      <c r="B267" t="inlineStr">
        <is>
          <t>Cobi</t>
        </is>
      </c>
      <c r="C267" t="inlineStr">
        <is>
          <t>2025.10.31
2025.11.4</t>
        </is>
      </c>
      <c r="D267" t="inlineStr">
        <is>
          <t>cus_ea78377525ac</t>
        </is>
      </c>
      <c r="E267" t="inlineStr">
        <is>
          <t>inv_91ead3b47c7a</t>
        </is>
      </c>
      <c r="F267" t="n">
        <v>15750</v>
      </c>
      <c r="G267" t="inlineStr"/>
      <c r="H267" t="inlineStr">
        <is>
          <t>來源：單次型發票及收款紀錄 第 6 列</t>
        </is>
      </c>
      <c r="I267" t="inlineStr">
        <is>
          <t>2026-05-18</t>
        </is>
      </c>
    </row>
    <row r="268">
      <c r="A268" t="inlineStr">
        <is>
          <t>pay_01080f283541</t>
        </is>
      </c>
      <c r="B268" t="inlineStr">
        <is>
          <t>Cobi</t>
        </is>
      </c>
      <c r="C268" t="inlineStr">
        <is>
          <t>2025-12-01</t>
        </is>
      </c>
      <c r="D268" t="inlineStr">
        <is>
          <t>cus_ea78377525ac</t>
        </is>
      </c>
      <c r="E268" t="inlineStr">
        <is>
          <t>inv_09c60004121b</t>
        </is>
      </c>
      <c r="F268" t="n">
        <v>5250</v>
      </c>
      <c r="G268" t="inlineStr"/>
      <c r="H268" t="inlineStr">
        <is>
          <t>來源：單次型發票及收款紀錄 第 7 列</t>
        </is>
      </c>
      <c r="I268" t="inlineStr">
        <is>
          <t>2026-05-18</t>
        </is>
      </c>
    </row>
    <row r="269">
      <c r="A269" t="inlineStr">
        <is>
          <t>pay_a92b190326b4</t>
        </is>
      </c>
      <c r="B269" t="inlineStr">
        <is>
          <t>Erin</t>
        </is>
      </c>
      <c r="C269" t="inlineStr">
        <is>
          <t>2025-04-30</t>
        </is>
      </c>
      <c r="D269" t="inlineStr">
        <is>
          <t>cus_00cf1d9fc303</t>
        </is>
      </c>
      <c r="E269" t="inlineStr">
        <is>
          <t>inv_58c9f4c2fc2c</t>
        </is>
      </c>
      <c r="F269" t="n">
        <v>315000</v>
      </c>
      <c r="G269" t="inlineStr"/>
      <c r="H269" t="inlineStr">
        <is>
          <t>來源：單次型發票及收款紀錄 第 8 列</t>
        </is>
      </c>
      <c r="I269" t="inlineStr">
        <is>
          <t>2026-05-18</t>
        </is>
      </c>
    </row>
    <row r="270">
      <c r="A270" t="inlineStr">
        <is>
          <t>pay_703479ad7aa6</t>
        </is>
      </c>
      <c r="B270" t="inlineStr">
        <is>
          <t>Kate</t>
        </is>
      </c>
      <c r="C270" t="inlineStr">
        <is>
          <t>2025-09-30</t>
        </is>
      </c>
      <c r="D270" t="inlineStr">
        <is>
          <t>cus_00cf1d9fc303</t>
        </is>
      </c>
      <c r="E270" t="inlineStr">
        <is>
          <t>inv_0880f56c0001</t>
        </is>
      </c>
      <c r="F270" t="n">
        <v>100000</v>
      </c>
      <c r="G270" t="inlineStr"/>
      <c r="H270" t="inlineStr">
        <is>
          <t>來源：單次型發票及收款紀錄 第 9 列</t>
        </is>
      </c>
      <c r="I270" t="inlineStr">
        <is>
          <t>2026-05-18</t>
        </is>
      </c>
    </row>
    <row r="271">
      <c r="A271" t="inlineStr">
        <is>
          <t>pay_70d97b0411cb</t>
        </is>
      </c>
      <c r="B271" t="inlineStr">
        <is>
          <t>Kate</t>
        </is>
      </c>
      <c r="C271" t="inlineStr">
        <is>
          <t>2025-09-30</t>
        </is>
      </c>
      <c r="D271" t="inlineStr">
        <is>
          <t>cus_00cf1d9fc303</t>
        </is>
      </c>
      <c r="E271" t="inlineStr">
        <is>
          <t>inv_06871904b468</t>
        </is>
      </c>
      <c r="F271" t="n">
        <v>100000</v>
      </c>
      <c r="G271" t="inlineStr"/>
      <c r="H271" t="inlineStr">
        <is>
          <t>來源：單次型發票及收款紀錄 第 10 列</t>
        </is>
      </c>
      <c r="I271" t="inlineStr">
        <is>
          <t>2026-05-18</t>
        </is>
      </c>
    </row>
    <row r="272">
      <c r="A272" t="inlineStr">
        <is>
          <t>pay_290e9640d4b9</t>
        </is>
      </c>
      <c r="B272" t="inlineStr">
        <is>
          <t>Kate</t>
        </is>
      </c>
      <c r="C272" t="inlineStr">
        <is>
          <t>2026-02-02</t>
        </is>
      </c>
      <c r="D272" t="inlineStr">
        <is>
          <t>cus_00cf1d9fc303</t>
        </is>
      </c>
      <c r="E272" t="inlineStr">
        <is>
          <t>inv_c5642412774a</t>
        </is>
      </c>
      <c r="F272" t="n">
        <v>687500</v>
      </c>
      <c r="G272" t="inlineStr"/>
      <c r="H272" t="inlineStr">
        <is>
          <t>來源：單次型發票及收款紀錄 第 11 列</t>
        </is>
      </c>
      <c r="I272" t="inlineStr">
        <is>
          <t>2026-05-18</t>
        </is>
      </c>
    </row>
    <row r="273">
      <c r="A273" t="inlineStr">
        <is>
          <t>pay_767fe123e357</t>
        </is>
      </c>
      <c r="B273" t="inlineStr">
        <is>
          <t>黃思睿</t>
        </is>
      </c>
      <c r="C273" t="inlineStr">
        <is>
          <t>2023-12-27</t>
        </is>
      </c>
      <c r="D273" t="inlineStr">
        <is>
          <t>cus_dd529e19734e</t>
        </is>
      </c>
      <c r="E273" t="inlineStr">
        <is>
          <t>inv_0d92a3ce10d1</t>
        </is>
      </c>
      <c r="F273" t="n">
        <v>26145</v>
      </c>
      <c r="G273" t="inlineStr"/>
      <c r="H273" t="inlineStr">
        <is>
          <t>來源：單次型發票及收款紀錄 第 12 列</t>
        </is>
      </c>
      <c r="I273" t="inlineStr">
        <is>
          <t>2026-05-18</t>
        </is>
      </c>
    </row>
    <row r="274">
      <c r="A274" t="inlineStr">
        <is>
          <t>pay_182600d7d79a</t>
        </is>
      </c>
      <c r="B274" t="inlineStr">
        <is>
          <t>黃思睿</t>
        </is>
      </c>
      <c r="C274" t="inlineStr">
        <is>
          <t>2024-01-26</t>
        </is>
      </c>
      <c r="D274" t="inlineStr">
        <is>
          <t>cus_dd529e19734e</t>
        </is>
      </c>
      <c r="E274" t="inlineStr">
        <is>
          <t>inv_d32954282668</t>
        </is>
      </c>
      <c r="F274" t="n">
        <v>54007</v>
      </c>
      <c r="G274" t="inlineStr"/>
      <c r="H274" t="inlineStr">
        <is>
          <t>來源：單次型發票及收款紀錄 第 13 列</t>
        </is>
      </c>
      <c r="I274" t="inlineStr">
        <is>
          <t>2026-05-18</t>
        </is>
      </c>
    </row>
    <row r="275">
      <c r="A275" t="inlineStr">
        <is>
          <t>pay_9b5548795f5d</t>
        </is>
      </c>
      <c r="B275" t="inlineStr">
        <is>
          <t>黃思睿</t>
        </is>
      </c>
      <c r="C275" t="inlineStr">
        <is>
          <t>2024-01-26</t>
        </is>
      </c>
      <c r="D275" t="inlineStr">
        <is>
          <t>cus_dd529e19734e</t>
        </is>
      </c>
      <c r="E275" t="inlineStr">
        <is>
          <t>inv_0da289c432b4</t>
        </is>
      </c>
      <c r="F275" t="n">
        <v>1428</v>
      </c>
      <c r="G275" t="inlineStr"/>
      <c r="H275" t="inlineStr">
        <is>
          <t>來源：單次型發票及收款紀錄 第 14 列</t>
        </is>
      </c>
      <c r="I275" t="inlineStr">
        <is>
          <t>2026-05-18</t>
        </is>
      </c>
    </row>
    <row r="276">
      <c r="A276" t="inlineStr">
        <is>
          <t>pay_79553b1f9e4b</t>
        </is>
      </c>
      <c r="B276" t="inlineStr">
        <is>
          <t>黃思睿</t>
        </is>
      </c>
      <c r="C276" t="inlineStr">
        <is>
          <t>2024-02-27</t>
        </is>
      </c>
      <c r="D276" t="inlineStr">
        <is>
          <t>cus_dd529e19734e</t>
        </is>
      </c>
      <c r="E276" t="inlineStr">
        <is>
          <t>inv_e0e819516fbc</t>
        </is>
      </c>
      <c r="F276" t="n">
        <v>25788</v>
      </c>
      <c r="G276" t="inlineStr"/>
      <c r="H276" t="inlineStr">
        <is>
          <t>來源：單次型發票及收款紀錄 第 15 列</t>
        </is>
      </c>
      <c r="I276" t="inlineStr">
        <is>
          <t>2026-05-18</t>
        </is>
      </c>
    </row>
    <row r="277">
      <c r="A277" t="inlineStr">
        <is>
          <t>pay_a9f09382119a</t>
        </is>
      </c>
      <c r="B277" t="inlineStr">
        <is>
          <t>黃思睿</t>
        </is>
      </c>
      <c r="C277" t="inlineStr">
        <is>
          <t>2024-04-12</t>
        </is>
      </c>
      <c r="D277" t="inlineStr">
        <is>
          <t>cus_dd529e19734e</t>
        </is>
      </c>
      <c r="E277" t="inlineStr">
        <is>
          <t>inv_0126c0e66d3d</t>
        </is>
      </c>
      <c r="F277" t="n">
        <v>40152</v>
      </c>
      <c r="G277" t="inlineStr"/>
      <c r="H277" t="inlineStr">
        <is>
          <t>來源：單次型發票及收款紀錄 第 16 列</t>
        </is>
      </c>
      <c r="I277" t="inlineStr">
        <is>
          <t>2026-05-18</t>
        </is>
      </c>
    </row>
    <row r="278">
      <c r="A278" t="inlineStr">
        <is>
          <t>pay_526a1c143a85</t>
        </is>
      </c>
      <c r="B278" t="inlineStr">
        <is>
          <t>黃思睿</t>
        </is>
      </c>
      <c r="C278" t="inlineStr">
        <is>
          <t>2024-04-29</t>
        </is>
      </c>
      <c r="D278" t="inlineStr">
        <is>
          <t>cus_dd529e19734e</t>
        </is>
      </c>
      <c r="E278" t="inlineStr">
        <is>
          <t>inv_935a2008d567</t>
        </is>
      </c>
      <c r="F278" t="n">
        <v>14474</v>
      </c>
      <c r="G278" t="inlineStr"/>
      <c r="H278" t="inlineStr">
        <is>
          <t>來源：單次型發票及收款紀錄 第 17 列</t>
        </is>
      </c>
      <c r="I278" t="inlineStr">
        <is>
          <t>2026-05-18</t>
        </is>
      </c>
    </row>
    <row r="279">
      <c r="A279" t="inlineStr">
        <is>
          <t>pay_1591a1c11dd4</t>
        </is>
      </c>
      <c r="B279" t="inlineStr">
        <is>
          <t>黃思睿</t>
        </is>
      </c>
      <c r="C279" t="inlineStr">
        <is>
          <t>2024-05-27</t>
        </is>
      </c>
      <c r="D279" t="inlineStr">
        <is>
          <t>cus_dd529e19734e</t>
        </is>
      </c>
      <c r="E279" t="inlineStr">
        <is>
          <t>inv_906882e4fa21</t>
        </is>
      </c>
      <c r="F279" t="n">
        <v>12915</v>
      </c>
      <c r="G279" t="inlineStr"/>
      <c r="H279" t="inlineStr">
        <is>
          <t>來源：單次型發票及收款紀錄 第 18 列</t>
        </is>
      </c>
      <c r="I279" t="inlineStr">
        <is>
          <t>2026-05-18</t>
        </is>
      </c>
    </row>
    <row r="280">
      <c r="A280" t="inlineStr">
        <is>
          <t>pay_a6117036cfec</t>
        </is>
      </c>
      <c r="B280" t="inlineStr">
        <is>
          <t>黃思睿</t>
        </is>
      </c>
      <c r="C280" t="inlineStr">
        <is>
          <t>2024-06-27</t>
        </is>
      </c>
      <c r="D280" t="inlineStr">
        <is>
          <t>cus_dd529e19734e</t>
        </is>
      </c>
      <c r="E280" t="inlineStr">
        <is>
          <t>inv_5d2b8db2e6aa</t>
        </is>
      </c>
      <c r="F280" t="n">
        <v>22208</v>
      </c>
      <c r="G280" t="inlineStr"/>
      <c r="H280" t="inlineStr">
        <is>
          <t>來源：單次型發票及收款紀錄 第 19 列</t>
        </is>
      </c>
      <c r="I280" t="inlineStr">
        <is>
          <t>2026-05-18</t>
        </is>
      </c>
    </row>
    <row r="281">
      <c r="A281" t="inlineStr">
        <is>
          <t>pay_902479f8a4a5</t>
        </is>
      </c>
      <c r="B281" t="inlineStr">
        <is>
          <t>黃思睿</t>
        </is>
      </c>
      <c r="C281" t="inlineStr">
        <is>
          <t>2024-07-29</t>
        </is>
      </c>
      <c r="D281" t="inlineStr">
        <is>
          <t>cus_dd529e19734e</t>
        </is>
      </c>
      <c r="E281" t="inlineStr">
        <is>
          <t>inv_80337585bc3e</t>
        </is>
      </c>
      <c r="F281" t="n">
        <v>27221</v>
      </c>
      <c r="G281" t="inlineStr"/>
      <c r="H281" t="inlineStr">
        <is>
          <t>來源：單次型發票及收款紀錄 第 20 列</t>
        </is>
      </c>
      <c r="I281" t="inlineStr">
        <is>
          <t>2026-05-18</t>
        </is>
      </c>
    </row>
    <row r="282">
      <c r="A282" t="inlineStr">
        <is>
          <t>pay_906ca4fe09ea</t>
        </is>
      </c>
      <c r="B282" t="inlineStr">
        <is>
          <t>黃思睿</t>
        </is>
      </c>
      <c r="C282" t="inlineStr">
        <is>
          <t>2024-08-27</t>
        </is>
      </c>
      <c r="D282" t="inlineStr">
        <is>
          <t>cus_dd529e19734e</t>
        </is>
      </c>
      <c r="E282" t="inlineStr">
        <is>
          <t>inv_7f11128c04f5</t>
        </is>
      </c>
      <c r="F282" t="n">
        <v>32224</v>
      </c>
      <c r="G282" t="inlineStr"/>
      <c r="H282" t="inlineStr">
        <is>
          <t>來源：單次型發票及收款紀錄 第 21 列</t>
        </is>
      </c>
      <c r="I282" t="inlineStr">
        <is>
          <t>2026-05-18</t>
        </is>
      </c>
    </row>
    <row r="283">
      <c r="A283" t="inlineStr">
        <is>
          <t>pay_0b5ce814649b</t>
        </is>
      </c>
      <c r="B283" t="inlineStr">
        <is>
          <t>黃思睿</t>
        </is>
      </c>
      <c r="C283" t="inlineStr">
        <is>
          <t>2024-09-27</t>
        </is>
      </c>
      <c r="D283" t="inlineStr">
        <is>
          <t>cus_dd529e19734e</t>
        </is>
      </c>
      <c r="E283" t="inlineStr">
        <is>
          <t>inv_d149d837bf00</t>
        </is>
      </c>
      <c r="F283" t="n">
        <v>19577</v>
      </c>
      <c r="G283" t="inlineStr"/>
      <c r="H283" t="inlineStr">
        <is>
          <t>來源：單次型發票及收款紀錄 第 22 列</t>
        </is>
      </c>
      <c r="I283" t="inlineStr">
        <is>
          <t>2026-05-18</t>
        </is>
      </c>
    </row>
    <row r="284">
      <c r="A284" t="inlineStr">
        <is>
          <t>pay_33ae42872a3d</t>
        </is>
      </c>
      <c r="B284" t="inlineStr">
        <is>
          <t>Cobi</t>
        </is>
      </c>
      <c r="C284" t="inlineStr">
        <is>
          <t>2024-10-28</t>
        </is>
      </c>
      <c r="D284" t="inlineStr">
        <is>
          <t>cus_dd529e19734e</t>
        </is>
      </c>
      <c r="E284" t="inlineStr">
        <is>
          <t>inv_bad74c460cd1</t>
        </is>
      </c>
      <c r="F284" t="n">
        <v>27991</v>
      </c>
      <c r="G284" t="inlineStr"/>
      <c r="H284" t="inlineStr">
        <is>
          <t>來源：單次型發票及收款紀錄 第 23 列</t>
        </is>
      </c>
      <c r="I284" t="inlineStr">
        <is>
          <t>2026-05-18</t>
        </is>
      </c>
    </row>
    <row r="285">
      <c r="A285" t="inlineStr">
        <is>
          <t>pay_1133601c23ee</t>
        </is>
      </c>
      <c r="B285" t="inlineStr">
        <is>
          <t>Cobi</t>
        </is>
      </c>
      <c r="C285" t="inlineStr">
        <is>
          <t>2024-11-27</t>
        </is>
      </c>
      <c r="D285" t="inlineStr">
        <is>
          <t>cus_dd529e19734e</t>
        </is>
      </c>
      <c r="E285" t="inlineStr">
        <is>
          <t>inv_8b07835c30f1</t>
        </is>
      </c>
      <c r="F285" t="n">
        <v>16302</v>
      </c>
      <c r="G285" t="inlineStr"/>
      <c r="H285" t="inlineStr">
        <is>
          <t>來源：單次型發票及收款紀錄 第 24 列</t>
        </is>
      </c>
      <c r="I285" t="inlineStr">
        <is>
          <t>2026-05-18</t>
        </is>
      </c>
    </row>
    <row r="286">
      <c r="A286" t="inlineStr">
        <is>
          <t>pay_0c8e920383d2</t>
        </is>
      </c>
      <c r="B286" t="inlineStr">
        <is>
          <t>Cobi</t>
        </is>
      </c>
      <c r="C286" t="inlineStr">
        <is>
          <t>2024-12-27</t>
        </is>
      </c>
      <c r="D286" t="inlineStr">
        <is>
          <t>cus_dd529e19734e</t>
        </is>
      </c>
      <c r="E286" t="inlineStr">
        <is>
          <t>inv_64794c904ccb</t>
        </is>
      </c>
      <c r="F286" t="n">
        <v>11954</v>
      </c>
      <c r="G286" t="inlineStr"/>
      <c r="H286" t="inlineStr">
        <is>
          <t>來源：單次型發票及收款紀錄 第 25 列</t>
        </is>
      </c>
      <c r="I286" t="inlineStr">
        <is>
          <t>2026-05-18</t>
        </is>
      </c>
    </row>
    <row r="287">
      <c r="A287" t="inlineStr">
        <is>
          <t>pay_b83af89227e8</t>
        </is>
      </c>
      <c r="B287" t="inlineStr">
        <is>
          <t>Erin</t>
        </is>
      </c>
      <c r="C287" t="inlineStr">
        <is>
          <t>2025-01-13</t>
        </is>
      </c>
      <c r="D287" t="inlineStr">
        <is>
          <t>cus_dd529e19734e</t>
        </is>
      </c>
      <c r="E287" t="inlineStr">
        <is>
          <t>inv_5e9c49f0fbc2</t>
        </is>
      </c>
      <c r="F287" t="n">
        <v>27140</v>
      </c>
      <c r="G287" t="inlineStr"/>
      <c r="H287" t="inlineStr">
        <is>
          <t>來源：單次型發票及收款紀錄 第 26 列</t>
        </is>
      </c>
      <c r="I287" t="inlineStr">
        <is>
          <t>2026-05-18</t>
        </is>
      </c>
    </row>
    <row r="288">
      <c r="A288" t="inlineStr">
        <is>
          <t>pay_86b92a2967cb</t>
        </is>
      </c>
      <c r="B288" t="inlineStr">
        <is>
          <t>Erin</t>
        </is>
      </c>
      <c r="C288" t="inlineStr">
        <is>
          <t>2025-02-27</t>
        </is>
      </c>
      <c r="D288" t="inlineStr">
        <is>
          <t>cus_dd529e19734e</t>
        </is>
      </c>
      <c r="E288" t="inlineStr">
        <is>
          <t>inv_6c4b38958902</t>
        </is>
      </c>
      <c r="F288" t="n">
        <v>40367</v>
      </c>
      <c r="G288" t="inlineStr"/>
      <c r="H288" t="inlineStr">
        <is>
          <t>來源：單次型發票及收款紀錄 第 27 列</t>
        </is>
      </c>
      <c r="I288" t="inlineStr">
        <is>
          <t>2026-05-18</t>
        </is>
      </c>
    </row>
    <row r="289">
      <c r="A289" t="inlineStr">
        <is>
          <t>pay_358ad100a5d2</t>
        </is>
      </c>
      <c r="B289" t="inlineStr">
        <is>
          <t>Erin</t>
        </is>
      </c>
      <c r="C289" t="inlineStr">
        <is>
          <t>2025-03-27</t>
        </is>
      </c>
      <c r="D289" t="inlineStr">
        <is>
          <t>cus_dd529e19734e</t>
        </is>
      </c>
      <c r="E289" t="inlineStr">
        <is>
          <t>inv_598d713de18d</t>
        </is>
      </c>
      <c r="F289" t="n">
        <v>17325</v>
      </c>
      <c r="G289" t="inlineStr"/>
      <c r="H289" t="inlineStr">
        <is>
          <t>來源：單次型發票及收款紀錄 第 28 列</t>
        </is>
      </c>
      <c r="I289" t="inlineStr">
        <is>
          <t>2026-05-18</t>
        </is>
      </c>
    </row>
    <row r="290">
      <c r="A290" t="inlineStr">
        <is>
          <t>pay_2bbc06330b2d</t>
        </is>
      </c>
      <c r="B290" t="inlineStr">
        <is>
          <t>Erin</t>
        </is>
      </c>
      <c r="C290" t="inlineStr">
        <is>
          <t>2025-09-30</t>
        </is>
      </c>
      <c r="D290" t="inlineStr">
        <is>
          <t>cus_dd529e19734e</t>
        </is>
      </c>
      <c r="E290" t="inlineStr">
        <is>
          <t>inv_5ea6e85ef9d3</t>
        </is>
      </c>
      <c r="F290" t="n">
        <v>7040</v>
      </c>
      <c r="G290" t="inlineStr"/>
      <c r="H290" t="inlineStr">
        <is>
          <t>來源：單次型發票及收款紀錄 第 29 列</t>
        </is>
      </c>
      <c r="I290" t="inlineStr">
        <is>
          <t>2026-05-18</t>
        </is>
      </c>
    </row>
    <row r="291">
      <c r="A291" t="inlineStr">
        <is>
          <t>pay_3f80691f92ed</t>
        </is>
      </c>
      <c r="B291" t="inlineStr">
        <is>
          <t>Kate</t>
        </is>
      </c>
      <c r="C291" t="inlineStr">
        <is>
          <t>2025-09-05</t>
        </is>
      </c>
      <c r="D291" t="inlineStr">
        <is>
          <t>cus_dd529e19734e</t>
        </is>
      </c>
      <c r="E291" t="inlineStr">
        <is>
          <t>inv_e1bb3af3b377</t>
        </is>
      </c>
      <c r="F291" t="n">
        <v>18599</v>
      </c>
      <c r="G291" t="inlineStr"/>
      <c r="H291" t="inlineStr">
        <is>
          <t>來源：單次型發票及收款紀錄 第 31 列</t>
        </is>
      </c>
      <c r="I291" t="inlineStr">
        <is>
          <t>2026-05-18</t>
        </is>
      </c>
    </row>
    <row r="292">
      <c r="A292" t="inlineStr">
        <is>
          <t>pay_1a35891793c1</t>
        </is>
      </c>
      <c r="B292" t="inlineStr">
        <is>
          <t>Kate</t>
        </is>
      </c>
      <c r="C292" t="inlineStr">
        <is>
          <t>2025-09-30</t>
        </is>
      </c>
      <c r="D292" t="inlineStr">
        <is>
          <t>cus_dd529e19734e</t>
        </is>
      </c>
      <c r="E292" t="inlineStr">
        <is>
          <t>inv_4a978f78f7f1</t>
        </is>
      </c>
      <c r="F292" t="n">
        <v>8489</v>
      </c>
      <c r="G292" t="inlineStr"/>
      <c r="H292" t="inlineStr">
        <is>
          <t>來源：單次型發票及收款紀錄 第 32 列</t>
        </is>
      </c>
      <c r="I292" t="inlineStr">
        <is>
          <t>2026-05-18</t>
        </is>
      </c>
    </row>
    <row r="293">
      <c r="A293" t="inlineStr">
        <is>
          <t>pay_f1d4579155a1</t>
        </is>
      </c>
      <c r="B293" t="inlineStr">
        <is>
          <t>Kate</t>
        </is>
      </c>
      <c r="C293" t="inlineStr">
        <is>
          <t>2025-10-27</t>
        </is>
      </c>
      <c r="D293" t="inlineStr">
        <is>
          <t>cus_dd529e19734e</t>
        </is>
      </c>
      <c r="E293" t="inlineStr">
        <is>
          <t>inv_23e07e245b95</t>
        </is>
      </c>
      <c r="F293" t="n">
        <v>4410</v>
      </c>
      <c r="G293" t="inlineStr"/>
      <c r="H293" t="inlineStr">
        <is>
          <t>來源：單次型發票及收款紀錄 第 33 列</t>
        </is>
      </c>
      <c r="I293" t="inlineStr">
        <is>
          <t>2026-05-18</t>
        </is>
      </c>
    </row>
    <row r="294">
      <c r="A294" t="inlineStr">
        <is>
          <t>pay_422714a9d1e9</t>
        </is>
      </c>
      <c r="B294" t="inlineStr">
        <is>
          <t>Kate</t>
        </is>
      </c>
      <c r="C294" t="inlineStr">
        <is>
          <t>2025-12-12</t>
        </is>
      </c>
      <c r="D294" t="inlineStr">
        <is>
          <t>cus_dd529e19734e</t>
        </is>
      </c>
      <c r="E294" t="inlineStr">
        <is>
          <t>inv_330054c53d9c</t>
        </is>
      </c>
      <c r="F294" t="n">
        <v>10395</v>
      </c>
      <c r="G294" t="inlineStr"/>
      <c r="H294" t="inlineStr">
        <is>
          <t>來源：單次型發票及收款紀錄 第 34 列</t>
        </is>
      </c>
      <c r="I294" t="inlineStr">
        <is>
          <t>2026-05-18</t>
        </is>
      </c>
    </row>
    <row r="295">
      <c r="A295" t="inlineStr">
        <is>
          <t>pay_aa4b74e193e5</t>
        </is>
      </c>
      <c r="B295" t="inlineStr">
        <is>
          <t>Kate</t>
        </is>
      </c>
      <c r="C295" t="inlineStr">
        <is>
          <t>2026-03-16</t>
        </is>
      </c>
      <c r="D295" t="inlineStr">
        <is>
          <t>cus_dd529e19734e</t>
        </is>
      </c>
      <c r="E295" t="inlineStr">
        <is>
          <t>inv_3cc730a06042</t>
        </is>
      </c>
      <c r="F295" t="n">
        <v>2494</v>
      </c>
      <c r="G295" t="inlineStr"/>
      <c r="H295" t="inlineStr">
        <is>
          <t>來源：單次型發票及收款紀錄 第 35 列</t>
        </is>
      </c>
      <c r="I295" t="inlineStr">
        <is>
          <t>2026-05-18</t>
        </is>
      </c>
    </row>
    <row r="296">
      <c r="A296" t="inlineStr">
        <is>
          <t>pay_a30fae9e1dbf</t>
        </is>
      </c>
      <c r="B296" t="inlineStr">
        <is>
          <t>Peggy</t>
        </is>
      </c>
      <c r="C296" t="inlineStr">
        <is>
          <t>2025-09-12</t>
        </is>
      </c>
      <c r="D296" t="inlineStr">
        <is>
          <t>cus_ac7d98410c78</t>
        </is>
      </c>
      <c r="E296" t="inlineStr">
        <is>
          <t>inv_2f77339187bb</t>
        </is>
      </c>
      <c r="F296" t="n">
        <v>10500</v>
      </c>
      <c r="G296" t="inlineStr"/>
      <c r="H296" t="inlineStr">
        <is>
          <t>來源：單次型發票及收款紀錄 第 36 列</t>
        </is>
      </c>
      <c r="I296" t="inlineStr">
        <is>
          <t>2026-05-18</t>
        </is>
      </c>
    </row>
    <row r="297">
      <c r="A297" t="inlineStr">
        <is>
          <t>pay_eb6bb1401253</t>
        </is>
      </c>
      <c r="B297" t="inlineStr">
        <is>
          <t>Erin</t>
        </is>
      </c>
      <c r="C297" t="inlineStr">
        <is>
          <t>2026-01-02</t>
        </is>
      </c>
      <c r="D297" t="inlineStr">
        <is>
          <t>cus_d70917d65656</t>
        </is>
      </c>
      <c r="E297" t="inlineStr">
        <is>
          <t>inv_f5f979fcddfb</t>
        </is>
      </c>
      <c r="F297" t="n">
        <v>47250</v>
      </c>
      <c r="G297" t="inlineStr"/>
      <c r="H297" t="inlineStr">
        <is>
          <t>來源：單次型發票及收款紀錄 第 37 列</t>
        </is>
      </c>
      <c r="I297" t="inlineStr">
        <is>
          <t>2026-05-18</t>
        </is>
      </c>
    </row>
    <row r="298">
      <c r="A298" t="inlineStr">
        <is>
          <t>pay_ebea647f511a</t>
        </is>
      </c>
      <c r="B298" t="inlineStr">
        <is>
          <t>Cobi</t>
        </is>
      </c>
      <c r="C298" t="inlineStr">
        <is>
          <t>2025-11-03</t>
        </is>
      </c>
      <c r="D298" t="inlineStr">
        <is>
          <t>cus_0ebf11dc9756</t>
        </is>
      </c>
      <c r="E298" t="inlineStr">
        <is>
          <t>inv_4e3c101fafe9</t>
        </is>
      </c>
      <c r="F298" t="n">
        <v>52500</v>
      </c>
      <c r="G298" t="inlineStr"/>
      <c r="H298" t="inlineStr">
        <is>
          <t>來源：單次型發票及收款紀錄 第 38 列</t>
        </is>
      </c>
      <c r="I298" t="inlineStr">
        <is>
          <t>2026-05-18</t>
        </is>
      </c>
    </row>
    <row r="299">
      <c r="A299" t="inlineStr">
        <is>
          <t>pay_e4a58eb6e9c0</t>
        </is>
      </c>
      <c r="B299" t="inlineStr">
        <is>
          <t>Cobi</t>
        </is>
      </c>
      <c r="C299" t="inlineStr">
        <is>
          <t>2025-09-01</t>
        </is>
      </c>
      <c r="D299" t="inlineStr">
        <is>
          <t>cus_0ebf11dc9756</t>
        </is>
      </c>
      <c r="E299" t="inlineStr">
        <is>
          <t>inv_57cc139b6766</t>
        </is>
      </c>
      <c r="F299" t="n">
        <v>420000</v>
      </c>
      <c r="G299" t="inlineStr"/>
      <c r="H299" t="inlineStr">
        <is>
          <t>來源：單次型發票及收款紀錄 第 39 列</t>
        </is>
      </c>
      <c r="I299" t="inlineStr">
        <is>
          <t>2026-05-18</t>
        </is>
      </c>
    </row>
    <row r="300">
      <c r="A300" t="inlineStr">
        <is>
          <t>pay_4096be7f92a6</t>
        </is>
      </c>
      <c r="B300" t="inlineStr">
        <is>
          <t>Cobi</t>
        </is>
      </c>
      <c r="C300" t="inlineStr">
        <is>
          <t>2025-09-10</t>
        </is>
      </c>
      <c r="D300" t="inlineStr">
        <is>
          <t>cus_e20a7573f5a1</t>
        </is>
      </c>
      <c r="E300" t="inlineStr">
        <is>
          <t>inv_bc05a332dbde</t>
        </is>
      </c>
      <c r="F300" t="n">
        <v>52500</v>
      </c>
      <c r="G300" t="inlineStr"/>
      <c r="H300" t="inlineStr">
        <is>
          <t>來源：單次型發票及收款紀錄 第 40 列</t>
        </is>
      </c>
      <c r="I300" t="inlineStr">
        <is>
          <t>2026-05-18</t>
        </is>
      </c>
    </row>
    <row r="301">
      <c r="A301" t="inlineStr">
        <is>
          <t>pay_fc2a00a5579b</t>
        </is>
      </c>
      <c r="B301" t="inlineStr">
        <is>
          <t>Cobi</t>
        </is>
      </c>
      <c r="C301" t="inlineStr">
        <is>
          <t>2025-10-01</t>
        </is>
      </c>
      <c r="D301" t="inlineStr">
        <is>
          <t>cus_769b585645b5</t>
        </is>
      </c>
      <c r="E301" t="inlineStr">
        <is>
          <t>inv_759e6566da79</t>
        </is>
      </c>
      <c r="F301" t="n">
        <v>47250</v>
      </c>
      <c r="G301" t="inlineStr"/>
      <c r="H301" t="inlineStr">
        <is>
          <t>來源：單次型發票及收款紀錄 第 41 列</t>
        </is>
      </c>
      <c r="I301" t="inlineStr">
        <is>
          <t>2026-05-18</t>
        </is>
      </c>
    </row>
    <row r="302">
      <c r="A302" t="inlineStr">
        <is>
          <t>pay_405d7ebccf28</t>
        </is>
      </c>
      <c r="B302" t="inlineStr">
        <is>
          <t>Cobi</t>
        </is>
      </c>
      <c r="C302" t="inlineStr">
        <is>
          <t>7/16作廢</t>
        </is>
      </c>
      <c r="D302" t="inlineStr">
        <is>
          <t>cus_769b585645b5</t>
        </is>
      </c>
      <c r="E302" t="inlineStr">
        <is>
          <t>inv_046f5f3b53bf</t>
        </is>
      </c>
      <c r="F302" t="n">
        <v>47250</v>
      </c>
      <c r="G302" t="inlineStr"/>
      <c r="H302" t="inlineStr">
        <is>
          <t>來源：單次型發票及收款紀錄 第 42 列</t>
        </is>
      </c>
      <c r="I302" t="inlineStr">
        <is>
          <t>2026-05-18</t>
        </is>
      </c>
    </row>
    <row r="303">
      <c r="A303" t="inlineStr">
        <is>
          <t>pay_e92a9c02e10a</t>
        </is>
      </c>
      <c r="B303" t="inlineStr">
        <is>
          <t>Cobi</t>
        </is>
      </c>
      <c r="C303" t="inlineStr">
        <is>
          <t>2025-10-01</t>
        </is>
      </c>
      <c r="D303" t="inlineStr">
        <is>
          <t>cus_769b585645b5</t>
        </is>
      </c>
      <c r="E303" t="inlineStr">
        <is>
          <t>inv_0193579db115</t>
        </is>
      </c>
      <c r="F303" t="n">
        <v>47250</v>
      </c>
      <c r="G303" t="inlineStr"/>
      <c r="H303" t="inlineStr">
        <is>
          <t>來源：單次型發票及收款紀錄 第 43 列</t>
        </is>
      </c>
      <c r="I303" t="inlineStr">
        <is>
          <t>2026-05-18</t>
        </is>
      </c>
    </row>
    <row r="304">
      <c r="A304" t="inlineStr">
        <is>
          <t>pay_ebf1fd17bf4e</t>
        </is>
      </c>
      <c r="B304" t="inlineStr">
        <is>
          <t>Cobi</t>
        </is>
      </c>
      <c r="C304" t="inlineStr">
        <is>
          <t>2025-10-01</t>
        </is>
      </c>
      <c r="D304" t="inlineStr">
        <is>
          <t>cus_769b585645b5</t>
        </is>
      </c>
      <c r="E304" t="inlineStr">
        <is>
          <t>inv_f2f70bfc853d</t>
        </is>
      </c>
      <c r="F304" t="n">
        <v>52500</v>
      </c>
      <c r="G304" t="inlineStr"/>
      <c r="H304" t="inlineStr">
        <is>
          <t>來源：單次型發票及收款紀錄 第 44 列</t>
        </is>
      </c>
      <c r="I304" t="inlineStr">
        <is>
          <t>2026-05-18</t>
        </is>
      </c>
    </row>
    <row r="305">
      <c r="A305" t="inlineStr">
        <is>
          <t>pay_fbacfd7b30d9</t>
        </is>
      </c>
      <c r="B305" t="inlineStr">
        <is>
          <t>Cobi</t>
        </is>
      </c>
      <c r="C305" t="inlineStr">
        <is>
          <t>7/16作廢</t>
        </is>
      </c>
      <c r="D305" t="inlineStr">
        <is>
          <t>cus_769b585645b5</t>
        </is>
      </c>
      <c r="E305" t="inlineStr">
        <is>
          <t>inv_c29de901bed8</t>
        </is>
      </c>
      <c r="F305" t="n">
        <v>47250</v>
      </c>
      <c r="G305" t="inlineStr"/>
      <c r="H305" t="inlineStr">
        <is>
          <t>來源：單次型發票及收款紀錄 第 45 列</t>
        </is>
      </c>
      <c r="I305" t="inlineStr">
        <is>
          <t>2026-05-18</t>
        </is>
      </c>
    </row>
    <row r="306">
      <c r="A306" t="inlineStr">
        <is>
          <t>pay_a95c8cf3170a</t>
        </is>
      </c>
      <c r="B306" t="inlineStr">
        <is>
          <t>Cobi</t>
        </is>
      </c>
      <c r="C306" t="inlineStr">
        <is>
          <t>7/16作廢</t>
        </is>
      </c>
      <c r="D306" t="inlineStr">
        <is>
          <t>cus_769b585645b5</t>
        </is>
      </c>
      <c r="E306" t="inlineStr">
        <is>
          <t>inv_48ef877cbdbc</t>
        </is>
      </c>
      <c r="F306" t="n">
        <v>47250</v>
      </c>
      <c r="G306" t="inlineStr"/>
      <c r="H306" t="inlineStr">
        <is>
          <t>來源：單次型發票及收款紀錄 第 46 列</t>
        </is>
      </c>
      <c r="I306" t="inlineStr">
        <is>
          <t>2026-05-18</t>
        </is>
      </c>
    </row>
    <row r="307">
      <c r="A307" t="inlineStr">
        <is>
          <t>pay_50259904bb7a</t>
        </is>
      </c>
      <c r="B307" t="inlineStr">
        <is>
          <t>Cobi</t>
        </is>
      </c>
      <c r="C307" t="inlineStr">
        <is>
          <t>2025-10-01</t>
        </is>
      </c>
      <c r="D307" t="inlineStr">
        <is>
          <t>cus_769b585645b5</t>
        </is>
      </c>
      <c r="E307" t="inlineStr">
        <is>
          <t>inv_2a9ce07ccf8d</t>
        </is>
      </c>
      <c r="F307" t="n">
        <v>47250</v>
      </c>
      <c r="G307" t="inlineStr"/>
      <c r="H307" t="inlineStr">
        <is>
          <t>來源：單次型發票及收款紀錄 第 47 列</t>
        </is>
      </c>
      <c r="I307" t="inlineStr">
        <is>
          <t>2026-05-18</t>
        </is>
      </c>
    </row>
    <row r="308">
      <c r="A308" t="inlineStr">
        <is>
          <t>pay_c3ae0d48ac88</t>
        </is>
      </c>
      <c r="B308" t="inlineStr">
        <is>
          <t>Cobi</t>
        </is>
      </c>
      <c r="C308" t="inlineStr">
        <is>
          <t>2025-10-30</t>
        </is>
      </c>
      <c r="D308" t="inlineStr">
        <is>
          <t>cus_769b585645b5</t>
        </is>
      </c>
      <c r="E308" t="inlineStr">
        <is>
          <t>inv_019846d413b9</t>
        </is>
      </c>
      <c r="F308" t="n">
        <v>47250</v>
      </c>
      <c r="G308" t="inlineStr"/>
      <c r="H308" t="inlineStr">
        <is>
          <t>來源：單次型發票及收款紀錄 第 48 列</t>
        </is>
      </c>
      <c r="I308" t="inlineStr">
        <is>
          <t>2026-05-18</t>
        </is>
      </c>
    </row>
    <row r="309">
      <c r="A309" t="inlineStr">
        <is>
          <t>pay_55b8f51821c5</t>
        </is>
      </c>
      <c r="B309" t="inlineStr">
        <is>
          <t>Cobi</t>
        </is>
      </c>
      <c r="C309" t="inlineStr">
        <is>
          <t>2025-10-30</t>
        </is>
      </c>
      <c r="D309" t="inlineStr">
        <is>
          <t>cus_769b585645b5</t>
        </is>
      </c>
      <c r="E309" t="inlineStr">
        <is>
          <t>inv_2c602c1d622a</t>
        </is>
      </c>
      <c r="F309" t="n">
        <v>47250</v>
      </c>
      <c r="G309" t="inlineStr"/>
      <c r="H309" t="inlineStr">
        <is>
          <t>來源：單次型發票及收款紀錄 第 49 列</t>
        </is>
      </c>
      <c r="I309" t="inlineStr">
        <is>
          <t>2026-05-18</t>
        </is>
      </c>
    </row>
    <row r="310">
      <c r="A310" t="inlineStr">
        <is>
          <t>pay_7ea66d59f985</t>
        </is>
      </c>
      <c r="B310" t="inlineStr">
        <is>
          <t>Cobi</t>
        </is>
      </c>
      <c r="C310" t="inlineStr">
        <is>
          <t>2025-10-30</t>
        </is>
      </c>
      <c r="D310" t="inlineStr">
        <is>
          <t>cus_769b585645b5</t>
        </is>
      </c>
      <c r="E310" t="inlineStr">
        <is>
          <t>inv_f2b751195c3d</t>
        </is>
      </c>
      <c r="F310" t="n">
        <v>47250</v>
      </c>
      <c r="G310" t="inlineStr"/>
      <c r="H310" t="inlineStr">
        <is>
          <t>來源：單次型發票及收款紀錄 第 50 列</t>
        </is>
      </c>
      <c r="I310" t="inlineStr">
        <is>
          <t>2026-05-18</t>
        </is>
      </c>
    </row>
    <row r="311">
      <c r="A311" t="inlineStr">
        <is>
          <t>pay_c4563f77951a</t>
        </is>
      </c>
      <c r="B311" t="inlineStr">
        <is>
          <t>Cobi</t>
        </is>
      </c>
      <c r="C311" t="inlineStr">
        <is>
          <t>2025-10-30</t>
        </is>
      </c>
      <c r="D311" t="inlineStr">
        <is>
          <t>cus_769b585645b5</t>
        </is>
      </c>
      <c r="E311" t="inlineStr">
        <is>
          <t>inv_d0ada956ea84</t>
        </is>
      </c>
      <c r="F311" t="n">
        <v>36750</v>
      </c>
      <c r="G311" t="inlineStr"/>
      <c r="H311" t="inlineStr">
        <is>
          <t>來源：單次型發票及收款紀錄 第 51 列</t>
        </is>
      </c>
      <c r="I311" t="inlineStr">
        <is>
          <t>2026-05-18</t>
        </is>
      </c>
    </row>
    <row r="312">
      <c r="A312" t="inlineStr">
        <is>
          <t>pay_873bf58d9cbe</t>
        </is>
      </c>
      <c r="B312" t="inlineStr">
        <is>
          <t>Cobi</t>
        </is>
      </c>
      <c r="C312" t="inlineStr">
        <is>
          <t>2025-10-30</t>
        </is>
      </c>
      <c r="D312" t="inlineStr">
        <is>
          <t>cus_769b585645b5</t>
        </is>
      </c>
      <c r="E312" t="inlineStr">
        <is>
          <t>inv_eec32432150a</t>
        </is>
      </c>
      <c r="F312" t="n">
        <v>42000</v>
      </c>
      <c r="G312" t="inlineStr"/>
      <c r="H312" t="inlineStr">
        <is>
          <t>來源：單次型發票及收款紀錄 第 52 列</t>
        </is>
      </c>
      <c r="I312" t="inlineStr">
        <is>
          <t>2026-05-18</t>
        </is>
      </c>
    </row>
    <row r="313">
      <c r="A313" t="inlineStr">
        <is>
          <t>pay_182333b091c1</t>
        </is>
      </c>
      <c r="B313" t="inlineStr">
        <is>
          <t>Cobi</t>
        </is>
      </c>
      <c r="C313" t="inlineStr">
        <is>
          <t>2025-11-03</t>
        </is>
      </c>
      <c r="D313" t="inlineStr">
        <is>
          <t>cus_769b585645b5</t>
        </is>
      </c>
      <c r="E313" t="inlineStr">
        <is>
          <t>inv_2beca31aa498</t>
        </is>
      </c>
      <c r="F313" t="n">
        <v>42000</v>
      </c>
      <c r="G313" t="inlineStr"/>
      <c r="H313" t="inlineStr">
        <is>
          <t>來源：單次型發票及收款紀錄 第 53 列</t>
        </is>
      </c>
      <c r="I313" t="inlineStr">
        <is>
          <t>2026-05-18</t>
        </is>
      </c>
    </row>
    <row r="314">
      <c r="A314" t="inlineStr">
        <is>
          <t>pay_31e136360911</t>
        </is>
      </c>
      <c r="B314" t="inlineStr">
        <is>
          <t>Cobi</t>
        </is>
      </c>
      <c r="C314" t="inlineStr">
        <is>
          <t>2025-11-03</t>
        </is>
      </c>
      <c r="D314" t="inlineStr">
        <is>
          <t>cus_769b585645b5</t>
        </is>
      </c>
      <c r="E314" t="inlineStr">
        <is>
          <t>inv_eb0b32f44b47</t>
        </is>
      </c>
      <c r="F314" t="n">
        <v>42000</v>
      </c>
      <c r="G314" t="inlineStr"/>
      <c r="H314" t="inlineStr">
        <is>
          <t>來源：單次型發票及收款紀錄 第 54 列</t>
        </is>
      </c>
      <c r="I314" t="inlineStr">
        <is>
          <t>2026-05-18</t>
        </is>
      </c>
    </row>
    <row r="315">
      <c r="A315" t="inlineStr">
        <is>
          <t>pay_9164bd0e0462</t>
        </is>
      </c>
      <c r="B315" t="inlineStr">
        <is>
          <t>Erin</t>
        </is>
      </c>
      <c r="C315" t="inlineStr">
        <is>
          <t>2025-12-01</t>
        </is>
      </c>
      <c r="D315" t="inlineStr">
        <is>
          <t>cus_769b585645b5</t>
        </is>
      </c>
      <c r="E315" t="inlineStr">
        <is>
          <t>inv_160437f0425f</t>
        </is>
      </c>
      <c r="F315" t="n">
        <v>57750</v>
      </c>
      <c r="G315" t="inlineStr"/>
      <c r="H315" t="inlineStr">
        <is>
          <t>來源：單次型發票及收款紀錄 第 55 列</t>
        </is>
      </c>
      <c r="I315" t="inlineStr">
        <is>
          <t>2026-05-18</t>
        </is>
      </c>
    </row>
    <row r="316">
      <c r="A316" t="inlineStr">
        <is>
          <t>pay_6ec85bd1db5d</t>
        </is>
      </c>
      <c r="B316" t="inlineStr">
        <is>
          <t>Erin</t>
        </is>
      </c>
      <c r="C316" t="inlineStr">
        <is>
          <t>2025-12-01</t>
        </is>
      </c>
      <c r="D316" t="inlineStr">
        <is>
          <t>cus_769b585645b5</t>
        </is>
      </c>
      <c r="E316" t="inlineStr">
        <is>
          <t>inv_68784fafcc9d</t>
        </is>
      </c>
      <c r="F316" t="n">
        <v>17325</v>
      </c>
      <c r="G316" t="inlineStr"/>
      <c r="H316" t="inlineStr">
        <is>
          <t>來源：單次型發票及收款紀錄 第 56 列</t>
        </is>
      </c>
      <c r="I316" t="inlineStr">
        <is>
          <t>2026-05-18</t>
        </is>
      </c>
    </row>
    <row r="317">
      <c r="A317" t="inlineStr">
        <is>
          <t>pay_09be929d2574</t>
        </is>
      </c>
      <c r="B317" t="inlineStr">
        <is>
          <t>Erin</t>
        </is>
      </c>
      <c r="C317" t="inlineStr">
        <is>
          <t>2025-12-01</t>
        </is>
      </c>
      <c r="D317" t="inlineStr">
        <is>
          <t>cus_769b585645b5</t>
        </is>
      </c>
      <c r="E317" t="inlineStr">
        <is>
          <t>inv_378567979f17</t>
        </is>
      </c>
      <c r="F317" t="n">
        <v>5250</v>
      </c>
      <c r="G317" t="inlineStr"/>
      <c r="H317" t="inlineStr">
        <is>
          <t>來源：單次型發票及收款紀錄 第 57 列</t>
        </is>
      </c>
      <c r="I317" t="inlineStr">
        <is>
          <t>2026-05-18</t>
        </is>
      </c>
    </row>
    <row r="318">
      <c r="A318" t="inlineStr">
        <is>
          <t>pay_aaa4253ab243</t>
        </is>
      </c>
      <c r="B318" t="inlineStr">
        <is>
          <t>Erin</t>
        </is>
      </c>
      <c r="C318" t="inlineStr">
        <is>
          <t>2025-10-31</t>
        </is>
      </c>
      <c r="D318" t="inlineStr">
        <is>
          <t>cus_769b585645b5</t>
        </is>
      </c>
      <c r="E318" t="inlineStr">
        <is>
          <t>inv_c7ed9180e7d4</t>
        </is>
      </c>
      <c r="F318" t="n">
        <v>525000</v>
      </c>
      <c r="G318" t="inlineStr"/>
      <c r="H318" t="inlineStr">
        <is>
          <t>來源：單次型發票及收款紀錄 第 58 列</t>
        </is>
      </c>
      <c r="I318" t="inlineStr">
        <is>
          <t>2026-05-18</t>
        </is>
      </c>
    </row>
    <row r="319">
      <c r="A319" t="inlineStr">
        <is>
          <t>pay_3d6fac1dbc2d</t>
        </is>
      </c>
      <c r="B319" t="inlineStr">
        <is>
          <t>Erin</t>
        </is>
      </c>
      <c r="C319" t="inlineStr">
        <is>
          <t>2025-12-01</t>
        </is>
      </c>
      <c r="D319" t="inlineStr">
        <is>
          <t>cus_769b585645b5</t>
        </is>
      </c>
      <c r="E319" t="inlineStr">
        <is>
          <t>inv_f408b31a5570</t>
        </is>
      </c>
      <c r="F319" t="n">
        <v>5250</v>
      </c>
      <c r="G319" t="inlineStr"/>
      <c r="H319" t="inlineStr">
        <is>
          <t>來源：單次型發票及收款紀錄 第 59 列</t>
        </is>
      </c>
      <c r="I319" t="inlineStr">
        <is>
          <t>2026-05-18</t>
        </is>
      </c>
    </row>
    <row r="320">
      <c r="A320" t="inlineStr">
        <is>
          <t>pay_c32b29b47912</t>
        </is>
      </c>
      <c r="B320" t="inlineStr">
        <is>
          <t>Erin</t>
        </is>
      </c>
      <c r="C320" t="inlineStr">
        <is>
          <t>2026-01-02</t>
        </is>
      </c>
      <c r="D320" t="inlineStr">
        <is>
          <t>cus_769b585645b5</t>
        </is>
      </c>
      <c r="E320" t="inlineStr">
        <is>
          <t>inv_3a54584c1a05</t>
        </is>
      </c>
      <c r="F320" t="n">
        <v>42000</v>
      </c>
      <c r="G320" t="inlineStr"/>
      <c r="H320" t="inlineStr">
        <is>
          <t>來源：單次型發票及收款紀錄 第 60 列</t>
        </is>
      </c>
      <c r="I320" t="inlineStr">
        <is>
          <t>2026-05-18</t>
        </is>
      </c>
    </row>
    <row r="321">
      <c r="A321" t="inlineStr">
        <is>
          <t>pay_250af7f879a2</t>
        </is>
      </c>
      <c r="B321" t="inlineStr">
        <is>
          <t>Erin</t>
        </is>
      </c>
      <c r="C321" t="inlineStr">
        <is>
          <t>2026-02-02</t>
        </is>
      </c>
      <c r="D321" t="inlineStr">
        <is>
          <t>cus_769b585645b5</t>
        </is>
      </c>
      <c r="E321" t="inlineStr">
        <is>
          <t>inv_7b1fa54ee1f6</t>
        </is>
      </c>
      <c r="F321" t="n">
        <v>52500</v>
      </c>
      <c r="G321" t="inlineStr"/>
      <c r="H321" t="inlineStr">
        <is>
          <t>來源：單次型發票及收款紀錄 第 61 列</t>
        </is>
      </c>
      <c r="I321" t="inlineStr">
        <is>
          <t>2026-05-18</t>
        </is>
      </c>
    </row>
    <row r="322">
      <c r="A322" t="inlineStr">
        <is>
          <t>pay_a89c6c074533</t>
        </is>
      </c>
      <c r="B322" t="inlineStr">
        <is>
          <t>Erin</t>
        </is>
      </c>
      <c r="C322" t="inlineStr">
        <is>
          <t>2026-02-02</t>
        </is>
      </c>
      <c r="D322" t="inlineStr">
        <is>
          <t>cus_769b585645b5</t>
        </is>
      </c>
      <c r="E322" t="inlineStr">
        <is>
          <t>inv_0e5430c584a9</t>
        </is>
      </c>
      <c r="F322" t="n">
        <v>17325</v>
      </c>
      <c r="G322" t="inlineStr"/>
      <c r="H322" t="inlineStr">
        <is>
          <t>來源：單次型發票及收款紀錄 第 62 列</t>
        </is>
      </c>
      <c r="I322" t="inlineStr">
        <is>
          <t>2026-05-18</t>
        </is>
      </c>
    </row>
    <row r="323">
      <c r="A323" t="inlineStr">
        <is>
          <t>pay_d4b726a37b78</t>
        </is>
      </c>
      <c r="B323" t="inlineStr">
        <is>
          <t>Cobi</t>
        </is>
      </c>
      <c r="C323" t="inlineStr">
        <is>
          <t>2025-11-03</t>
        </is>
      </c>
      <c r="D323" t="inlineStr">
        <is>
          <t>cus_950ead3db6e5</t>
        </is>
      </c>
      <c r="E323" t="inlineStr">
        <is>
          <t>inv_edc97aae83f2</t>
        </is>
      </c>
      <c r="F323" t="n">
        <v>36750</v>
      </c>
      <c r="G323" t="inlineStr"/>
      <c r="H323" t="inlineStr">
        <is>
          <t>來源：單次型發票及收款紀錄 第 63 列</t>
        </is>
      </c>
      <c r="I323" t="inlineStr">
        <is>
          <t>2026-05-18</t>
        </is>
      </c>
    </row>
    <row r="324">
      <c r="A324" t="inlineStr">
        <is>
          <t>pay_9dd12b9a5fd7</t>
        </is>
      </c>
      <c r="B324" t="inlineStr">
        <is>
          <t>Erin</t>
        </is>
      </c>
      <c r="C324" t="inlineStr">
        <is>
          <t>2026-01-02</t>
        </is>
      </c>
      <c r="D324" t="inlineStr">
        <is>
          <t>cus_950ead3db6e5</t>
        </is>
      </c>
      <c r="E324" t="inlineStr">
        <is>
          <t>inv_5ee974bb84fe</t>
        </is>
      </c>
      <c r="F324" t="n">
        <v>126000</v>
      </c>
      <c r="G324" t="inlineStr"/>
      <c r="H324" t="inlineStr">
        <is>
          <t>來源：單次型發票及收款紀錄 第 64 列</t>
        </is>
      </c>
      <c r="I324" t="inlineStr">
        <is>
          <t>2026-05-18</t>
        </is>
      </c>
    </row>
    <row r="325">
      <c r="A325" t="inlineStr">
        <is>
          <t>pay_836634c5cb14</t>
        </is>
      </c>
      <c r="B325" t="inlineStr">
        <is>
          <t>Erin</t>
        </is>
      </c>
      <c r="C325" t="inlineStr">
        <is>
          <t>2025-12-30</t>
        </is>
      </c>
      <c r="D325" t="inlineStr">
        <is>
          <t>cus_950ead3db6e5</t>
        </is>
      </c>
      <c r="E325" t="inlineStr">
        <is>
          <t>inv_7e0129648571</t>
        </is>
      </c>
      <c r="F325" t="n">
        <v>945000</v>
      </c>
      <c r="G325" t="inlineStr"/>
      <c r="H325" t="inlineStr">
        <is>
          <t>來源：單次型發票及收款紀錄 第 65 列</t>
        </is>
      </c>
      <c r="I325" t="inlineStr">
        <is>
          <t>2026-05-18</t>
        </is>
      </c>
    </row>
    <row r="326">
      <c r="A326" t="inlineStr">
        <is>
          <t>pay_025e1824e219</t>
        </is>
      </c>
      <c r="B326" t="inlineStr">
        <is>
          <t>Cobi</t>
        </is>
      </c>
      <c r="C326" t="inlineStr">
        <is>
          <t>2025-11-03</t>
        </is>
      </c>
      <c r="D326" t="inlineStr">
        <is>
          <t>cus_910a54bc94d3</t>
        </is>
      </c>
      <c r="E326" t="inlineStr">
        <is>
          <t>inv_956b647b5dbb</t>
        </is>
      </c>
      <c r="F326" t="n">
        <v>42000</v>
      </c>
      <c r="G326" t="inlineStr"/>
      <c r="H326" t="inlineStr">
        <is>
          <t>來源：單次型發票及收款紀錄 第 66 列</t>
        </is>
      </c>
      <c r="I326" t="inlineStr">
        <is>
          <t>2026-05-18</t>
        </is>
      </c>
    </row>
    <row r="327">
      <c r="A327" t="inlineStr">
        <is>
          <t>pay_8667cd1a5cc9</t>
        </is>
      </c>
      <c r="B327" t="inlineStr">
        <is>
          <t>Cobi</t>
        </is>
      </c>
      <c r="C327" t="inlineStr">
        <is>
          <t>2025-09-01</t>
        </is>
      </c>
      <c r="D327" t="inlineStr">
        <is>
          <t>cus_11ce6c1312cf</t>
        </is>
      </c>
      <c r="E327" t="inlineStr">
        <is>
          <t>inv_ff22dc98eb4a</t>
        </is>
      </c>
      <c r="F327" t="n">
        <v>52500</v>
      </c>
      <c r="G327" t="inlineStr"/>
      <c r="H327" t="inlineStr">
        <is>
          <t>來源：單次型發票及收款紀錄 第 67 列</t>
        </is>
      </c>
      <c r="I327" t="inlineStr">
        <is>
          <t>2026-05-18</t>
        </is>
      </c>
    </row>
    <row r="328">
      <c r="A328" t="inlineStr">
        <is>
          <t>pay_926b21922229</t>
        </is>
      </c>
      <c r="B328" t="inlineStr">
        <is>
          <t>Cobi</t>
        </is>
      </c>
      <c r="C328" t="inlineStr">
        <is>
          <t>2025-09-01</t>
        </is>
      </c>
      <c r="D328" t="inlineStr">
        <is>
          <t>cus_11ce6c1312cf</t>
        </is>
      </c>
      <c r="E328" t="inlineStr">
        <is>
          <t>inv_7ed876060433</t>
        </is>
      </c>
      <c r="F328" t="n">
        <v>42000</v>
      </c>
      <c r="G328" t="inlineStr"/>
      <c r="H328" t="inlineStr">
        <is>
          <t>來源：單次型發票及收款紀錄 第 68 列</t>
        </is>
      </c>
      <c r="I328" t="inlineStr">
        <is>
          <t>2026-05-18</t>
        </is>
      </c>
    </row>
    <row r="329">
      <c r="A329" t="inlineStr">
        <is>
          <t>pay_19f45792a4e8</t>
        </is>
      </c>
      <c r="B329" t="inlineStr">
        <is>
          <t>Cobi</t>
        </is>
      </c>
      <c r="C329" t="inlineStr">
        <is>
          <t>2025-09-01</t>
        </is>
      </c>
      <c r="D329" t="inlineStr">
        <is>
          <t>cus_11ce6c1312cf</t>
        </is>
      </c>
      <c r="E329" t="inlineStr">
        <is>
          <t>inv_90239326d609</t>
        </is>
      </c>
      <c r="F329" t="n">
        <v>31500</v>
      </c>
      <c r="G329" t="inlineStr"/>
      <c r="H329" t="inlineStr">
        <is>
          <t>來源：單次型發票及收款紀錄 第 69 列</t>
        </is>
      </c>
      <c r="I329" t="inlineStr">
        <is>
          <t>2026-05-18</t>
        </is>
      </c>
    </row>
    <row r="330">
      <c r="A330" t="inlineStr">
        <is>
          <t>pay_79263c1cf08c</t>
        </is>
      </c>
      <c r="B330" t="inlineStr">
        <is>
          <t>Cobi</t>
        </is>
      </c>
      <c r="C330" t="inlineStr">
        <is>
          <t>2025-09-01</t>
        </is>
      </c>
      <c r="D330" t="inlineStr">
        <is>
          <t>cus_11ce6c1312cf</t>
        </is>
      </c>
      <c r="E330" t="inlineStr">
        <is>
          <t>inv_c1fa33a7a394</t>
        </is>
      </c>
      <c r="F330" t="n">
        <v>32550</v>
      </c>
      <c r="G330" t="inlineStr"/>
      <c r="H330" t="inlineStr">
        <is>
          <t>來源：單次型發票及收款紀錄 第 70 列</t>
        </is>
      </c>
      <c r="I330" t="inlineStr">
        <is>
          <t>2026-05-18</t>
        </is>
      </c>
    </row>
    <row r="331">
      <c r="A331" t="inlineStr">
        <is>
          <t>pay_6862dee1b352</t>
        </is>
      </c>
      <c r="B331" t="inlineStr">
        <is>
          <t>Kate</t>
        </is>
      </c>
      <c r="C331" t="inlineStr">
        <is>
          <t>2025-09-30</t>
        </is>
      </c>
      <c r="D331" t="inlineStr">
        <is>
          <t>cus_11ce6c1312cf</t>
        </is>
      </c>
      <c r="E331" t="inlineStr">
        <is>
          <t>inv_57f7a33d048d</t>
        </is>
      </c>
      <c r="F331" t="n">
        <v>31500</v>
      </c>
      <c r="G331" t="inlineStr"/>
      <c r="H331" t="inlineStr">
        <is>
          <t>來源：單次型發票及收款紀錄 第 71 列</t>
        </is>
      </c>
      <c r="I331" t="inlineStr">
        <is>
          <t>2026-05-18</t>
        </is>
      </c>
    </row>
    <row r="332">
      <c r="A332" t="inlineStr">
        <is>
          <t>pay_fc29e99a6b72</t>
        </is>
      </c>
      <c r="B332" t="inlineStr">
        <is>
          <t>Kate</t>
        </is>
      </c>
      <c r="C332" t="inlineStr">
        <is>
          <t>金額錯誤7/10已作廢重開</t>
        </is>
      </c>
      <c r="D332" t="inlineStr">
        <is>
          <t>cus_11ce6c1312cf</t>
        </is>
      </c>
      <c r="E332" t="inlineStr">
        <is>
          <t>inv_7aaf9771ac09</t>
        </is>
      </c>
      <c r="F332" t="n">
        <v>52500</v>
      </c>
      <c r="G332" t="inlineStr"/>
      <c r="H332" t="inlineStr">
        <is>
          <t>來源：單次型發票及收款紀錄 第 72 列</t>
        </is>
      </c>
      <c r="I332" t="inlineStr">
        <is>
          <t>2026-05-18</t>
        </is>
      </c>
    </row>
    <row r="333">
      <c r="A333" t="inlineStr">
        <is>
          <t>pay_296bec4f9b73</t>
        </is>
      </c>
      <c r="B333" t="inlineStr">
        <is>
          <t>Kate</t>
        </is>
      </c>
      <c r="C333" t="inlineStr">
        <is>
          <t>金額錯誤7/10已作廢重開</t>
        </is>
      </c>
      <c r="D333" t="inlineStr">
        <is>
          <t>cus_11ce6c1312cf</t>
        </is>
      </c>
      <c r="E333" t="inlineStr">
        <is>
          <t>inv_f47819031e3c</t>
        </is>
      </c>
      <c r="F333" t="n">
        <v>47250</v>
      </c>
      <c r="G333" t="inlineStr"/>
      <c r="H333" t="inlineStr">
        <is>
          <t>來源：單次型發票及收款紀錄 第 73 列</t>
        </is>
      </c>
      <c r="I333" t="inlineStr">
        <is>
          <t>2026-05-18</t>
        </is>
      </c>
    </row>
    <row r="334">
      <c r="A334" t="inlineStr">
        <is>
          <t>pay_02f49523fb90</t>
        </is>
      </c>
      <c r="B334" t="inlineStr">
        <is>
          <t>Kate</t>
        </is>
      </c>
      <c r="C334" t="inlineStr">
        <is>
          <t>2025-10-30</t>
        </is>
      </c>
      <c r="D334" t="inlineStr">
        <is>
          <t>cus_11ce6c1312cf</t>
        </is>
      </c>
      <c r="E334" t="inlineStr">
        <is>
          <t>inv_fa0ad9a15bd6</t>
        </is>
      </c>
      <c r="F334" t="n">
        <v>67200</v>
      </c>
      <c r="G334" t="inlineStr"/>
      <c r="H334" t="inlineStr">
        <is>
          <t>來源：單次型發票及收款紀錄 第 74 列</t>
        </is>
      </c>
      <c r="I334" t="inlineStr">
        <is>
          <t>2026-05-18</t>
        </is>
      </c>
    </row>
    <row r="335">
      <c r="A335" t="inlineStr">
        <is>
          <t>pay_73a7183ba285</t>
        </is>
      </c>
      <c r="B335" t="inlineStr">
        <is>
          <t>Kate</t>
        </is>
      </c>
      <c r="C335" t="inlineStr">
        <is>
          <t>2025-10-30</t>
        </is>
      </c>
      <c r="D335" t="inlineStr">
        <is>
          <t>cus_11ce6c1312cf</t>
        </is>
      </c>
      <c r="E335" t="inlineStr">
        <is>
          <t>inv_39253d50d9a6</t>
        </is>
      </c>
      <c r="F335" t="n">
        <v>73500</v>
      </c>
      <c r="G335" t="inlineStr"/>
      <c r="H335" t="inlineStr">
        <is>
          <t>來源：單次型發票及收款紀錄 第 75 列</t>
        </is>
      </c>
      <c r="I335" t="inlineStr">
        <is>
          <t>2026-05-18</t>
        </is>
      </c>
    </row>
    <row r="336">
      <c r="A336" t="inlineStr">
        <is>
          <t>pay_4820d0c2248c</t>
        </is>
      </c>
      <c r="B336" t="inlineStr">
        <is>
          <t>Kate</t>
        </is>
      </c>
      <c r="C336" t="inlineStr">
        <is>
          <t>2025-12-01</t>
        </is>
      </c>
      <c r="D336" t="inlineStr">
        <is>
          <t>cus_11ce6c1312cf</t>
        </is>
      </c>
      <c r="E336" t="inlineStr">
        <is>
          <t>inv_fb51a7f754e2</t>
        </is>
      </c>
      <c r="F336" t="n">
        <v>14700</v>
      </c>
      <c r="G336" t="inlineStr"/>
      <c r="H336" t="inlineStr">
        <is>
          <t>來源：單次型發票及收款紀錄 第 76 列</t>
        </is>
      </c>
      <c r="I336" t="inlineStr">
        <is>
          <t>2026-05-18</t>
        </is>
      </c>
    </row>
    <row r="337">
      <c r="A337" t="inlineStr">
        <is>
          <t>pay_d121cd2f0beb</t>
        </is>
      </c>
      <c r="B337" t="inlineStr">
        <is>
          <t>Kate</t>
        </is>
      </c>
      <c r="C337" t="inlineStr">
        <is>
          <t>2025-12-31</t>
        </is>
      </c>
      <c r="D337" t="inlineStr">
        <is>
          <t>cus_11ce6c1312cf</t>
        </is>
      </c>
      <c r="E337" t="inlineStr">
        <is>
          <t>inv_e0c26f11c9a1</t>
        </is>
      </c>
      <c r="F337" t="n">
        <v>126000</v>
      </c>
      <c r="G337" t="inlineStr"/>
      <c r="H337" t="inlineStr">
        <is>
          <t>來源：單次型發票及收款紀錄 第 77 列</t>
        </is>
      </c>
      <c r="I337" t="inlineStr">
        <is>
          <t>2026-05-18</t>
        </is>
      </c>
    </row>
    <row r="338">
      <c r="A338" t="inlineStr">
        <is>
          <t>pay_dc13fc78e65d</t>
        </is>
      </c>
      <c r="B338" t="inlineStr">
        <is>
          <t>Kate</t>
        </is>
      </c>
      <c r="C338" t="inlineStr">
        <is>
          <t>2025-12-31</t>
        </is>
      </c>
      <c r="D338" t="inlineStr">
        <is>
          <t>cus_11ce6c1312cf</t>
        </is>
      </c>
      <c r="E338" t="inlineStr">
        <is>
          <t>inv_d7712c39796e</t>
        </is>
      </c>
      <c r="F338" t="n">
        <v>168000</v>
      </c>
      <c r="G338" t="inlineStr"/>
      <c r="H338" t="inlineStr">
        <is>
          <t>來源：單次型發票及收款紀錄 第 78 列</t>
        </is>
      </c>
      <c r="I338" t="inlineStr">
        <is>
          <t>2026-05-18</t>
        </is>
      </c>
    </row>
    <row r="339">
      <c r="A339" t="inlineStr">
        <is>
          <t>pay_2fb934a85767</t>
        </is>
      </c>
      <c r="B339" t="inlineStr">
        <is>
          <t>Kate</t>
        </is>
      </c>
      <c r="C339" t="inlineStr">
        <is>
          <t>2026-02-02</t>
        </is>
      </c>
      <c r="D339" t="inlineStr">
        <is>
          <t>cus_11ce6c1312cf</t>
        </is>
      </c>
      <c r="E339" t="inlineStr">
        <is>
          <t>inv_0120539420e0</t>
        </is>
      </c>
      <c r="F339" t="n">
        <v>58800</v>
      </c>
      <c r="G339" t="inlineStr"/>
      <c r="H339" t="inlineStr">
        <is>
          <t>來源：單次型發票及收款紀錄 第 79 列</t>
        </is>
      </c>
      <c r="I339" t="inlineStr">
        <is>
          <t>2026-05-18</t>
        </is>
      </c>
    </row>
    <row r="340">
      <c r="A340" t="inlineStr">
        <is>
          <t>pay_4c3966c68310</t>
        </is>
      </c>
      <c r="B340" t="inlineStr">
        <is>
          <t>Kate</t>
        </is>
      </c>
      <c r="C340" t="inlineStr">
        <is>
          <t>2026-03-02</t>
        </is>
      </c>
      <c r="D340" t="inlineStr">
        <is>
          <t>cus_11ce6c1312cf</t>
        </is>
      </c>
      <c r="E340" t="inlineStr">
        <is>
          <t>inv_13e5fa1cb343</t>
        </is>
      </c>
      <c r="F340" t="n">
        <v>173460</v>
      </c>
      <c r="G340" t="inlineStr"/>
      <c r="H340" t="inlineStr">
        <is>
          <t>來源：單次型發票及收款紀錄 第 80 列</t>
        </is>
      </c>
      <c r="I340" t="inlineStr">
        <is>
          <t>2026-05-18</t>
        </is>
      </c>
    </row>
    <row r="341">
      <c r="A341" t="inlineStr">
        <is>
          <t>pay_9c4ea0a22d39</t>
        </is>
      </c>
      <c r="B341" t="inlineStr">
        <is>
          <t>劉泳成</t>
        </is>
      </c>
      <c r="C341" t="inlineStr">
        <is>
          <t>2024-09-12</t>
        </is>
      </c>
      <c r="D341" t="inlineStr">
        <is>
          <t>cus_19ba25b7d36c</t>
        </is>
      </c>
      <c r="E341" t="inlineStr">
        <is>
          <t>inv_a40297ba2440</t>
        </is>
      </c>
      <c r="F341" t="n">
        <v>716</v>
      </c>
      <c r="G341" t="inlineStr"/>
      <c r="H341" t="inlineStr">
        <is>
          <t>來源：單次型發票及收款紀錄 第 81 列</t>
        </is>
      </c>
      <c r="I341" t="inlineStr">
        <is>
          <t>2026-05-18</t>
        </is>
      </c>
    </row>
    <row r="342">
      <c r="A342" t="inlineStr">
        <is>
          <t>pay_f8c815ae0b90</t>
        </is>
      </c>
      <c r="B342" t="inlineStr">
        <is>
          <t>劉泳成</t>
        </is>
      </c>
      <c r="C342" t="inlineStr">
        <is>
          <t>2024-09-12</t>
        </is>
      </c>
      <c r="D342" t="inlineStr">
        <is>
          <t>cus_19ba25b7d36c</t>
        </is>
      </c>
      <c r="E342" t="inlineStr">
        <is>
          <t>inv_27b5402ebae6</t>
        </is>
      </c>
      <c r="F342" t="n">
        <v>2444</v>
      </c>
      <c r="G342" t="inlineStr"/>
      <c r="H342" t="inlineStr">
        <is>
          <t>來源：單次型發票及收款紀錄 第 82 列</t>
        </is>
      </c>
      <c r="I342" t="inlineStr">
        <is>
          <t>2026-05-18</t>
        </is>
      </c>
    </row>
    <row r="343">
      <c r="A343" t="inlineStr">
        <is>
          <t>pay_d695956ea3a0</t>
        </is>
      </c>
      <c r="B343" t="inlineStr">
        <is>
          <t>劉泳成</t>
        </is>
      </c>
      <c r="C343" t="inlineStr">
        <is>
          <t>2024-09-12</t>
        </is>
      </c>
      <c r="D343" t="inlineStr">
        <is>
          <t>cus_19ba25b7d36c</t>
        </is>
      </c>
      <c r="E343" t="inlineStr">
        <is>
          <t>inv_283be822d469</t>
        </is>
      </c>
      <c r="F343" t="n">
        <v>732</v>
      </c>
      <c r="G343" t="inlineStr"/>
      <c r="H343" t="inlineStr">
        <is>
          <t>來源：單次型發票及收款紀錄 第 83 列</t>
        </is>
      </c>
      <c r="I343" t="inlineStr">
        <is>
          <t>2026-05-18</t>
        </is>
      </c>
    </row>
    <row r="344">
      <c r="A344" t="inlineStr">
        <is>
          <t>pay_c5a04ff5fa82</t>
        </is>
      </c>
      <c r="B344" t="inlineStr">
        <is>
          <t>劉泳成</t>
        </is>
      </c>
      <c r="C344" t="inlineStr">
        <is>
          <t>2024-09-12</t>
        </is>
      </c>
      <c r="D344" t="inlineStr">
        <is>
          <t>cus_19ba25b7d36c</t>
        </is>
      </c>
      <c r="E344" t="inlineStr">
        <is>
          <t>inv_2a09f467d0fd</t>
        </is>
      </c>
      <c r="F344" t="n">
        <v>8189</v>
      </c>
      <c r="G344" t="inlineStr"/>
      <c r="H344" t="inlineStr">
        <is>
          <t>來源：單次型發票及收款紀錄 第 84 列</t>
        </is>
      </c>
      <c r="I344" t="inlineStr">
        <is>
          <t>2026-05-18</t>
        </is>
      </c>
    </row>
    <row r="345">
      <c r="A345" t="inlineStr">
        <is>
          <t>pay_21230dab4e4a</t>
        </is>
      </c>
      <c r="B345" t="inlineStr">
        <is>
          <t>劉泳成</t>
        </is>
      </c>
      <c r="C345" t="inlineStr">
        <is>
          <t>2024-11-12</t>
        </is>
      </c>
      <c r="D345" t="inlineStr">
        <is>
          <t>cus_19ba25b7d36c</t>
        </is>
      </c>
      <c r="E345" t="inlineStr">
        <is>
          <t>inv_e37588847a27</t>
        </is>
      </c>
      <c r="F345" t="n">
        <v>5271</v>
      </c>
      <c r="G345" t="inlineStr"/>
      <c r="H345" t="inlineStr">
        <is>
          <t>來源：單次型發票及收款紀錄 第 85 列</t>
        </is>
      </c>
      <c r="I345" t="inlineStr">
        <is>
          <t>2026-05-18</t>
        </is>
      </c>
    </row>
    <row r="346">
      <c r="A346" t="inlineStr">
        <is>
          <t>pay_d51491844e0b</t>
        </is>
      </c>
      <c r="B346" t="inlineStr">
        <is>
          <t>劉泳成</t>
        </is>
      </c>
      <c r="C346" t="inlineStr">
        <is>
          <t>2024-11-12</t>
        </is>
      </c>
      <c r="D346" t="inlineStr">
        <is>
          <t>cus_19ba25b7d36c</t>
        </is>
      </c>
      <c r="E346" t="inlineStr">
        <is>
          <t>inv_23549a2382d9</t>
        </is>
      </c>
      <c r="F346" t="n">
        <v>361</v>
      </c>
      <c r="G346" t="inlineStr"/>
      <c r="H346" t="inlineStr">
        <is>
          <t>來源：單次型發票及收款紀錄 第 86 列</t>
        </is>
      </c>
      <c r="I346" t="inlineStr">
        <is>
          <t>2026-05-18</t>
        </is>
      </c>
    </row>
    <row r="347">
      <c r="A347" t="inlineStr">
        <is>
          <t>pay_8e62c46a8f42</t>
        </is>
      </c>
      <c r="B347" t="inlineStr">
        <is>
          <t>劉泳成</t>
        </is>
      </c>
      <c r="C347" t="inlineStr">
        <is>
          <t>2025-01-13</t>
        </is>
      </c>
      <c r="D347" t="inlineStr">
        <is>
          <t>cus_19ba25b7d36c</t>
        </is>
      </c>
      <c r="E347" t="inlineStr">
        <is>
          <t>inv_d8b076d1f039</t>
        </is>
      </c>
      <c r="F347" t="n">
        <v>6125</v>
      </c>
      <c r="G347" t="inlineStr"/>
      <c r="H347" t="inlineStr">
        <is>
          <t>來源：單次型發票及收款紀錄 第 87 列</t>
        </is>
      </c>
      <c r="I347" t="inlineStr">
        <is>
          <t>2026-05-18</t>
        </is>
      </c>
    </row>
    <row r="348">
      <c r="A348" t="inlineStr">
        <is>
          <t>pay_2e83bf518dcd</t>
        </is>
      </c>
      <c r="B348" t="inlineStr">
        <is>
          <t>劉泳成</t>
        </is>
      </c>
      <c r="C348" t="inlineStr">
        <is>
          <t>2025-01-13</t>
        </is>
      </c>
      <c r="D348" t="inlineStr">
        <is>
          <t>cus_19ba25b7d36c</t>
        </is>
      </c>
      <c r="E348" t="inlineStr">
        <is>
          <t>inv_fd6ac06bfdd2</t>
        </is>
      </c>
      <c r="F348" t="n">
        <v>3064</v>
      </c>
      <c r="G348" t="inlineStr"/>
      <c r="H348" t="inlineStr">
        <is>
          <t>來源：單次型發票及收款紀錄 第 88 列</t>
        </is>
      </c>
      <c r="I348" t="inlineStr">
        <is>
          <t>2026-05-18</t>
        </is>
      </c>
    </row>
    <row r="349">
      <c r="A349" t="inlineStr">
        <is>
          <t>pay_dc6e23b9e810</t>
        </is>
      </c>
      <c r="B349" t="inlineStr">
        <is>
          <t>Erin</t>
        </is>
      </c>
      <c r="C349" t="inlineStr">
        <is>
          <t>2025-06-27</t>
        </is>
      </c>
      <c r="D349" t="inlineStr">
        <is>
          <t>cus_19ba25b7d36c</t>
        </is>
      </c>
      <c r="E349" t="inlineStr">
        <is>
          <t>inv_cc75f845dd49</t>
        </is>
      </c>
      <c r="F349" t="n">
        <v>99098</v>
      </c>
      <c r="G349" t="inlineStr"/>
      <c r="H349" t="inlineStr">
        <is>
          <t>來源：單次型發票及收款紀錄 第 89 列</t>
        </is>
      </c>
      <c r="I349" t="inlineStr">
        <is>
          <t>2026-05-18</t>
        </is>
      </c>
    </row>
    <row r="350">
      <c r="A350" t="inlineStr">
        <is>
          <t>pay_6604eaf975fb</t>
        </is>
      </c>
      <c r="B350" t="inlineStr">
        <is>
          <t>梁芫菁</t>
        </is>
      </c>
      <c r="C350" t="inlineStr">
        <is>
          <t>2024-02-29</t>
        </is>
      </c>
      <c r="D350" t="inlineStr">
        <is>
          <t>cus_15dd7113b465</t>
        </is>
      </c>
      <c r="E350" t="inlineStr">
        <is>
          <t>inv_ea4b9f1693b0</t>
        </is>
      </c>
      <c r="F350" t="n">
        <v>21540</v>
      </c>
      <c r="G350" t="inlineStr"/>
      <c r="H350" t="inlineStr">
        <is>
          <t>來源：單次型發票及收款紀錄 第 90 列</t>
        </is>
      </c>
      <c r="I350" t="inlineStr">
        <is>
          <t>2026-05-18</t>
        </is>
      </c>
    </row>
    <row r="351">
      <c r="A351" t="inlineStr">
        <is>
          <t>pay_29dc7f29b180</t>
        </is>
      </c>
      <c r="B351" t="inlineStr">
        <is>
          <t>劉泳成</t>
        </is>
      </c>
      <c r="C351" t="inlineStr">
        <is>
          <t>2024-11-01</t>
        </is>
      </c>
      <c r="D351" t="inlineStr">
        <is>
          <t>cus_15dd7113b465</t>
        </is>
      </c>
      <c r="E351" t="inlineStr">
        <is>
          <t>inv_c5d81ab9179f</t>
        </is>
      </c>
      <c r="F351" t="n">
        <v>105000</v>
      </c>
      <c r="G351" t="inlineStr"/>
      <c r="H351" t="inlineStr">
        <is>
          <t>來源：單次型發票及收款紀錄 第 91 列</t>
        </is>
      </c>
      <c r="I351" t="inlineStr">
        <is>
          <t>2026-05-18</t>
        </is>
      </c>
    </row>
    <row r="352">
      <c r="A352" t="inlineStr">
        <is>
          <t>pay_2e6f0491c8f2</t>
        </is>
      </c>
      <c r="B352" t="inlineStr">
        <is>
          <t>劉泳成</t>
        </is>
      </c>
      <c r="C352" t="inlineStr">
        <is>
          <t>2024-11-01</t>
        </is>
      </c>
      <c r="D352" t="inlineStr">
        <is>
          <t>cus_15dd7113b465</t>
        </is>
      </c>
      <c r="E352" t="inlineStr">
        <is>
          <t>inv_6490448ac40e</t>
        </is>
      </c>
      <c r="F352" t="n">
        <v>52500</v>
      </c>
      <c r="G352" t="inlineStr"/>
      <c r="H352" t="inlineStr">
        <is>
          <t>來源：單次型發票及收款紀錄 第 92 列</t>
        </is>
      </c>
      <c r="I352" t="inlineStr">
        <is>
          <t>2026-05-18</t>
        </is>
      </c>
    </row>
    <row r="353">
      <c r="A353" t="inlineStr">
        <is>
          <t>pay_587aa1bf214f</t>
        </is>
      </c>
      <c r="B353" t="inlineStr">
        <is>
          <t>劉泳成</t>
        </is>
      </c>
      <c r="C353" t="inlineStr">
        <is>
          <t>2024-12-02</t>
        </is>
      </c>
      <c r="D353" t="inlineStr">
        <is>
          <t>cus_15dd7113b465</t>
        </is>
      </c>
      <c r="E353" t="inlineStr">
        <is>
          <t>inv_793995e036e5</t>
        </is>
      </c>
      <c r="F353" t="n">
        <v>52500</v>
      </c>
      <c r="G353" t="inlineStr"/>
      <c r="H353" t="inlineStr">
        <is>
          <t>來源：單次型發票及收款紀錄 第 93 列</t>
        </is>
      </c>
      <c r="I353" t="inlineStr">
        <is>
          <t>2026-05-18</t>
        </is>
      </c>
    </row>
    <row r="354">
      <c r="A354" t="inlineStr">
        <is>
          <t>pay_aa5f8f5122e4</t>
        </is>
      </c>
      <c r="B354" t="inlineStr">
        <is>
          <t>劉泳成</t>
        </is>
      </c>
      <c r="C354" t="inlineStr">
        <is>
          <t>2024-12-31</t>
        </is>
      </c>
      <c r="D354" t="inlineStr">
        <is>
          <t>cus_15dd7113b465</t>
        </is>
      </c>
      <c r="E354" t="inlineStr">
        <is>
          <t>inv_638aa039b6eb</t>
        </is>
      </c>
      <c r="F354" t="n">
        <v>52500</v>
      </c>
      <c r="G354" t="inlineStr"/>
      <c r="H354" t="inlineStr">
        <is>
          <t>來源：單次型發票及收款紀錄 第 94 列</t>
        </is>
      </c>
      <c r="I354" t="inlineStr">
        <is>
          <t>2026-05-18</t>
        </is>
      </c>
    </row>
    <row r="355">
      <c r="A355" t="inlineStr">
        <is>
          <t>pay_7871d0939b11</t>
        </is>
      </c>
      <c r="B355" t="inlineStr">
        <is>
          <t>劉泳成</t>
        </is>
      </c>
      <c r="C355" t="inlineStr">
        <is>
          <t>2025-02-03</t>
        </is>
      </c>
      <c r="D355" t="inlineStr">
        <is>
          <t>cus_15dd7113b465</t>
        </is>
      </c>
      <c r="E355" t="inlineStr">
        <is>
          <t>inv_fcb42ab1b883</t>
        </is>
      </c>
      <c r="F355" t="n">
        <v>52500</v>
      </c>
      <c r="G355" t="inlineStr"/>
      <c r="H355" t="inlineStr">
        <is>
          <t>來源：單次型發票及收款紀錄 第 95 列</t>
        </is>
      </c>
      <c r="I355" t="inlineStr">
        <is>
          <t>2026-05-18</t>
        </is>
      </c>
    </row>
    <row r="356">
      <c r="A356" t="inlineStr">
        <is>
          <t>pay_0383bb5a813b</t>
        </is>
      </c>
      <c r="B356" t="inlineStr">
        <is>
          <t>劉泳成</t>
        </is>
      </c>
      <c r="C356" t="inlineStr">
        <is>
          <t>2024-11-08</t>
        </is>
      </c>
      <c r="D356" t="inlineStr">
        <is>
          <t>cus_dce308284fd9</t>
        </is>
      </c>
      <c r="E356" t="inlineStr">
        <is>
          <t>inv_3e41a62d3901</t>
        </is>
      </c>
      <c r="F356" t="n">
        <v>21000</v>
      </c>
      <c r="G356" t="inlineStr"/>
      <c r="H356" t="inlineStr">
        <is>
          <t>來源：單次型發票及收款紀錄 第 96 列</t>
        </is>
      </c>
      <c r="I356" t="inlineStr">
        <is>
          <t>2026-05-18</t>
        </is>
      </c>
    </row>
    <row r="357">
      <c r="A357" t="inlineStr">
        <is>
          <t>pay_63b9961e1e5b</t>
        </is>
      </c>
      <c r="B357" t="inlineStr">
        <is>
          <t>Erin</t>
        </is>
      </c>
      <c r="C357" t="inlineStr">
        <is>
          <t>2025-11-20</t>
        </is>
      </c>
      <c r="D357" t="inlineStr">
        <is>
          <t>cus_219263fb4bec</t>
        </is>
      </c>
      <c r="E357" t="inlineStr">
        <is>
          <t>inv_2ed7fb28646b</t>
        </is>
      </c>
      <c r="F357" t="n">
        <v>210000</v>
      </c>
      <c r="G357" t="inlineStr"/>
      <c r="H357" t="inlineStr">
        <is>
          <t>來源：單次型發票及收款紀錄 第 98 列</t>
        </is>
      </c>
      <c r="I357" t="inlineStr">
        <is>
          <t>2026-05-18</t>
        </is>
      </c>
    </row>
    <row r="358">
      <c r="A358" t="inlineStr">
        <is>
          <t>pay_239d35af00bd</t>
        </is>
      </c>
      <c r="B358" t="inlineStr">
        <is>
          <t>謝孟倢</t>
        </is>
      </c>
      <c r="C358" t="inlineStr">
        <is>
          <t>2025-09-17</t>
        </is>
      </c>
      <c r="D358" t="inlineStr">
        <is>
          <t>cus_7cd43652bfe2</t>
        </is>
      </c>
      <c r="E358" t="inlineStr">
        <is>
          <t>inv_49b50e5247ac</t>
        </is>
      </c>
      <c r="F358" t="n">
        <v>16590</v>
      </c>
      <c r="G358" t="inlineStr"/>
      <c r="H358" t="inlineStr">
        <is>
          <t>來源：單次型發票及收款紀錄 第 99 列</t>
        </is>
      </c>
      <c r="I358" t="inlineStr">
        <is>
          <t>2026-05-18</t>
        </is>
      </c>
    </row>
    <row r="359">
      <c r="A359" t="inlineStr">
        <is>
          <t>pay_e3fe472e8d85</t>
        </is>
      </c>
      <c r="B359" t="inlineStr">
        <is>
          <t>謝孟倢</t>
        </is>
      </c>
      <c r="C359" t="inlineStr">
        <is>
          <t>2025-11-17</t>
        </is>
      </c>
      <c r="D359" t="inlineStr">
        <is>
          <t>cus_7cd43652bfe2</t>
        </is>
      </c>
      <c r="E359" t="inlineStr">
        <is>
          <t>inv_d99519a9653f</t>
        </is>
      </c>
      <c r="F359" t="n">
        <v>30600</v>
      </c>
      <c r="G359" t="inlineStr"/>
      <c r="H359" t="inlineStr">
        <is>
          <t>來源：單次型發票及收款紀錄 第 100 列</t>
        </is>
      </c>
      <c r="I359" t="inlineStr">
        <is>
          <t>2026-05-18</t>
        </is>
      </c>
    </row>
    <row r="360">
      <c r="A360" t="inlineStr">
        <is>
          <t>pay_fc890612f998</t>
        </is>
      </c>
      <c r="B360" t="inlineStr">
        <is>
          <t>謝孟倢</t>
        </is>
      </c>
      <c r="C360" t="inlineStr">
        <is>
          <t>2025-12-17</t>
        </is>
      </c>
      <c r="D360" t="inlineStr">
        <is>
          <t>cus_7cd43652bfe2</t>
        </is>
      </c>
      <c r="E360" t="inlineStr">
        <is>
          <t>inv_126e2f44b62e</t>
        </is>
      </c>
      <c r="F360" t="n">
        <v>2399</v>
      </c>
      <c r="G360" t="inlineStr"/>
      <c r="H360" t="inlineStr">
        <is>
          <t>來源：單次型發票及收款紀錄 第 101 列</t>
        </is>
      </c>
      <c r="I360" t="inlineStr">
        <is>
          <t>2026-05-18</t>
        </is>
      </c>
    </row>
    <row r="361">
      <c r="A361" t="inlineStr">
        <is>
          <t>pay_895fb7d723c1</t>
        </is>
      </c>
      <c r="B361" t="inlineStr">
        <is>
          <t>Cobi</t>
        </is>
      </c>
      <c r="C361" t="inlineStr">
        <is>
          <t>7/21已作廢</t>
        </is>
      </c>
      <c r="D361" t="inlineStr">
        <is>
          <t>cus_2a658d5b98e0</t>
        </is>
      </c>
      <c r="E361" t="inlineStr">
        <is>
          <t>inv_b87a022ce27f</t>
        </is>
      </c>
      <c r="F361" t="n">
        <v>42000</v>
      </c>
      <c r="G361" t="inlineStr"/>
      <c r="H361" t="inlineStr">
        <is>
          <t>來源：單次型發票及收款紀錄 第 102 列</t>
        </is>
      </c>
      <c r="I361" t="inlineStr">
        <is>
          <t>2026-05-18</t>
        </is>
      </c>
    </row>
    <row r="362">
      <c r="A362" t="inlineStr">
        <is>
          <t>pay_f8a4a51305d9</t>
        </is>
      </c>
      <c r="B362" t="inlineStr">
        <is>
          <t>Cobi</t>
        </is>
      </c>
      <c r="C362" t="inlineStr">
        <is>
          <t>2025-12-01</t>
        </is>
      </c>
      <c r="D362" t="inlineStr">
        <is>
          <t>cus_2a658d5b98e0</t>
        </is>
      </c>
      <c r="E362" t="inlineStr">
        <is>
          <t>inv_97c3c574d1d2</t>
        </is>
      </c>
      <c r="F362" t="n">
        <v>42000</v>
      </c>
      <c r="G362" t="inlineStr"/>
      <c r="H362" t="inlineStr">
        <is>
          <t>來源：單次型發票及收款紀錄 第 103 列</t>
        </is>
      </c>
      <c r="I362" t="inlineStr">
        <is>
          <t>2026-05-18</t>
        </is>
      </c>
    </row>
    <row r="363">
      <c r="A363" t="inlineStr">
        <is>
          <t>pay_648a6ae2fa5a</t>
        </is>
      </c>
      <c r="B363" t="inlineStr">
        <is>
          <t>黃思睿</t>
        </is>
      </c>
      <c r="C363" t="inlineStr">
        <is>
          <t>版位交換,已開發票對沖</t>
        </is>
      </c>
      <c r="D363" t="inlineStr">
        <is>
          <t>cus_87cb4426ab9a</t>
        </is>
      </c>
      <c r="E363" t="inlineStr">
        <is>
          <t>inv_808b4717c82f</t>
        </is>
      </c>
      <c r="F363" t="n">
        <v>70000</v>
      </c>
      <c r="G363" t="inlineStr"/>
      <c r="H363" t="inlineStr">
        <is>
          <t>來源：單次型發票及收款紀錄 第 104 列</t>
        </is>
      </c>
      <c r="I363" t="inlineStr">
        <is>
          <t>2026-05-18</t>
        </is>
      </c>
    </row>
    <row r="364">
      <c r="A364" t="inlineStr">
        <is>
          <t>pay_fa513fcb22b4</t>
        </is>
      </c>
      <c r="B364" t="inlineStr">
        <is>
          <t>Cobi</t>
        </is>
      </c>
      <c r="C364" t="inlineStr">
        <is>
          <t>2024-09-13</t>
        </is>
      </c>
      <c r="D364" t="inlineStr">
        <is>
          <t>cus_3ccacb4db168</t>
        </is>
      </c>
      <c r="E364" t="inlineStr">
        <is>
          <t>inv_00f260ceae2c</t>
        </is>
      </c>
      <c r="F364" t="n">
        <v>12067</v>
      </c>
      <c r="G364" t="inlineStr"/>
      <c r="H364" t="inlineStr">
        <is>
          <t>來源：單次型發票及收款紀錄 第 105 列</t>
        </is>
      </c>
      <c r="I364" t="inlineStr">
        <is>
          <t>2026-05-18</t>
        </is>
      </c>
    </row>
    <row r="365">
      <c r="A365" t="inlineStr">
        <is>
          <t>pay_a6f78438a873</t>
        </is>
      </c>
      <c r="B365" t="inlineStr">
        <is>
          <t>Cobi</t>
        </is>
      </c>
      <c r="C365" t="inlineStr">
        <is>
          <t>2024-12-07</t>
        </is>
      </c>
      <c r="D365" t="inlineStr">
        <is>
          <t>cus_3ccacb4db168</t>
        </is>
      </c>
      <c r="E365" t="inlineStr">
        <is>
          <t>inv_9685f58bf795</t>
        </is>
      </c>
      <c r="F365" t="n">
        <v>21000</v>
      </c>
      <c r="G365" t="inlineStr"/>
      <c r="H365" t="inlineStr">
        <is>
          <t>來源：單次型發票及收款紀錄 第 106 列</t>
        </is>
      </c>
      <c r="I365" t="inlineStr">
        <is>
          <t>2026-05-18</t>
        </is>
      </c>
    </row>
    <row r="366">
      <c r="A366" t="inlineStr">
        <is>
          <t>pay_8d98589ed47e</t>
        </is>
      </c>
      <c r="B366" t="inlineStr">
        <is>
          <t>Cobi</t>
        </is>
      </c>
      <c r="C366" t="inlineStr">
        <is>
          <t>2025-05-26</t>
        </is>
      </c>
      <c r="D366" t="inlineStr">
        <is>
          <t>cus_3ccacb4db168</t>
        </is>
      </c>
      <c r="E366" t="inlineStr">
        <is>
          <t>inv_6f757bd2f353</t>
        </is>
      </c>
      <c r="F366" t="n">
        <v>10500</v>
      </c>
      <c r="G366" t="inlineStr"/>
      <c r="H366" t="inlineStr">
        <is>
          <t>來源：單次型發票及收款紀錄 第 107 列</t>
        </is>
      </c>
      <c r="I366" t="inlineStr">
        <is>
          <t>2026-05-18</t>
        </is>
      </c>
    </row>
    <row r="367">
      <c r="A367" t="inlineStr">
        <is>
          <t>pay_baf2604c3b8e</t>
        </is>
      </c>
      <c r="B367" t="inlineStr">
        <is>
          <t>Cobi</t>
        </is>
      </c>
      <c r="C367" t="inlineStr">
        <is>
          <t>2025-05-26</t>
        </is>
      </c>
      <c r="D367" t="inlineStr">
        <is>
          <t>cus_3ccacb4db168</t>
        </is>
      </c>
      <c r="E367" t="inlineStr">
        <is>
          <t>inv_e9be5c78a762</t>
        </is>
      </c>
      <c r="F367" t="n">
        <v>21000</v>
      </c>
      <c r="G367" t="inlineStr"/>
      <c r="H367" t="inlineStr">
        <is>
          <t>來源：單次型發票及收款紀錄 第 108 列</t>
        </is>
      </c>
      <c r="I367" t="inlineStr">
        <is>
          <t>2026-05-18</t>
        </is>
      </c>
    </row>
    <row r="368">
      <c r="A368" t="inlineStr">
        <is>
          <t>pay_f78e0aff0b2a</t>
        </is>
      </c>
      <c r="B368" t="inlineStr">
        <is>
          <t>Stanley</t>
        </is>
      </c>
      <c r="C368" t="inlineStr">
        <is>
          <t>2025-10-27</t>
        </is>
      </c>
      <c r="D368" t="inlineStr">
        <is>
          <t>cus_3ad6cee6a2ff</t>
        </is>
      </c>
      <c r="E368" t="inlineStr">
        <is>
          <t>inv_493dd9341be6</t>
        </is>
      </c>
      <c r="F368" t="n">
        <v>105920</v>
      </c>
      <c r="G368" t="inlineStr"/>
      <c r="H368" t="inlineStr">
        <is>
          <t>來源：單次型發票及收款紀錄 第 109 列</t>
        </is>
      </c>
      <c r="I368" t="inlineStr">
        <is>
          <t>2026-05-18</t>
        </is>
      </c>
    </row>
    <row r="369">
      <c r="A369" t="inlineStr">
        <is>
          <t>pay_7fdf22aa85cd</t>
        </is>
      </c>
      <c r="B369" t="inlineStr">
        <is>
          <t>Maggie</t>
        </is>
      </c>
      <c r="C369" t="inlineStr">
        <is>
          <t>2025-07-31</t>
        </is>
      </c>
      <c r="D369" t="inlineStr">
        <is>
          <t>cus_2dcbf927e90b</t>
        </is>
      </c>
      <c r="E369" t="inlineStr">
        <is>
          <t>inv_a8990041cfc1</t>
        </is>
      </c>
      <c r="F369" t="n">
        <v>10500</v>
      </c>
      <c r="G369" t="inlineStr"/>
      <c r="H369" t="inlineStr">
        <is>
          <t>來源：單次型發票及收款紀錄 第 110 列</t>
        </is>
      </c>
      <c r="I369" t="inlineStr">
        <is>
          <t>2026-05-18</t>
        </is>
      </c>
    </row>
    <row r="370">
      <c r="A370" t="inlineStr">
        <is>
          <t>pay_d43f902af148</t>
        </is>
      </c>
      <c r="B370" t="inlineStr">
        <is>
          <t>Peggy</t>
        </is>
      </c>
      <c r="C370" t="inlineStr">
        <is>
          <t>2025-08-29</t>
        </is>
      </c>
      <c r="D370" t="inlineStr">
        <is>
          <t>cus_2dcbf927e90b</t>
        </is>
      </c>
      <c r="E370" t="inlineStr">
        <is>
          <t>inv_d29332e5d37c</t>
        </is>
      </c>
      <c r="F370" t="n">
        <v>42000</v>
      </c>
      <c r="G370" t="inlineStr"/>
      <c r="H370" t="inlineStr">
        <is>
          <t>來源：單次型發票及收款紀錄 第 111 列</t>
        </is>
      </c>
      <c r="I370" t="inlineStr">
        <is>
          <t>2026-05-18</t>
        </is>
      </c>
    </row>
    <row r="371">
      <c r="A371" t="inlineStr">
        <is>
          <t>pay_c90f0a95e72e</t>
        </is>
      </c>
      <c r="B371" t="inlineStr">
        <is>
          <t>Peggy</t>
        </is>
      </c>
      <c r="C371" t="inlineStr">
        <is>
          <t>2025-11-26</t>
        </is>
      </c>
      <c r="D371" t="inlineStr">
        <is>
          <t>cus_2dcbf927e90b</t>
        </is>
      </c>
      <c r="E371" t="inlineStr">
        <is>
          <t>inv_b17122a91dd7</t>
        </is>
      </c>
      <c r="F371" t="n">
        <v>51030</v>
      </c>
      <c r="G371" t="inlineStr"/>
      <c r="H371" t="inlineStr">
        <is>
          <t>來源：單次型發票及收款紀錄 第 112 列</t>
        </is>
      </c>
      <c r="I371" t="inlineStr">
        <is>
          <t>2026-05-18</t>
        </is>
      </c>
    </row>
    <row r="372">
      <c r="A372" t="inlineStr">
        <is>
          <t>pay_70ce19b7259c</t>
        </is>
      </c>
      <c r="B372" t="inlineStr">
        <is>
          <t>劉泳成</t>
        </is>
      </c>
      <c r="C372" t="inlineStr">
        <is>
          <t>2024-05-27</t>
        </is>
      </c>
      <c r="D372" t="inlineStr">
        <is>
          <t>cus_ee0cc57cfefa</t>
        </is>
      </c>
      <c r="E372" t="inlineStr">
        <is>
          <t>inv_49a4b86b0f95</t>
        </is>
      </c>
      <c r="F372" t="n">
        <v>8149</v>
      </c>
      <c r="G372" t="inlineStr"/>
      <c r="H372" t="inlineStr">
        <is>
          <t>來源：單次型發票及收款紀錄 第 113 列</t>
        </is>
      </c>
      <c r="I372" t="inlineStr">
        <is>
          <t>2026-05-18</t>
        </is>
      </c>
    </row>
    <row r="373">
      <c r="A373" t="inlineStr">
        <is>
          <t>pay_b796ca54f0c0</t>
        </is>
      </c>
      <c r="B373" t="inlineStr">
        <is>
          <t>劉泳成</t>
        </is>
      </c>
      <c r="C373" t="inlineStr">
        <is>
          <t>2024-08-27</t>
        </is>
      </c>
      <c r="D373" t="inlineStr">
        <is>
          <t>cus_ee0cc57cfefa</t>
        </is>
      </c>
      <c r="E373" t="inlineStr">
        <is>
          <t>inv_f1645ec9d301</t>
        </is>
      </c>
      <c r="F373" t="n">
        <v>28552</v>
      </c>
      <c r="G373" t="inlineStr"/>
      <c r="H373" t="inlineStr">
        <is>
          <t>來源：單次型發票及收款紀錄 第 114 列</t>
        </is>
      </c>
      <c r="I373" t="inlineStr">
        <is>
          <t>2026-05-18</t>
        </is>
      </c>
    </row>
    <row r="374">
      <c r="A374" t="inlineStr">
        <is>
          <t>pay_d2c4d5a8151f</t>
        </is>
      </c>
      <c r="B374" t="inlineStr">
        <is>
          <t>劉泳成</t>
        </is>
      </c>
      <c r="C374" t="inlineStr">
        <is>
          <t>2024-09-27</t>
        </is>
      </c>
      <c r="D374" t="inlineStr">
        <is>
          <t>cus_ee0cc57cfefa</t>
        </is>
      </c>
      <c r="E374" t="inlineStr">
        <is>
          <t>inv_2139fb666757</t>
        </is>
      </c>
      <c r="F374" t="n">
        <v>3997</v>
      </c>
      <c r="G374" t="inlineStr"/>
      <c r="H374" t="inlineStr">
        <is>
          <t>來源：單次型發票及收款紀錄 第 115 列</t>
        </is>
      </c>
      <c r="I374" t="inlineStr">
        <is>
          <t>2026-05-18</t>
        </is>
      </c>
    </row>
    <row r="375">
      <c r="A375" t="inlineStr">
        <is>
          <t>pay_250c2a21f912</t>
        </is>
      </c>
      <c r="B375" t="inlineStr">
        <is>
          <t>劉泳成</t>
        </is>
      </c>
      <c r="C375" t="inlineStr">
        <is>
          <t>2024-11-27</t>
        </is>
      </c>
      <c r="D375" t="inlineStr">
        <is>
          <t>cus_ee0cc57cfefa</t>
        </is>
      </c>
      <c r="E375" t="inlineStr">
        <is>
          <t>inv_f73d6e4b07a8</t>
        </is>
      </c>
      <c r="F375" t="n">
        <v>53574</v>
      </c>
      <c r="G375" t="inlineStr"/>
      <c r="H375" t="inlineStr">
        <is>
          <t>來源：單次型發票及收款紀錄 第 116 列</t>
        </is>
      </c>
      <c r="I375" t="inlineStr">
        <is>
          <t>2026-05-18</t>
        </is>
      </c>
    </row>
    <row r="376">
      <c r="A376" t="inlineStr">
        <is>
          <t>pay_9043ced0b4df</t>
        </is>
      </c>
      <c r="B376" t="inlineStr">
        <is>
          <t>劉泳成</t>
        </is>
      </c>
      <c r="C376" t="inlineStr">
        <is>
          <t>2025-02-27</t>
        </is>
      </c>
      <c r="D376" t="inlineStr">
        <is>
          <t>cus_ee0cc57cfefa</t>
        </is>
      </c>
      <c r="E376" t="inlineStr">
        <is>
          <t>inv_95e8fa2cf2ba</t>
        </is>
      </c>
      <c r="F376" t="n">
        <v>26542</v>
      </c>
      <c r="G376" t="inlineStr"/>
      <c r="H376" t="inlineStr">
        <is>
          <t>來源：單次型發票及收款紀錄 第 117 列</t>
        </is>
      </c>
      <c r="I376" t="inlineStr">
        <is>
          <t>2026-05-18</t>
        </is>
      </c>
    </row>
    <row r="377">
      <c r="A377" t="inlineStr">
        <is>
          <t>pay_c3b2fa01037f</t>
        </is>
      </c>
      <c r="B377" t="inlineStr">
        <is>
          <t>Erin</t>
        </is>
      </c>
      <c r="C377" t="inlineStr">
        <is>
          <t>2025-05-27</t>
        </is>
      </c>
      <c r="D377" t="inlineStr">
        <is>
          <t>cus_ee0cc57cfefa</t>
        </is>
      </c>
      <c r="E377" t="inlineStr">
        <is>
          <t>inv_c8603b6d11df</t>
        </is>
      </c>
      <c r="F377" t="n">
        <v>84000</v>
      </c>
      <c r="G377" t="inlineStr"/>
      <c r="H377" t="inlineStr">
        <is>
          <t>來源：單次型發票及收款紀錄 第 118 列</t>
        </is>
      </c>
      <c r="I377" t="inlineStr">
        <is>
          <t>2026-05-18</t>
        </is>
      </c>
    </row>
    <row r="378">
      <c r="A378" t="inlineStr">
        <is>
          <t>pay_c6f609df1982</t>
        </is>
      </c>
      <c r="B378" t="inlineStr">
        <is>
          <t>Kate</t>
        </is>
      </c>
      <c r="C378" t="inlineStr">
        <is>
          <t>10/7折讓</t>
        </is>
      </c>
      <c r="D378" t="inlineStr">
        <is>
          <t>cus_ee0cc57cfefa</t>
        </is>
      </c>
      <c r="E378" t="inlineStr">
        <is>
          <t>inv_6b093185881f</t>
        </is>
      </c>
      <c r="F378" t="n">
        <v>15750</v>
      </c>
      <c r="G378" t="inlineStr"/>
      <c r="H378" t="inlineStr">
        <is>
          <t>來源：單次型發票及收款紀錄 第 119 列</t>
        </is>
      </c>
      <c r="I378" t="inlineStr">
        <is>
          <t>2026-05-18</t>
        </is>
      </c>
    </row>
    <row r="379">
      <c r="A379" t="inlineStr">
        <is>
          <t>pay_18b9f3b0742a</t>
        </is>
      </c>
      <c r="B379" t="inlineStr">
        <is>
          <t>Kate</t>
        </is>
      </c>
      <c r="C379" t="inlineStr">
        <is>
          <t>2025-10-27</t>
        </is>
      </c>
      <c r="D379" t="inlineStr">
        <is>
          <t>cus_ee0cc57cfefa</t>
        </is>
      </c>
      <c r="E379" t="inlineStr">
        <is>
          <t>inv_b66308abe1cd</t>
        </is>
      </c>
      <c r="F379" t="n">
        <v>53550</v>
      </c>
      <c r="G379" t="inlineStr"/>
      <c r="H379" t="inlineStr">
        <is>
          <t>來源：單次型發票及收款紀錄 第 120 列</t>
        </is>
      </c>
      <c r="I379" t="inlineStr">
        <is>
          <t>2026-05-18</t>
        </is>
      </c>
    </row>
    <row r="380">
      <c r="A380" t="inlineStr">
        <is>
          <t>pay_82c711023a59</t>
        </is>
      </c>
      <c r="B380" t="inlineStr">
        <is>
          <t>Kate</t>
        </is>
      </c>
      <c r="C380" t="inlineStr">
        <is>
          <t>2025-11-12</t>
        </is>
      </c>
      <c r="D380" t="inlineStr">
        <is>
          <t>cus_ee0cc57cfefa</t>
        </is>
      </c>
      <c r="E380" t="inlineStr">
        <is>
          <t>inv_bff507d37a13</t>
        </is>
      </c>
      <c r="F380" t="n">
        <v>15750</v>
      </c>
      <c r="G380" t="inlineStr"/>
      <c r="H380" t="inlineStr">
        <is>
          <t>來源：單次型發票及收款紀錄 第 121 列</t>
        </is>
      </c>
      <c r="I380" t="inlineStr">
        <is>
          <t>2026-05-18</t>
        </is>
      </c>
    </row>
    <row r="381">
      <c r="A381" t="inlineStr">
        <is>
          <t>pay_3007ddd492cb</t>
        </is>
      </c>
      <c r="B381" t="inlineStr">
        <is>
          <t>Kate</t>
        </is>
      </c>
      <c r="C381" t="inlineStr">
        <is>
          <t>2025-06-23</t>
        </is>
      </c>
      <c r="D381" t="inlineStr">
        <is>
          <t>cus_817b2a2daf0f</t>
        </is>
      </c>
      <c r="E381" t="inlineStr">
        <is>
          <t>inv_a83518340a4b</t>
        </is>
      </c>
      <c r="F381" t="n">
        <v>52500</v>
      </c>
      <c r="G381" t="inlineStr"/>
      <c r="H381" t="inlineStr">
        <is>
          <t>來源：單次型發票及收款紀錄 第 123 列</t>
        </is>
      </c>
      <c r="I381" t="inlineStr">
        <is>
          <t>2026-05-18</t>
        </is>
      </c>
    </row>
    <row r="382">
      <c r="A382" t="inlineStr">
        <is>
          <t>pay_edcabb31ff80</t>
        </is>
      </c>
      <c r="B382" t="inlineStr">
        <is>
          <t>劉泳成</t>
        </is>
      </c>
      <c r="C382" t="inlineStr">
        <is>
          <t>2025-02-27</t>
        </is>
      </c>
      <c r="D382" t="inlineStr">
        <is>
          <t>cus_83f1490839fe</t>
        </is>
      </c>
      <c r="E382" t="inlineStr">
        <is>
          <t>inv_4f1b9e48755f</t>
        </is>
      </c>
      <c r="F382" t="n">
        <v>15750</v>
      </c>
      <c r="G382" t="inlineStr"/>
      <c r="H382" t="inlineStr">
        <is>
          <t>來源：單次型發票及收款紀錄 第 124 列</t>
        </is>
      </c>
      <c r="I382" t="inlineStr">
        <is>
          <t>2026-05-18</t>
        </is>
      </c>
    </row>
    <row r="383">
      <c r="A383" t="inlineStr">
        <is>
          <t>pay_87bf374917ba</t>
        </is>
      </c>
      <c r="B383" t="inlineStr">
        <is>
          <t>Cobi</t>
        </is>
      </c>
      <c r="C383" t="inlineStr">
        <is>
          <t>2025-04-30</t>
        </is>
      </c>
      <c r="D383" t="inlineStr">
        <is>
          <t>cus_83f1490839fe</t>
        </is>
      </c>
      <c r="E383" t="inlineStr">
        <is>
          <t>inv_7206f724dd5c</t>
        </is>
      </c>
      <c r="F383" t="n">
        <v>6964</v>
      </c>
      <c r="G383" t="inlineStr"/>
      <c r="H383" t="inlineStr">
        <is>
          <t>來源：單次型發票及收款紀錄 第 125 列</t>
        </is>
      </c>
      <c r="I383" t="inlineStr">
        <is>
          <t>2026-05-18</t>
        </is>
      </c>
    </row>
    <row r="384">
      <c r="A384" t="inlineStr">
        <is>
          <t>pay_9948bab62ede</t>
        </is>
      </c>
      <c r="B384" t="inlineStr">
        <is>
          <t>Peggy</t>
        </is>
      </c>
      <c r="C384" t="inlineStr">
        <is>
          <t>2025-09-09</t>
        </is>
      </c>
      <c r="D384" t="inlineStr">
        <is>
          <t>cus_b2d0dc459739</t>
        </is>
      </c>
      <c r="E384" t="inlineStr">
        <is>
          <t>inv_f7b5c68eba1c</t>
        </is>
      </c>
      <c r="F384" t="n">
        <v>52500</v>
      </c>
      <c r="G384" t="inlineStr"/>
      <c r="H384" t="inlineStr">
        <is>
          <t>來源：單次型發票及收款紀錄 第 126 列</t>
        </is>
      </c>
      <c r="I384" t="inlineStr">
        <is>
          <t>2026-05-18</t>
        </is>
      </c>
    </row>
    <row r="385">
      <c r="A385" t="inlineStr">
        <is>
          <t>pay_1524d65c8a83</t>
        </is>
      </c>
      <c r="B385" t="inlineStr">
        <is>
          <t>Cobi</t>
        </is>
      </c>
      <c r="C385" t="inlineStr">
        <is>
          <t>2024-12-25</t>
        </is>
      </c>
      <c r="D385" t="inlineStr">
        <is>
          <t>cus_a63074f217c0</t>
        </is>
      </c>
      <c r="E385" t="inlineStr">
        <is>
          <t>inv_ec93ef9236eb</t>
        </is>
      </c>
      <c r="F385" t="n">
        <v>110000</v>
      </c>
      <c r="G385" t="inlineStr"/>
      <c r="H385" t="inlineStr">
        <is>
          <t>來源：單次型發票及收款紀錄 第 127 列</t>
        </is>
      </c>
      <c r="I385" t="inlineStr">
        <is>
          <t>2026-05-18</t>
        </is>
      </c>
    </row>
    <row r="386">
      <c r="A386" t="inlineStr">
        <is>
          <t>pay_a00865810f50</t>
        </is>
      </c>
      <c r="B386" t="inlineStr">
        <is>
          <t>Cobi</t>
        </is>
      </c>
      <c r="C386" t="inlineStr">
        <is>
          <t>2025-07-09</t>
        </is>
      </c>
      <c r="D386" t="inlineStr">
        <is>
          <t>cus_a63074f217c0</t>
        </is>
      </c>
      <c r="E386" t="inlineStr">
        <is>
          <t>inv_408e90bbe2f4</t>
        </is>
      </c>
      <c r="F386" t="n">
        <v>75000</v>
      </c>
      <c r="G386" t="inlineStr"/>
      <c r="H386" t="inlineStr">
        <is>
          <t>來源：單次型發票及收款紀錄 第 128 列</t>
        </is>
      </c>
      <c r="I386" t="inlineStr">
        <is>
          <t>2026-05-18</t>
        </is>
      </c>
    </row>
    <row r="387">
      <c r="A387" t="inlineStr">
        <is>
          <t>pay_c7eb6eb12696</t>
        </is>
      </c>
      <c r="B387" t="inlineStr">
        <is>
          <t>Cobi</t>
        </is>
      </c>
      <c r="C387" t="inlineStr">
        <is>
          <t>2025-07-09</t>
        </is>
      </c>
      <c r="D387" t="inlineStr">
        <is>
          <t>cus_a63074f217c0</t>
        </is>
      </c>
      <c r="E387" t="inlineStr">
        <is>
          <t>inv_8234be00b205</t>
        </is>
      </c>
      <c r="F387" t="n">
        <v>75000</v>
      </c>
      <c r="G387" t="inlineStr"/>
      <c r="H387" t="inlineStr">
        <is>
          <t>來源：單次型發票及收款紀錄 第 129 列</t>
        </is>
      </c>
      <c r="I387" t="inlineStr">
        <is>
          <t>2026-05-18</t>
        </is>
      </c>
    </row>
    <row r="388">
      <c r="A388" t="inlineStr">
        <is>
          <t>pay_e8b6e0c208fd</t>
        </is>
      </c>
      <c r="B388" t="inlineStr">
        <is>
          <t>Cobi</t>
        </is>
      </c>
      <c r="C388" t="inlineStr">
        <is>
          <t>2025-07-23</t>
        </is>
      </c>
      <c r="D388" t="inlineStr">
        <is>
          <t>cus_a63074f217c0</t>
        </is>
      </c>
      <c r="E388" t="inlineStr">
        <is>
          <t>inv_e4e19450b18d</t>
        </is>
      </c>
      <c r="F388" t="n">
        <v>156000</v>
      </c>
      <c r="G388" t="inlineStr"/>
      <c r="H388" t="inlineStr">
        <is>
          <t>來源：單次型發票及收款紀錄 第 130 列</t>
        </is>
      </c>
      <c r="I388" t="inlineStr">
        <is>
          <t>2026-05-18</t>
        </is>
      </c>
    </row>
    <row r="389">
      <c r="A389" t="inlineStr">
        <is>
          <t>pay_ea4d26abb03a</t>
        </is>
      </c>
      <c r="B389" t="inlineStr">
        <is>
          <t>Kate</t>
        </is>
      </c>
      <c r="C389" t="inlineStr">
        <is>
          <t>2025-09-30</t>
        </is>
      </c>
      <c r="D389" t="inlineStr">
        <is>
          <t>cus_4a584ce53c9f</t>
        </is>
      </c>
      <c r="E389" t="inlineStr">
        <is>
          <t>inv_478c5827f213</t>
        </is>
      </c>
      <c r="F389" t="n">
        <v>63000</v>
      </c>
      <c r="G389" t="inlineStr"/>
      <c r="H389" t="inlineStr">
        <is>
          <t>來源：單次型發票及收款紀錄 第 131 列</t>
        </is>
      </c>
      <c r="I389" t="inlineStr">
        <is>
          <t>2026-05-18</t>
        </is>
      </c>
    </row>
    <row r="390">
      <c r="A390" t="inlineStr">
        <is>
          <t>pay_6d84f720971b</t>
        </is>
      </c>
      <c r="B390" t="inlineStr">
        <is>
          <t>Kate</t>
        </is>
      </c>
      <c r="C390" t="inlineStr">
        <is>
          <t>2026-01-30</t>
        </is>
      </c>
      <c r="D390" t="inlineStr">
        <is>
          <t>cus_4a584ce53c9f</t>
        </is>
      </c>
      <c r="E390" t="inlineStr">
        <is>
          <t>inv_49f579efb911</t>
        </is>
      </c>
      <c r="F390" t="n">
        <v>31500</v>
      </c>
      <c r="G390" t="inlineStr"/>
      <c r="H390" t="inlineStr">
        <is>
          <t>來源：單次型發票及收款紀錄 第 132 列</t>
        </is>
      </c>
      <c r="I390" t="inlineStr">
        <is>
          <t>2026-05-18</t>
        </is>
      </c>
    </row>
    <row r="391">
      <c r="A391" t="inlineStr">
        <is>
          <t>pay_16d6f08680ba</t>
        </is>
      </c>
      <c r="B391" t="inlineStr">
        <is>
          <t>黃思睿</t>
        </is>
      </c>
      <c r="C391" t="inlineStr">
        <is>
          <t>2024-01-25</t>
        </is>
      </c>
      <c r="D391" t="inlineStr">
        <is>
          <t>cus_2397e7849eba</t>
        </is>
      </c>
      <c r="E391" t="inlineStr">
        <is>
          <t>inv_99676164dc2a</t>
        </is>
      </c>
      <c r="F391" t="n">
        <v>20000</v>
      </c>
      <c r="G391" t="inlineStr"/>
      <c r="H391" t="inlineStr">
        <is>
          <t>來源：單次型發票及收款紀錄 第 133 列</t>
        </is>
      </c>
      <c r="I391" t="inlineStr">
        <is>
          <t>2026-05-18</t>
        </is>
      </c>
    </row>
    <row r="392">
      <c r="A392" t="inlineStr">
        <is>
          <t>pay_183fcfe78a69</t>
        </is>
      </c>
      <c r="B392" t="inlineStr">
        <is>
          <t>黃思睿</t>
        </is>
      </c>
      <c r="C392" t="inlineStr">
        <is>
          <t>2024-03-25</t>
        </is>
      </c>
      <c r="D392" t="inlineStr">
        <is>
          <t>cus_2397e7849eba</t>
        </is>
      </c>
      <c r="E392" t="inlineStr">
        <is>
          <t>inv_aa8a6392e540</t>
        </is>
      </c>
      <c r="F392" t="n">
        <v>20000</v>
      </c>
      <c r="G392" t="inlineStr"/>
      <c r="H392" t="inlineStr">
        <is>
          <t>來源：單次型發票及收款紀錄 第 134 列</t>
        </is>
      </c>
      <c r="I392" t="inlineStr">
        <is>
          <t>2026-05-18</t>
        </is>
      </c>
    </row>
    <row r="393">
      <c r="A393" t="inlineStr">
        <is>
          <t>pay_fb30e0afd7bf</t>
        </is>
      </c>
      <c r="B393" t="inlineStr">
        <is>
          <t>黃思睿</t>
        </is>
      </c>
      <c r="C393" t="inlineStr">
        <is>
          <t>2024-03-25</t>
        </is>
      </c>
      <c r="D393" t="inlineStr">
        <is>
          <t>cus_2397e7849eba</t>
        </is>
      </c>
      <c r="E393" t="inlineStr">
        <is>
          <t>inv_c2d8b312691f</t>
        </is>
      </c>
      <c r="F393" t="n">
        <v>20000</v>
      </c>
      <c r="G393" t="inlineStr"/>
      <c r="H393" t="inlineStr">
        <is>
          <t>來源：單次型發票及收款紀錄 第 135 列</t>
        </is>
      </c>
      <c r="I393" t="inlineStr">
        <is>
          <t>2026-05-18</t>
        </is>
      </c>
    </row>
    <row r="394">
      <c r="A394" t="inlineStr">
        <is>
          <t>pay_7d9a74c0a8ab</t>
        </is>
      </c>
      <c r="B394" t="inlineStr">
        <is>
          <t>黃思睿</t>
        </is>
      </c>
      <c r="C394" t="inlineStr">
        <is>
          <t>2024-04-25</t>
        </is>
      </c>
      <c r="D394" t="inlineStr">
        <is>
          <t>cus_2397e7849eba</t>
        </is>
      </c>
      <c r="E394" t="inlineStr">
        <is>
          <t>inv_e7e6ef38ee65</t>
        </is>
      </c>
      <c r="F394" t="n">
        <v>20000</v>
      </c>
      <c r="G394" t="inlineStr"/>
      <c r="H394" t="inlineStr">
        <is>
          <t>來源：單次型發票及收款紀錄 第 136 列</t>
        </is>
      </c>
      <c r="I394" t="inlineStr">
        <is>
          <t>2026-05-18</t>
        </is>
      </c>
    </row>
    <row r="395">
      <c r="A395" t="inlineStr">
        <is>
          <t>pay_5d1521206ac0</t>
        </is>
      </c>
      <c r="B395" t="inlineStr">
        <is>
          <t>黃思睿</t>
        </is>
      </c>
      <c r="C395" t="inlineStr">
        <is>
          <t>2024-05-25</t>
        </is>
      </c>
      <c r="D395" t="inlineStr">
        <is>
          <t>cus_2397e7849eba</t>
        </is>
      </c>
      <c r="E395" t="inlineStr">
        <is>
          <t>inv_0b5429314831</t>
        </is>
      </c>
      <c r="F395" t="n">
        <v>20000</v>
      </c>
      <c r="G395" t="inlineStr"/>
      <c r="H395" t="inlineStr">
        <is>
          <t>來源：單次型發票及收款紀錄 第 137 列</t>
        </is>
      </c>
      <c r="I395" t="inlineStr">
        <is>
          <t>2026-05-18</t>
        </is>
      </c>
    </row>
    <row r="396">
      <c r="A396" t="inlineStr">
        <is>
          <t>pay_fd8360cd9e67</t>
        </is>
      </c>
      <c r="B396" t="inlineStr">
        <is>
          <t>黃思睿</t>
        </is>
      </c>
      <c r="C396" t="inlineStr">
        <is>
          <t>2024-06-25</t>
        </is>
      </c>
      <c r="D396" t="inlineStr">
        <is>
          <t>cus_2397e7849eba</t>
        </is>
      </c>
      <c r="E396" t="inlineStr">
        <is>
          <t>inv_7b0598203a3d</t>
        </is>
      </c>
      <c r="F396" t="n">
        <v>20000</v>
      </c>
      <c r="G396" t="inlineStr"/>
      <c r="H396" t="inlineStr">
        <is>
          <t>來源：單次型發票及收款紀錄 第 138 列</t>
        </is>
      </c>
      <c r="I396" t="inlineStr">
        <is>
          <t>2026-05-18</t>
        </is>
      </c>
    </row>
    <row r="397">
      <c r="A397" t="inlineStr">
        <is>
          <t>pay_98af53bfe236</t>
        </is>
      </c>
      <c r="B397" t="inlineStr">
        <is>
          <t>黃思睿</t>
        </is>
      </c>
      <c r="C397" t="inlineStr">
        <is>
          <t>2024-06-25</t>
        </is>
      </c>
      <c r="D397" t="inlineStr">
        <is>
          <t>cus_2397e7849eba</t>
        </is>
      </c>
      <c r="E397" t="inlineStr">
        <is>
          <t>inv_e783b2a11c20</t>
        </is>
      </c>
      <c r="F397" t="n">
        <v>3000</v>
      </c>
      <c r="G397" t="inlineStr"/>
      <c r="H397" t="inlineStr">
        <is>
          <t>來源：單次型發票及收款紀錄 第 139 列</t>
        </is>
      </c>
      <c r="I397" t="inlineStr">
        <is>
          <t>2026-05-18</t>
        </is>
      </c>
    </row>
    <row r="398">
      <c r="A398" t="inlineStr">
        <is>
          <t>pay_cc5ba474369f</t>
        </is>
      </c>
      <c r="B398" t="inlineStr">
        <is>
          <t>黃思睿</t>
        </is>
      </c>
      <c r="C398" t="inlineStr">
        <is>
          <t>2024-07-26</t>
        </is>
      </c>
      <c r="D398" t="inlineStr">
        <is>
          <t>cus_2397e7849eba</t>
        </is>
      </c>
      <c r="E398" t="inlineStr">
        <is>
          <t>inv_d134bbca46fa</t>
        </is>
      </c>
      <c r="F398" t="n">
        <v>20000</v>
      </c>
      <c r="G398" t="inlineStr"/>
      <c r="H398" t="inlineStr">
        <is>
          <t>來源：單次型發票及收款紀錄 第 140 列</t>
        </is>
      </c>
      <c r="I398" t="inlineStr">
        <is>
          <t>2026-05-18</t>
        </is>
      </c>
    </row>
    <row r="399">
      <c r="A399" t="inlineStr">
        <is>
          <t>pay_39b623b5ed44</t>
        </is>
      </c>
      <c r="B399" t="inlineStr">
        <is>
          <t>Cobi</t>
        </is>
      </c>
      <c r="C399" t="inlineStr">
        <is>
          <t>2024-08-26</t>
        </is>
      </c>
      <c r="D399" t="inlineStr">
        <is>
          <t>cus_2397e7849eba</t>
        </is>
      </c>
      <c r="E399" t="inlineStr">
        <is>
          <t>inv_d40f17309724</t>
        </is>
      </c>
      <c r="F399" t="n">
        <v>20000</v>
      </c>
      <c r="G399" t="inlineStr"/>
      <c r="H399" t="inlineStr">
        <is>
          <t>來源：單次型發票及收款紀錄 第 141 列</t>
        </is>
      </c>
      <c r="I399" t="inlineStr">
        <is>
          <t>2026-05-18</t>
        </is>
      </c>
    </row>
    <row r="400">
      <c r="A400" t="inlineStr">
        <is>
          <t>pay_fb457f2abd59</t>
        </is>
      </c>
      <c r="B400" t="inlineStr">
        <is>
          <t>Cobi</t>
        </is>
      </c>
      <c r="C400" t="inlineStr">
        <is>
          <t>2024-09-25</t>
        </is>
      </c>
      <c r="D400" t="inlineStr">
        <is>
          <t>cus_2397e7849eba</t>
        </is>
      </c>
      <c r="E400" t="inlineStr">
        <is>
          <t>inv_96090fc1c689</t>
        </is>
      </c>
      <c r="F400" t="n">
        <v>20000</v>
      </c>
      <c r="G400" t="inlineStr"/>
      <c r="H400" t="inlineStr">
        <is>
          <t>來源：單次型發票及收款紀錄 第 142 列</t>
        </is>
      </c>
      <c r="I400" t="inlineStr">
        <is>
          <t>2026-05-18</t>
        </is>
      </c>
    </row>
    <row r="401">
      <c r="A401" t="inlineStr">
        <is>
          <t>pay_f528f9e609b7</t>
        </is>
      </c>
      <c r="B401" t="inlineStr">
        <is>
          <t>Cobi</t>
        </is>
      </c>
      <c r="C401" t="inlineStr">
        <is>
          <t>2024-10-25</t>
        </is>
      </c>
      <c r="D401" t="inlineStr">
        <is>
          <t>cus_2397e7849eba</t>
        </is>
      </c>
      <c r="E401" t="inlineStr">
        <is>
          <t>inv_25c0e4f15ee9</t>
        </is>
      </c>
      <c r="F401" t="n">
        <v>20000</v>
      </c>
      <c r="G401" t="inlineStr"/>
      <c r="H401" t="inlineStr">
        <is>
          <t>來源：單次型發票及收款紀錄 第 143 列</t>
        </is>
      </c>
      <c r="I401" t="inlineStr">
        <is>
          <t>2026-05-18</t>
        </is>
      </c>
    </row>
    <row r="402">
      <c r="A402" t="inlineStr">
        <is>
          <t>pay_a901779055fe</t>
        </is>
      </c>
      <c r="B402" t="inlineStr">
        <is>
          <t>Cobi</t>
        </is>
      </c>
      <c r="C402" t="inlineStr">
        <is>
          <t>2024-11-25</t>
        </is>
      </c>
      <c r="D402" t="inlineStr">
        <is>
          <t>cus_2397e7849eba</t>
        </is>
      </c>
      <c r="E402" t="inlineStr">
        <is>
          <t>inv_cd1060f47f77</t>
        </is>
      </c>
      <c r="F402" t="n">
        <v>20000</v>
      </c>
      <c r="G402" t="inlineStr"/>
      <c r="H402" t="inlineStr">
        <is>
          <t>來源：單次型發票及收款紀錄 第 144 列</t>
        </is>
      </c>
      <c r="I402" t="inlineStr">
        <is>
          <t>2026-05-18</t>
        </is>
      </c>
    </row>
    <row r="403">
      <c r="A403" t="inlineStr">
        <is>
          <t>pay_8b0a2e239924</t>
        </is>
      </c>
      <c r="B403" t="inlineStr">
        <is>
          <t>Cobi</t>
        </is>
      </c>
      <c r="C403" t="inlineStr">
        <is>
          <t>2024-12-25</t>
        </is>
      </c>
      <c r="D403" t="inlineStr">
        <is>
          <t>cus_2397e7849eba</t>
        </is>
      </c>
      <c r="E403" t="inlineStr">
        <is>
          <t>inv_69d3481e67b7</t>
        </is>
      </c>
      <c r="F403" t="n">
        <v>20000</v>
      </c>
      <c r="G403" t="inlineStr"/>
      <c r="H403" t="inlineStr">
        <is>
          <t>來源：單次型發票及收款紀錄 第 145 列</t>
        </is>
      </c>
      <c r="I403" t="inlineStr">
        <is>
          <t>2026-05-18</t>
        </is>
      </c>
    </row>
    <row r="404">
      <c r="A404" t="inlineStr">
        <is>
          <t>pay_aad594448925</t>
        </is>
      </c>
      <c r="B404" t="inlineStr">
        <is>
          <t>Cobi</t>
        </is>
      </c>
      <c r="C404" t="inlineStr">
        <is>
          <t>2025-03-25</t>
        </is>
      </c>
      <c r="D404" t="inlineStr">
        <is>
          <t>cus_2397e7849eba</t>
        </is>
      </c>
      <c r="E404" t="inlineStr">
        <is>
          <t>inv_fab51d6747b0</t>
        </is>
      </c>
      <c r="F404" t="n">
        <v>20000</v>
      </c>
      <c r="G404" t="inlineStr"/>
      <c r="H404" t="inlineStr">
        <is>
          <t>來源：單次型發票及收款紀錄 第 146 列</t>
        </is>
      </c>
      <c r="I404" t="inlineStr">
        <is>
          <t>2026-05-18</t>
        </is>
      </c>
    </row>
    <row r="405">
      <c r="A405" t="inlineStr">
        <is>
          <t>pay_da3feb5ffeba</t>
        </is>
      </c>
      <c r="B405" t="inlineStr">
        <is>
          <t>Cobi</t>
        </is>
      </c>
      <c r="C405" t="inlineStr">
        <is>
          <t>2025-02-25</t>
        </is>
      </c>
      <c r="D405" t="inlineStr">
        <is>
          <t>cus_2397e7849eba</t>
        </is>
      </c>
      <c r="E405" t="inlineStr">
        <is>
          <t>inv_190d9d09cd85</t>
        </is>
      </c>
      <c r="F405" t="n">
        <v>20000</v>
      </c>
      <c r="G405" t="inlineStr"/>
      <c r="H405" t="inlineStr">
        <is>
          <t>來源：單次型發票及收款紀錄 第 147 列</t>
        </is>
      </c>
      <c r="I405" t="inlineStr">
        <is>
          <t>2026-05-18</t>
        </is>
      </c>
    </row>
    <row r="406">
      <c r="A406" t="inlineStr">
        <is>
          <t>pay_ca986a203462</t>
        </is>
      </c>
      <c r="B406" t="inlineStr">
        <is>
          <t>Cobi</t>
        </is>
      </c>
      <c r="C406" t="inlineStr">
        <is>
          <t>2025-03-25</t>
        </is>
      </c>
      <c r="D406" t="inlineStr">
        <is>
          <t>cus_2397e7849eba</t>
        </is>
      </c>
      <c r="E406" t="inlineStr">
        <is>
          <t>inv_15b785e3a208</t>
        </is>
      </c>
      <c r="F406" t="n">
        <v>20000</v>
      </c>
      <c r="G406" t="inlineStr"/>
      <c r="H406" t="inlineStr">
        <is>
          <t>來源：單次型發票及收款紀錄 第 148 列</t>
        </is>
      </c>
      <c r="I406" t="inlineStr">
        <is>
          <t>2026-05-18</t>
        </is>
      </c>
    </row>
    <row r="407">
      <c r="A407" t="inlineStr">
        <is>
          <t>pay_cfa27abef518</t>
        </is>
      </c>
      <c r="B407" t="inlineStr">
        <is>
          <t>Cobi</t>
        </is>
      </c>
      <c r="C407" t="inlineStr">
        <is>
          <t>2025-04-25</t>
        </is>
      </c>
      <c r="D407" t="inlineStr">
        <is>
          <t>cus_2397e7849eba</t>
        </is>
      </c>
      <c r="E407" t="inlineStr">
        <is>
          <t>inv_9f65cb7c76c2</t>
        </is>
      </c>
      <c r="F407" t="n">
        <v>20000</v>
      </c>
      <c r="G407" t="inlineStr"/>
      <c r="H407" t="inlineStr">
        <is>
          <t>來源：單次型發票及收款紀錄 第 149 列</t>
        </is>
      </c>
      <c r="I407" t="inlineStr">
        <is>
          <t>2026-05-18</t>
        </is>
      </c>
    </row>
    <row r="408">
      <c r="A408" t="inlineStr">
        <is>
          <t>pay_1bd93fbb4ccc</t>
        </is>
      </c>
      <c r="B408" t="inlineStr">
        <is>
          <t>Cobi</t>
        </is>
      </c>
      <c r="C408" t="inlineStr">
        <is>
          <t>2025-06-25</t>
        </is>
      </c>
      <c r="D408" t="inlineStr">
        <is>
          <t>cus_2397e7849eba</t>
        </is>
      </c>
      <c r="E408" t="inlineStr">
        <is>
          <t>inv_7aa81d4e3230</t>
        </is>
      </c>
      <c r="F408" t="n">
        <v>40000</v>
      </c>
      <c r="G408" t="inlineStr"/>
      <c r="H408" t="inlineStr">
        <is>
          <t>來源：單次型發票及收款紀錄 第 150 列</t>
        </is>
      </c>
      <c r="I408" t="inlineStr">
        <is>
          <t>2026-05-18</t>
        </is>
      </c>
    </row>
    <row r="409">
      <c r="A409" t="inlineStr">
        <is>
          <t>pay_ccd2730969a8</t>
        </is>
      </c>
      <c r="B409" t="inlineStr">
        <is>
          <t>Cobi</t>
        </is>
      </c>
      <c r="C409" t="inlineStr">
        <is>
          <t>2025-06-25</t>
        </is>
      </c>
      <c r="D409" t="inlineStr">
        <is>
          <t>cus_2397e7849eba</t>
        </is>
      </c>
      <c r="E409" t="inlineStr">
        <is>
          <t>inv_1db56fa31774</t>
        </is>
      </c>
      <c r="F409" t="n">
        <v>252000</v>
      </c>
      <c r="G409" t="inlineStr"/>
      <c r="H409" t="inlineStr">
        <is>
          <t>來源：單次型發票及收款紀錄 第 151 列</t>
        </is>
      </c>
      <c r="I409" t="inlineStr">
        <is>
          <t>2026-05-18</t>
        </is>
      </c>
    </row>
    <row r="410">
      <c r="A410" t="inlineStr">
        <is>
          <t>pay_192b07becd1d</t>
        </is>
      </c>
      <c r="B410" t="inlineStr">
        <is>
          <t>Cobi</t>
        </is>
      </c>
      <c r="C410" t="inlineStr">
        <is>
          <t>2025-07-25</t>
        </is>
      </c>
      <c r="D410" t="inlineStr">
        <is>
          <t>cus_2397e7849eba</t>
        </is>
      </c>
      <c r="E410" t="inlineStr">
        <is>
          <t>inv_a81a649c9bd2</t>
        </is>
      </c>
      <c r="F410" t="n">
        <v>40000</v>
      </c>
      <c r="G410" t="inlineStr"/>
      <c r="H410" t="inlineStr">
        <is>
          <t>來源：單次型發票及收款紀錄 第 152 列</t>
        </is>
      </c>
      <c r="I410" t="inlineStr">
        <is>
          <t>2026-05-18</t>
        </is>
      </c>
    </row>
    <row r="411">
      <c r="A411" t="inlineStr">
        <is>
          <t>pay_43e78b98fabe</t>
        </is>
      </c>
      <c r="B411" t="inlineStr">
        <is>
          <t>Cobi</t>
        </is>
      </c>
      <c r="C411" t="inlineStr">
        <is>
          <t>2025-08-25</t>
        </is>
      </c>
      <c r="D411" t="inlineStr">
        <is>
          <t>cus_2397e7849eba</t>
        </is>
      </c>
      <c r="E411" t="inlineStr">
        <is>
          <t>inv_74f51bce21d4</t>
        </is>
      </c>
      <c r="F411" t="n">
        <v>60000</v>
      </c>
      <c r="G411" t="inlineStr"/>
      <c r="H411" t="inlineStr">
        <is>
          <t>來源：單次型發票及收款紀錄 第 153 列</t>
        </is>
      </c>
      <c r="I411" t="inlineStr">
        <is>
          <t>2026-05-18</t>
        </is>
      </c>
    </row>
    <row r="412">
      <c r="A412" t="inlineStr">
        <is>
          <t>pay_289799a83e62</t>
        </is>
      </c>
      <c r="B412" t="inlineStr">
        <is>
          <t>Cobi</t>
        </is>
      </c>
      <c r="C412" t="inlineStr">
        <is>
          <t>2025-09-25</t>
        </is>
      </c>
      <c r="D412" t="inlineStr">
        <is>
          <t>cus_2397e7849eba</t>
        </is>
      </c>
      <c r="E412" t="inlineStr">
        <is>
          <t>inv_12e0c86eb4fe</t>
        </is>
      </c>
      <c r="F412" t="n">
        <v>60000</v>
      </c>
      <c r="G412" t="inlineStr"/>
      <c r="H412" t="inlineStr">
        <is>
          <t>來源：單次型發票及收款紀錄 第 154 列</t>
        </is>
      </c>
      <c r="I412" t="inlineStr">
        <is>
          <t>2026-05-18</t>
        </is>
      </c>
    </row>
    <row r="413">
      <c r="A413" t="inlineStr">
        <is>
          <t>pay_2dd23632f456</t>
        </is>
      </c>
      <c r="B413" t="inlineStr">
        <is>
          <t>Cobi</t>
        </is>
      </c>
      <c r="C413" t="inlineStr">
        <is>
          <t>2025-10-27</t>
        </is>
      </c>
      <c r="D413" t="inlineStr">
        <is>
          <t>cus_2397e7849eba</t>
        </is>
      </c>
      <c r="E413" t="inlineStr">
        <is>
          <t>inv_58849a94c016</t>
        </is>
      </c>
      <c r="F413" t="n">
        <v>60000</v>
      </c>
      <c r="G413" t="inlineStr"/>
      <c r="H413" t="inlineStr">
        <is>
          <t>來源：單次型發票及收款紀錄 第 155 列</t>
        </is>
      </c>
      <c r="I413" t="inlineStr">
        <is>
          <t>2026-05-18</t>
        </is>
      </c>
    </row>
    <row r="414">
      <c r="A414" t="inlineStr">
        <is>
          <t>pay_d338ceffd72e</t>
        </is>
      </c>
      <c r="B414" t="inlineStr">
        <is>
          <t>Cobi</t>
        </is>
      </c>
      <c r="C414" t="inlineStr">
        <is>
          <t>2025-11-25</t>
        </is>
      </c>
      <c r="D414" t="inlineStr">
        <is>
          <t>cus_2397e7849eba</t>
        </is>
      </c>
      <c r="E414" t="inlineStr">
        <is>
          <t>inv_892a2d767c80</t>
        </is>
      </c>
      <c r="F414" t="n">
        <v>60000</v>
      </c>
      <c r="G414" t="inlineStr"/>
      <c r="H414" t="inlineStr">
        <is>
          <t>來源：單次型發票及收款紀錄 第 156 列</t>
        </is>
      </c>
      <c r="I414" t="inlineStr">
        <is>
          <t>2026-05-18</t>
        </is>
      </c>
    </row>
    <row r="415">
      <c r="A415" t="inlineStr">
        <is>
          <t>pay_142ce4bcecab</t>
        </is>
      </c>
      <c r="B415" t="inlineStr">
        <is>
          <t>Peggy</t>
        </is>
      </c>
      <c r="C415" t="inlineStr">
        <is>
          <t>2025-10-21</t>
        </is>
      </c>
      <c r="D415" t="inlineStr">
        <is>
          <t>cus_9131c5f11930</t>
        </is>
      </c>
      <c r="E415" t="inlineStr">
        <is>
          <t>inv_a493c815595f</t>
        </is>
      </c>
      <c r="F415" t="n">
        <v>42000</v>
      </c>
      <c r="G415" t="inlineStr"/>
      <c r="H415" t="inlineStr">
        <is>
          <t>來源：單次型發票及收款紀錄 第 157 列</t>
        </is>
      </c>
      <c r="I415" t="inlineStr">
        <is>
          <t>2026-05-18</t>
        </is>
      </c>
    </row>
    <row r="416">
      <c r="A416" t="inlineStr">
        <is>
          <t>pay_b7240933b60c</t>
        </is>
      </c>
      <c r="B416" t="inlineStr">
        <is>
          <t>劉泳成</t>
        </is>
      </c>
      <c r="C416" t="inlineStr">
        <is>
          <t>2024-04-30</t>
        </is>
      </c>
      <c r="D416" t="inlineStr">
        <is>
          <t>cus_d42739550cb8</t>
        </is>
      </c>
      <c r="E416" t="inlineStr">
        <is>
          <t>inv_336f27881efd</t>
        </is>
      </c>
      <c r="F416" t="n">
        <v>118725</v>
      </c>
      <c r="G416" t="inlineStr"/>
      <c r="H416" t="inlineStr">
        <is>
          <t>來源：單次型發票及收款紀錄 第 158 列</t>
        </is>
      </c>
      <c r="I416" t="inlineStr">
        <is>
          <t>2026-05-18</t>
        </is>
      </c>
    </row>
    <row r="417">
      <c r="A417" t="inlineStr">
        <is>
          <t>pay_04bc9b16368e</t>
        </is>
      </c>
      <c r="B417" t="inlineStr">
        <is>
          <t>劉泳成</t>
        </is>
      </c>
      <c r="C417" t="inlineStr">
        <is>
          <t>2024-04-30</t>
        </is>
      </c>
      <c r="D417" t="inlineStr">
        <is>
          <t>cus_d42739550cb8</t>
        </is>
      </c>
      <c r="E417" t="inlineStr">
        <is>
          <t>inv_fed1f994315b</t>
        </is>
      </c>
      <c r="F417" t="n">
        <v>2006</v>
      </c>
      <c r="G417" t="inlineStr"/>
      <c r="H417" t="inlineStr">
        <is>
          <t>來源：單次型發票及收款紀錄 第 159 列</t>
        </is>
      </c>
      <c r="I417" t="inlineStr">
        <is>
          <t>2026-05-18</t>
        </is>
      </c>
    </row>
    <row r="418">
      <c r="A418" t="inlineStr">
        <is>
          <t>pay_b478eeb8149e</t>
        </is>
      </c>
      <c r="B418" t="inlineStr">
        <is>
          <t>劉泳成</t>
        </is>
      </c>
      <c r="C418" t="inlineStr">
        <is>
          <t>2024-07-02</t>
        </is>
      </c>
      <c r="D418" t="inlineStr">
        <is>
          <t>cus_d42739550cb8</t>
        </is>
      </c>
      <c r="E418" t="inlineStr">
        <is>
          <t>inv_dbd2e1930d68</t>
        </is>
      </c>
      <c r="F418" t="n">
        <v>186732</v>
      </c>
      <c r="G418" t="inlineStr"/>
      <c r="H418" t="inlineStr">
        <is>
          <t>來源：單次型發票及收款紀錄 第 160 列</t>
        </is>
      </c>
      <c r="I418" t="inlineStr">
        <is>
          <t>2026-05-18</t>
        </is>
      </c>
    </row>
    <row r="419">
      <c r="A419" t="inlineStr">
        <is>
          <t>pay_26313e86fb6f</t>
        </is>
      </c>
      <c r="B419" t="inlineStr">
        <is>
          <t>劉泳成</t>
        </is>
      </c>
      <c r="C419" t="inlineStr">
        <is>
          <t>2024-07-31</t>
        </is>
      </c>
      <c r="D419" t="inlineStr">
        <is>
          <t>cus_d42739550cb8</t>
        </is>
      </c>
      <c r="E419" t="inlineStr">
        <is>
          <t>inv_2886a8923c19</t>
        </is>
      </c>
      <c r="F419" t="n">
        <v>15750</v>
      </c>
      <c r="G419" t="inlineStr"/>
      <c r="H419" t="inlineStr">
        <is>
          <t>來源：單次型發票及收款紀錄 第 161 列</t>
        </is>
      </c>
      <c r="I419" t="inlineStr">
        <is>
          <t>2026-05-18</t>
        </is>
      </c>
    </row>
    <row r="420">
      <c r="A420" t="inlineStr">
        <is>
          <t>pay_86abe1160d70</t>
        </is>
      </c>
      <c r="B420" t="inlineStr">
        <is>
          <t>劉泳成</t>
        </is>
      </c>
      <c r="C420" t="inlineStr">
        <is>
          <t>2024-10-01</t>
        </is>
      </c>
      <c r="D420" t="inlineStr">
        <is>
          <t>cus_d42739550cb8</t>
        </is>
      </c>
      <c r="E420" t="inlineStr">
        <is>
          <t>inv_829f49ef8b89</t>
        </is>
      </c>
      <c r="F420" t="n">
        <v>5649</v>
      </c>
      <c r="G420" t="inlineStr"/>
      <c r="H420" t="inlineStr">
        <is>
          <t>來源：單次型發票及收款紀錄 第 162 列</t>
        </is>
      </c>
      <c r="I420" t="inlineStr">
        <is>
          <t>2026-05-18</t>
        </is>
      </c>
    </row>
    <row r="421">
      <c r="A421" t="inlineStr">
        <is>
          <t>pay_5bf3b0a89fd2</t>
        </is>
      </c>
      <c r="B421" t="inlineStr">
        <is>
          <t>劉泳成</t>
        </is>
      </c>
      <c r="C421" t="inlineStr">
        <is>
          <t>2024-10-01</t>
        </is>
      </c>
      <c r="D421" t="inlineStr">
        <is>
          <t>cus_d42739550cb8</t>
        </is>
      </c>
      <c r="E421" t="inlineStr">
        <is>
          <t>inv_7396e8a3b5ea</t>
        </is>
      </c>
      <c r="F421" t="n">
        <v>3392</v>
      </c>
      <c r="G421" t="inlineStr"/>
      <c r="H421" t="inlineStr">
        <is>
          <t>來源：單次型發票及收款紀錄 第 163 列</t>
        </is>
      </c>
      <c r="I421" t="inlineStr">
        <is>
          <t>2026-05-18</t>
        </is>
      </c>
    </row>
    <row r="422">
      <c r="A422" t="inlineStr">
        <is>
          <t>pay_0771bb69adac</t>
        </is>
      </c>
      <c r="B422" t="inlineStr">
        <is>
          <t>Cobi</t>
        </is>
      </c>
      <c r="C422" t="inlineStr">
        <is>
          <t>2025-06-02</t>
        </is>
      </c>
      <c r="D422" t="inlineStr">
        <is>
          <t>cus_d42739550cb8</t>
        </is>
      </c>
      <c r="E422" t="inlineStr">
        <is>
          <t>inv_d0085a6f44cd</t>
        </is>
      </c>
      <c r="F422" t="n">
        <v>6426</v>
      </c>
      <c r="G422" t="inlineStr"/>
      <c r="H422" t="inlineStr">
        <is>
          <t>來源：單次型發票及收款紀錄 第 164 列</t>
        </is>
      </c>
      <c r="I422" t="inlineStr">
        <is>
          <t>2026-05-18</t>
        </is>
      </c>
    </row>
    <row r="423">
      <c r="A423" t="inlineStr">
        <is>
          <t>pay_11206b0fa9ef</t>
        </is>
      </c>
      <c r="B423" t="inlineStr">
        <is>
          <t>Cobi</t>
        </is>
      </c>
      <c r="C423" t="inlineStr">
        <is>
          <t>2025-09-25</t>
        </is>
      </c>
      <c r="D423" t="inlineStr">
        <is>
          <t>cus_41298eb9466b</t>
        </is>
      </c>
      <c r="E423" t="inlineStr">
        <is>
          <t>inv_ff7eec035a54</t>
        </is>
      </c>
      <c r="F423" t="n">
        <v>50000</v>
      </c>
      <c r="G423" t="inlineStr"/>
      <c r="H423" t="inlineStr">
        <is>
          <t>來源：單次型發票及收款紀錄 第 165 列</t>
        </is>
      </c>
      <c r="I423" t="inlineStr">
        <is>
          <t>2026-05-18</t>
        </is>
      </c>
    </row>
    <row r="424">
      <c r="A424" t="inlineStr">
        <is>
          <t>pay_3f8ff2c9702a</t>
        </is>
      </c>
      <c r="B424" t="inlineStr">
        <is>
          <t>梁芫菁</t>
        </is>
      </c>
      <c r="C424" t="inlineStr">
        <is>
          <t>2023-12-15</t>
        </is>
      </c>
      <c r="D424" t="inlineStr">
        <is>
          <t>cus_71849f516d67</t>
        </is>
      </c>
      <c r="E424" t="inlineStr">
        <is>
          <t>inv_38431f533f10</t>
        </is>
      </c>
      <c r="F424" t="n">
        <v>50000</v>
      </c>
      <c r="G424" t="inlineStr"/>
      <c r="H424" t="inlineStr">
        <is>
          <t>來源：單次型發票及收款紀錄 第 166 列</t>
        </is>
      </c>
      <c r="I424" t="inlineStr">
        <is>
          <t>2026-05-18</t>
        </is>
      </c>
    </row>
    <row r="425">
      <c r="A425" t="inlineStr">
        <is>
          <t>pay_be80b04b56fd</t>
        </is>
      </c>
      <c r="B425" t="inlineStr">
        <is>
          <t>Cobi</t>
        </is>
      </c>
      <c r="C425" t="inlineStr">
        <is>
          <t>2025-04-15</t>
        </is>
      </c>
      <c r="D425" t="inlineStr">
        <is>
          <t>cus_1fcec1c737d4</t>
        </is>
      </c>
      <c r="E425" t="inlineStr">
        <is>
          <t>inv_9a76d0c9015f</t>
        </is>
      </c>
      <c r="F425" t="n">
        <v>113400</v>
      </c>
      <c r="G425" t="inlineStr"/>
      <c r="H425" t="inlineStr">
        <is>
          <t>來源：單次型發票及收款紀錄 第 167 列</t>
        </is>
      </c>
      <c r="I425" t="inlineStr">
        <is>
          <t>2026-05-18</t>
        </is>
      </c>
    </row>
    <row r="426">
      <c r="A426" t="inlineStr">
        <is>
          <t>pay_27b1755a8bc0</t>
        </is>
      </c>
      <c r="B426" t="inlineStr">
        <is>
          <t>黃思睿</t>
        </is>
      </c>
      <c r="C426" t="inlineStr">
        <is>
          <t>2023-11-15</t>
        </is>
      </c>
      <c r="D426" t="inlineStr">
        <is>
          <t>cus_c5dc9d1310ce</t>
        </is>
      </c>
      <c r="E426" t="inlineStr">
        <is>
          <t>inv_f688f606c0d5</t>
        </is>
      </c>
      <c r="F426" t="n">
        <v>63000</v>
      </c>
      <c r="G426" t="inlineStr"/>
      <c r="H426" t="inlineStr">
        <is>
          <t>來源：單次型發票及收款紀錄 第 168 列</t>
        </is>
      </c>
      <c r="I426" t="inlineStr">
        <is>
          <t>2026-05-18</t>
        </is>
      </c>
    </row>
    <row r="427">
      <c r="A427" t="inlineStr">
        <is>
          <t>pay_1dd42c41b5e9</t>
        </is>
      </c>
      <c r="B427" t="inlineStr">
        <is>
          <t>黃思睿</t>
        </is>
      </c>
      <c r="C427" t="inlineStr">
        <is>
          <t>2024-03-01</t>
        </is>
      </c>
      <c r="D427" t="inlineStr">
        <is>
          <t>cus_c5dc9d1310ce</t>
        </is>
      </c>
      <c r="E427" t="inlineStr">
        <is>
          <t>inv_7186bfb05ca0</t>
        </is>
      </c>
      <c r="F427" t="n">
        <v>60742</v>
      </c>
      <c r="G427" t="inlineStr"/>
      <c r="H427" t="inlineStr">
        <is>
          <t>來源：單次型發票及收款紀錄 第 169 列</t>
        </is>
      </c>
      <c r="I427" t="inlineStr">
        <is>
          <t>2026-05-18</t>
        </is>
      </c>
    </row>
    <row r="428">
      <c r="A428" t="inlineStr">
        <is>
          <t>pay_85b57ceca252</t>
        </is>
      </c>
      <c r="B428" t="inlineStr">
        <is>
          <t>黃思睿</t>
        </is>
      </c>
      <c r="C428" t="inlineStr">
        <is>
          <t>2024-03-01</t>
        </is>
      </c>
      <c r="D428" t="inlineStr">
        <is>
          <t>cus_c5dc9d1310ce</t>
        </is>
      </c>
      <c r="E428" t="inlineStr">
        <is>
          <t>inv_120de26f43eb</t>
        </is>
      </c>
      <c r="F428" t="n">
        <v>15750</v>
      </c>
      <c r="G428" t="inlineStr"/>
      <c r="H428" t="inlineStr">
        <is>
          <t>來源：單次型發票及收款紀錄 第 170 列</t>
        </is>
      </c>
      <c r="I428" t="inlineStr">
        <is>
          <t>2026-05-18</t>
        </is>
      </c>
    </row>
    <row r="429">
      <c r="A429" t="inlineStr">
        <is>
          <t>pay_7cbcff173ecb</t>
        </is>
      </c>
      <c r="B429" t="inlineStr">
        <is>
          <t>黃思睿</t>
        </is>
      </c>
      <c r="C429" t="inlineStr">
        <is>
          <t>2024-04-30</t>
        </is>
      </c>
      <c r="D429" t="inlineStr">
        <is>
          <t>cus_c5dc9d1310ce</t>
        </is>
      </c>
      <c r="E429" t="inlineStr">
        <is>
          <t>inv_00bc5900eded</t>
        </is>
      </c>
      <c r="F429" t="n">
        <v>55908</v>
      </c>
      <c r="G429" t="inlineStr"/>
      <c r="H429" t="inlineStr">
        <is>
          <t>來源：單次型發票及收款紀錄 第 171 列</t>
        </is>
      </c>
      <c r="I429" t="inlineStr">
        <is>
          <t>2026-05-18</t>
        </is>
      </c>
    </row>
    <row r="430">
      <c r="A430" t="inlineStr">
        <is>
          <t>pay_ec8f8b94a2e6</t>
        </is>
      </c>
      <c r="B430" t="inlineStr">
        <is>
          <t>黃思睿</t>
        </is>
      </c>
      <c r="C430" t="inlineStr">
        <is>
          <t>2024-04-30</t>
        </is>
      </c>
      <c r="D430" t="inlineStr">
        <is>
          <t>cus_c5dc9d1310ce</t>
        </is>
      </c>
      <c r="E430" t="inlineStr">
        <is>
          <t>inv_325d2cf24a85</t>
        </is>
      </c>
      <c r="F430" t="n">
        <v>42000</v>
      </c>
      <c r="G430" t="inlineStr"/>
      <c r="H430" t="inlineStr">
        <is>
          <t>來源：單次型發票及收款紀錄 第 172 列</t>
        </is>
      </c>
      <c r="I430" t="inlineStr">
        <is>
          <t>2026-05-18</t>
        </is>
      </c>
    </row>
    <row r="431">
      <c r="A431" t="inlineStr">
        <is>
          <t>pay_abccaceaa55e</t>
        </is>
      </c>
      <c r="B431" t="inlineStr">
        <is>
          <t>黃思睿</t>
        </is>
      </c>
      <c r="C431" t="inlineStr">
        <is>
          <t>2024-05-15</t>
        </is>
      </c>
      <c r="D431" t="inlineStr">
        <is>
          <t>cus_c5dc9d1310ce</t>
        </is>
      </c>
      <c r="E431" t="inlineStr">
        <is>
          <t>inv_3af719bb813a</t>
        </is>
      </c>
      <c r="F431" t="n">
        <v>54926</v>
      </c>
      <c r="G431" t="inlineStr"/>
      <c r="H431" t="inlineStr">
        <is>
          <t>來源：單次型發票及收款紀錄 第 173 列</t>
        </is>
      </c>
      <c r="I431" t="inlineStr">
        <is>
          <t>2026-05-18</t>
        </is>
      </c>
    </row>
    <row r="432">
      <c r="A432" t="inlineStr">
        <is>
          <t>pay_4156f49ae21b</t>
        </is>
      </c>
      <c r="B432" t="inlineStr">
        <is>
          <t>黃思睿</t>
        </is>
      </c>
      <c r="C432" t="inlineStr">
        <is>
          <t>2024-09-16</t>
        </is>
      </c>
      <c r="D432" t="inlineStr">
        <is>
          <t>cus_c5dc9d1310ce</t>
        </is>
      </c>
      <c r="E432" t="inlineStr">
        <is>
          <t>inv_07139d7027f8</t>
        </is>
      </c>
      <c r="F432" t="n">
        <v>45884</v>
      </c>
      <c r="G432" t="inlineStr"/>
      <c r="H432" t="inlineStr">
        <is>
          <t>來源：單次型發票及收款紀錄 第 174 列</t>
        </is>
      </c>
      <c r="I432" t="inlineStr">
        <is>
          <t>2026-05-18</t>
        </is>
      </c>
    </row>
    <row r="433">
      <c r="A433" t="inlineStr">
        <is>
          <t>pay_6a117869d5b5</t>
        </is>
      </c>
      <c r="B433" t="inlineStr">
        <is>
          <t>黃思睿</t>
        </is>
      </c>
      <c r="C433" t="inlineStr">
        <is>
          <t>2024-09-16</t>
        </is>
      </c>
      <c r="D433" t="inlineStr">
        <is>
          <t>cus_c5dc9d1310ce</t>
        </is>
      </c>
      <c r="E433" t="inlineStr">
        <is>
          <t>inv_f6b5858d02fa</t>
        </is>
      </c>
      <c r="F433" t="n">
        <v>87018</v>
      </c>
      <c r="G433" t="inlineStr"/>
      <c r="H433" t="inlineStr">
        <is>
          <t>來源：單次型發票及收款紀錄 第 175 列</t>
        </is>
      </c>
      <c r="I433" t="inlineStr">
        <is>
          <t>2026-05-18</t>
        </is>
      </c>
    </row>
    <row r="434">
      <c r="A434" t="inlineStr">
        <is>
          <t>pay_8aa9d3583d98</t>
        </is>
      </c>
      <c r="B434" t="inlineStr">
        <is>
          <t>黃思睿</t>
        </is>
      </c>
      <c r="C434" t="inlineStr">
        <is>
          <t>2024-09-16</t>
        </is>
      </c>
      <c r="D434" t="inlineStr">
        <is>
          <t>cus_c5dc9d1310ce</t>
        </is>
      </c>
      <c r="E434" t="inlineStr">
        <is>
          <t>inv_1b5382c71c97</t>
        </is>
      </c>
      <c r="F434" t="n">
        <v>105000</v>
      </c>
      <c r="G434" t="inlineStr"/>
      <c r="H434" t="inlineStr">
        <is>
          <t>來源：單次型發票及收款紀錄 第 176 列</t>
        </is>
      </c>
      <c r="I434" t="inlineStr">
        <is>
          <t>2026-05-18</t>
        </is>
      </c>
    </row>
    <row r="435">
      <c r="A435" t="inlineStr">
        <is>
          <t>pay_6b4bb3d20f4d</t>
        </is>
      </c>
      <c r="B435" t="inlineStr">
        <is>
          <t>Cobi</t>
        </is>
      </c>
      <c r="C435" t="inlineStr">
        <is>
          <t>2024-11-05</t>
        </is>
      </c>
      <c r="D435" t="inlineStr">
        <is>
          <t>cus_c5dc9d1310ce</t>
        </is>
      </c>
      <c r="E435" t="inlineStr">
        <is>
          <t>inv_6f250be5c4f0</t>
        </is>
      </c>
      <c r="F435" t="n">
        <v>147000</v>
      </c>
      <c r="G435" t="inlineStr"/>
      <c r="H435" t="inlineStr">
        <is>
          <t>來源：單次型發票及收款紀錄 第 177 列</t>
        </is>
      </c>
      <c r="I435" t="inlineStr">
        <is>
          <t>2026-05-18</t>
        </is>
      </c>
    </row>
    <row r="436">
      <c r="A436" t="inlineStr">
        <is>
          <t>pay_27b220c9bc12</t>
        </is>
      </c>
      <c r="B436" t="inlineStr">
        <is>
          <t>Cobi</t>
        </is>
      </c>
      <c r="C436" t="inlineStr">
        <is>
          <t>2024-11-15</t>
        </is>
      </c>
      <c r="D436" t="inlineStr">
        <is>
          <t>cus_c5dc9d1310ce</t>
        </is>
      </c>
      <c r="E436" t="inlineStr">
        <is>
          <t>inv_f850be06d06e</t>
        </is>
      </c>
      <c r="F436" t="n">
        <v>63000</v>
      </c>
      <c r="G436" t="inlineStr"/>
      <c r="H436" t="inlineStr">
        <is>
          <t>來源：單次型發票及收款紀錄 第 178 列</t>
        </is>
      </c>
      <c r="I436" t="inlineStr">
        <is>
          <t>2026-05-18</t>
        </is>
      </c>
    </row>
    <row r="437">
      <c r="A437" t="inlineStr">
        <is>
          <t>pay_f1114bad1bcd</t>
        </is>
      </c>
      <c r="B437" t="inlineStr">
        <is>
          <t>Cobi</t>
        </is>
      </c>
      <c r="C437" t="inlineStr">
        <is>
          <t>2024-12-05</t>
        </is>
      </c>
      <c r="D437" t="inlineStr">
        <is>
          <t>cus_c5dc9d1310ce</t>
        </is>
      </c>
      <c r="E437" t="inlineStr">
        <is>
          <t>inv_192f681511ff</t>
        </is>
      </c>
      <c r="F437" t="n">
        <v>17640</v>
      </c>
      <c r="G437" t="inlineStr"/>
      <c r="H437" t="inlineStr">
        <is>
          <t>來源：單次型發票及收款紀錄 第 179 列</t>
        </is>
      </c>
      <c r="I437" t="inlineStr">
        <is>
          <t>2026-05-18</t>
        </is>
      </c>
    </row>
    <row r="438">
      <c r="A438" t="inlineStr">
        <is>
          <t>pay_926b19fd24ae</t>
        </is>
      </c>
      <c r="B438" t="inlineStr">
        <is>
          <t>Cobi</t>
        </is>
      </c>
      <c r="C438" t="inlineStr">
        <is>
          <t>2025-01-02</t>
        </is>
      </c>
      <c r="D438" t="inlineStr">
        <is>
          <t>cus_c5dc9d1310ce</t>
        </is>
      </c>
      <c r="E438" t="inlineStr">
        <is>
          <t>inv_ad2e8eb01d85</t>
        </is>
      </c>
      <c r="F438" t="n">
        <v>144900</v>
      </c>
      <c r="G438" t="inlineStr"/>
      <c r="H438" t="inlineStr">
        <is>
          <t>來源：單次型發票及收款紀錄 第 180 列</t>
        </is>
      </c>
      <c r="I438" t="inlineStr">
        <is>
          <t>2026-05-18</t>
        </is>
      </c>
    </row>
    <row r="439">
      <c r="A439" t="inlineStr">
        <is>
          <t>pay_5471c010f6f0</t>
        </is>
      </c>
      <c r="B439" t="inlineStr">
        <is>
          <t>Cobi</t>
        </is>
      </c>
      <c r="C439" t="inlineStr">
        <is>
          <t>2025-01-23</t>
        </is>
      </c>
      <c r="D439" t="inlineStr">
        <is>
          <t>cus_c5dc9d1310ce</t>
        </is>
      </c>
      <c r="E439" t="inlineStr">
        <is>
          <t>inv_19f21e8049df</t>
        </is>
      </c>
      <c r="F439" t="n">
        <v>84000</v>
      </c>
      <c r="G439" t="inlineStr"/>
      <c r="H439" t="inlineStr">
        <is>
          <t>來源：單次型發票及收款紀錄 第 181 列</t>
        </is>
      </c>
      <c r="I439" t="inlineStr">
        <is>
          <t>2026-05-18</t>
        </is>
      </c>
    </row>
    <row r="440">
      <c r="A440" t="inlineStr">
        <is>
          <t>pay_3bc282e0a37a</t>
        </is>
      </c>
      <c r="B440" t="inlineStr">
        <is>
          <t>Cobi</t>
        </is>
      </c>
      <c r="C440" t="inlineStr">
        <is>
          <t>2025-03-03</t>
        </is>
      </c>
      <c r="D440" t="inlineStr">
        <is>
          <t>cus_c5dc9d1310ce</t>
        </is>
      </c>
      <c r="E440" t="inlineStr">
        <is>
          <t>inv_d74c0fad3a57</t>
        </is>
      </c>
      <c r="F440" t="n">
        <v>73500</v>
      </c>
      <c r="G440" t="inlineStr"/>
      <c r="H440" t="inlineStr">
        <is>
          <t>來源：單次型發票及收款紀錄 第 182 列</t>
        </is>
      </c>
      <c r="I440" t="inlineStr">
        <is>
          <t>2026-05-18</t>
        </is>
      </c>
    </row>
    <row r="441">
      <c r="A441" t="inlineStr">
        <is>
          <t>pay_70b8e967c591</t>
        </is>
      </c>
      <c r="B441" t="inlineStr">
        <is>
          <t>Cobi</t>
        </is>
      </c>
      <c r="C441" t="inlineStr">
        <is>
          <t>2025-04-01</t>
        </is>
      </c>
      <c r="D441" t="inlineStr">
        <is>
          <t>cus_c5dc9d1310ce</t>
        </is>
      </c>
      <c r="E441" t="inlineStr">
        <is>
          <t>inv_447743e29b1c</t>
        </is>
      </c>
      <c r="F441" t="n">
        <v>42000</v>
      </c>
      <c r="G441" t="inlineStr"/>
      <c r="H441" t="inlineStr">
        <is>
          <t>來源：單次型發票及收款紀錄 第 183 列</t>
        </is>
      </c>
      <c r="I441" t="inlineStr">
        <is>
          <t>2026-05-18</t>
        </is>
      </c>
    </row>
    <row r="442">
      <c r="A442" t="inlineStr">
        <is>
          <t>pay_7a621dfdf916</t>
        </is>
      </c>
      <c r="B442" t="inlineStr">
        <is>
          <t>Cobi</t>
        </is>
      </c>
      <c r="C442" t="inlineStr">
        <is>
          <t>2025-05-15</t>
        </is>
      </c>
      <c r="D442" t="inlineStr">
        <is>
          <t>cus_c5dc9d1310ce</t>
        </is>
      </c>
      <c r="E442" t="inlineStr">
        <is>
          <t>inv_02e3887fad09</t>
        </is>
      </c>
      <c r="F442" t="n">
        <v>94500</v>
      </c>
      <c r="G442" t="inlineStr"/>
      <c r="H442" t="inlineStr">
        <is>
          <t>來源：單次型發票及收款紀錄 第 184 列</t>
        </is>
      </c>
      <c r="I442" t="inlineStr">
        <is>
          <t>2026-05-18</t>
        </is>
      </c>
    </row>
    <row r="443">
      <c r="A443" t="inlineStr">
        <is>
          <t>pay_8d98f20a41fe</t>
        </is>
      </c>
      <c r="B443" t="inlineStr">
        <is>
          <t>Cobi</t>
        </is>
      </c>
      <c r="C443" t="inlineStr">
        <is>
          <t>2025-06-16</t>
        </is>
      </c>
      <c r="D443" t="inlineStr">
        <is>
          <t>cus_c5dc9d1310ce</t>
        </is>
      </c>
      <c r="E443" t="inlineStr">
        <is>
          <t>inv_4e690627baaa</t>
        </is>
      </c>
      <c r="F443" t="n">
        <v>115500</v>
      </c>
      <c r="G443" t="inlineStr"/>
      <c r="H443" t="inlineStr">
        <is>
          <t>來源：單次型發票及收款紀錄 第 185 列</t>
        </is>
      </c>
      <c r="I443" t="inlineStr">
        <is>
          <t>2026-05-18</t>
        </is>
      </c>
    </row>
    <row r="444">
      <c r="A444" t="inlineStr">
        <is>
          <t>pay_e7cdba81421d</t>
        </is>
      </c>
      <c r="B444" t="inlineStr">
        <is>
          <t>Cobi</t>
        </is>
      </c>
      <c r="C444" t="inlineStr">
        <is>
          <t>2025-07-04</t>
        </is>
      </c>
      <c r="D444" t="inlineStr">
        <is>
          <t>cus_c5dc9d1310ce</t>
        </is>
      </c>
      <c r="E444" t="inlineStr">
        <is>
          <t>inv_7ea6d1174c1d</t>
        </is>
      </c>
      <c r="F444" t="n">
        <v>73500</v>
      </c>
      <c r="G444" t="inlineStr"/>
      <c r="H444" t="inlineStr">
        <is>
          <t>來源：單次型發票及收款紀錄 第 186 列</t>
        </is>
      </c>
      <c r="I444" t="inlineStr">
        <is>
          <t>2026-05-18</t>
        </is>
      </c>
    </row>
    <row r="445">
      <c r="A445" t="inlineStr">
        <is>
          <t>pay_f4151363bb97</t>
        </is>
      </c>
      <c r="B445" t="inlineStr">
        <is>
          <t>Cobi</t>
        </is>
      </c>
      <c r="C445" t="inlineStr">
        <is>
          <t>2025-08-05</t>
        </is>
      </c>
      <c r="D445" t="inlineStr">
        <is>
          <t>cus_c5dc9d1310ce</t>
        </is>
      </c>
      <c r="E445" t="inlineStr">
        <is>
          <t>inv_8b2a43eee167</t>
        </is>
      </c>
      <c r="F445" t="n">
        <v>42000</v>
      </c>
      <c r="G445" t="inlineStr"/>
      <c r="H445" t="inlineStr">
        <is>
          <t>來源：單次型發票及收款紀錄 第 187 列</t>
        </is>
      </c>
      <c r="I445" t="inlineStr">
        <is>
          <t>2026-05-18</t>
        </is>
      </c>
    </row>
    <row r="446">
      <c r="A446" t="inlineStr">
        <is>
          <t>pay_02718f0e4e62</t>
        </is>
      </c>
      <c r="B446" t="inlineStr">
        <is>
          <t>Cobi</t>
        </is>
      </c>
      <c r="C446" t="inlineStr">
        <is>
          <t>2025-09-05</t>
        </is>
      </c>
      <c r="D446" t="inlineStr">
        <is>
          <t>cus_c5dc9d1310ce</t>
        </is>
      </c>
      <c r="E446" t="inlineStr">
        <is>
          <t>inv_38f0519d4453</t>
        </is>
      </c>
      <c r="F446" t="n">
        <v>73500</v>
      </c>
      <c r="G446" t="inlineStr"/>
      <c r="H446" t="inlineStr">
        <is>
          <t>來源：單次型發票及收款紀錄 第 188 列</t>
        </is>
      </c>
      <c r="I446" t="inlineStr">
        <is>
          <t>2026-05-18</t>
        </is>
      </c>
    </row>
    <row r="447">
      <c r="A447" t="inlineStr">
        <is>
          <t>pay_9e5e93c972bd</t>
        </is>
      </c>
      <c r="B447" t="inlineStr">
        <is>
          <t>Peggy</t>
        </is>
      </c>
      <c r="C447" t="inlineStr">
        <is>
          <t>2025-10-16</t>
        </is>
      </c>
      <c r="D447" t="inlineStr">
        <is>
          <t>cus_c5dc9d1310ce</t>
        </is>
      </c>
      <c r="E447" t="inlineStr">
        <is>
          <t>inv_9e8fe5250ccc</t>
        </is>
      </c>
      <c r="F447" t="n">
        <v>89250</v>
      </c>
      <c r="G447" t="inlineStr"/>
      <c r="H447" t="inlineStr">
        <is>
          <t>來源：單次型發票及收款紀錄 第 189 列</t>
        </is>
      </c>
      <c r="I447" t="inlineStr">
        <is>
          <t>2026-05-18</t>
        </is>
      </c>
    </row>
    <row r="448">
      <c r="A448" t="inlineStr">
        <is>
          <t>pay_d559eff0b2ee</t>
        </is>
      </c>
      <c r="B448" t="inlineStr">
        <is>
          <t>Peggy</t>
        </is>
      </c>
      <c r="C448" t="inlineStr">
        <is>
          <t>2025-11-18</t>
        </is>
      </c>
      <c r="D448" t="inlineStr">
        <is>
          <t>cus_c5dc9d1310ce</t>
        </is>
      </c>
      <c r="E448" t="inlineStr">
        <is>
          <t>inv_82dc2301fa8b</t>
        </is>
      </c>
      <c r="F448" t="n">
        <v>115500</v>
      </c>
      <c r="G448" t="inlineStr"/>
      <c r="H448" t="inlineStr">
        <is>
          <t>來源：單次型發票及收款紀錄 第 190 列</t>
        </is>
      </c>
      <c r="I448" t="inlineStr">
        <is>
          <t>2026-05-18</t>
        </is>
      </c>
    </row>
    <row r="449">
      <c r="A449" t="inlineStr">
        <is>
          <t>pay_d5548fcea8d0</t>
        </is>
      </c>
      <c r="B449" t="inlineStr">
        <is>
          <t>Peggy</t>
        </is>
      </c>
      <c r="C449" t="inlineStr">
        <is>
          <t>2025-12-08</t>
        </is>
      </c>
      <c r="D449" t="inlineStr">
        <is>
          <t>cus_c5dc9d1310ce</t>
        </is>
      </c>
      <c r="E449" t="inlineStr">
        <is>
          <t>inv_ff9d3cd673cc</t>
        </is>
      </c>
      <c r="F449" t="n">
        <v>157500</v>
      </c>
      <c r="G449" t="inlineStr"/>
      <c r="H449" t="inlineStr">
        <is>
          <t>來源：單次型發票及收款紀錄 第 191 列</t>
        </is>
      </c>
      <c r="I449" t="inlineStr">
        <is>
          <t>2026-05-18</t>
        </is>
      </c>
    </row>
    <row r="450">
      <c r="A450" t="inlineStr">
        <is>
          <t>pay_ac4c4686f5a1</t>
        </is>
      </c>
      <c r="B450" t="inlineStr">
        <is>
          <t>Cobi</t>
        </is>
      </c>
      <c r="C450" t="inlineStr">
        <is>
          <t>2025-05-28</t>
        </is>
      </c>
      <c r="D450" t="inlineStr">
        <is>
          <t>cus_d9f864173564</t>
        </is>
      </c>
      <c r="E450" t="inlineStr">
        <is>
          <t>inv_c93b99ea3b0d</t>
        </is>
      </c>
      <c r="F450" t="n">
        <v>21000</v>
      </c>
      <c r="G450" t="inlineStr"/>
      <c r="H450" t="inlineStr">
        <is>
          <t>來源：單次型發票及收款紀錄 第 192 列</t>
        </is>
      </c>
      <c r="I450" t="inlineStr">
        <is>
          <t>2026-05-18</t>
        </is>
      </c>
    </row>
    <row r="451">
      <c r="A451" t="inlineStr">
        <is>
          <t>pay_6ad6a26f6ecd</t>
        </is>
      </c>
      <c r="B451" t="inlineStr">
        <is>
          <t>Kate</t>
        </is>
      </c>
      <c r="C451" t="inlineStr">
        <is>
          <t>2025.9.5
2025.11.4</t>
        </is>
      </c>
      <c r="D451" t="inlineStr">
        <is>
          <t>cus_d9f864173564</t>
        </is>
      </c>
      <c r="E451" t="inlineStr">
        <is>
          <t>inv_2c9cf59c93f9</t>
        </is>
      </c>
      <c r="F451" t="n">
        <v>105000</v>
      </c>
      <c r="G451" t="inlineStr"/>
      <c r="H451" t="inlineStr">
        <is>
          <t>來源：單次型發票及收款紀錄 第 193 列</t>
        </is>
      </c>
      <c r="I451" t="inlineStr">
        <is>
          <t>2026-05-18</t>
        </is>
      </c>
    </row>
    <row r="452">
      <c r="A452" t="inlineStr">
        <is>
          <t>pay_955f5f0d686a</t>
        </is>
      </c>
      <c r="B452" t="inlineStr">
        <is>
          <t>Peggy</t>
        </is>
      </c>
      <c r="C452" t="inlineStr">
        <is>
          <t>2025-08-12</t>
        </is>
      </c>
      <c r="D452" t="inlineStr">
        <is>
          <t>cus_bbd460c2d377</t>
        </is>
      </c>
      <c r="E452" t="inlineStr">
        <is>
          <t>inv_c521b709453b</t>
        </is>
      </c>
      <c r="F452" t="n">
        <v>18900</v>
      </c>
      <c r="G452" t="inlineStr"/>
      <c r="H452" t="inlineStr">
        <is>
          <t>來源：單次型發票及收款紀錄 第 194 列</t>
        </is>
      </c>
      <c r="I452" t="inlineStr">
        <is>
          <t>2026-05-18</t>
        </is>
      </c>
    </row>
    <row r="453">
      <c r="A453" t="inlineStr">
        <is>
          <t>pay_db07bdfaf2ef</t>
        </is>
      </c>
      <c r="B453" t="inlineStr">
        <is>
          <t>Erin</t>
        </is>
      </c>
      <c r="C453" t="inlineStr">
        <is>
          <t>2026-02-02</t>
        </is>
      </c>
      <c r="D453" t="inlineStr">
        <is>
          <t>cus_de6277deda5a</t>
        </is>
      </c>
      <c r="E453" t="inlineStr">
        <is>
          <t>inv_b0c74f1d92b1</t>
        </is>
      </c>
      <c r="F453" t="n">
        <v>31500</v>
      </c>
      <c r="G453" t="inlineStr"/>
      <c r="H453" t="inlineStr">
        <is>
          <t>來源：單次型發票及收款紀錄 第 195 列</t>
        </is>
      </c>
      <c r="I453" t="inlineStr">
        <is>
          <t>2026-05-18</t>
        </is>
      </c>
    </row>
    <row r="454">
      <c r="A454" t="inlineStr">
        <is>
          <t>pay_738e91de5fd1</t>
        </is>
      </c>
      <c r="B454" t="inlineStr">
        <is>
          <t>Erin</t>
        </is>
      </c>
      <c r="C454" t="inlineStr">
        <is>
          <t>2025-06-17</t>
        </is>
      </c>
      <c r="D454" t="inlineStr">
        <is>
          <t>cus_b8797e0b5e3b</t>
        </is>
      </c>
      <c r="E454" t="inlineStr">
        <is>
          <t>inv_10f2b2debbc3</t>
        </is>
      </c>
      <c r="F454" t="n">
        <v>34207</v>
      </c>
      <c r="G454" t="inlineStr"/>
      <c r="H454" t="inlineStr">
        <is>
          <t>來源：單次型發票及收款紀錄 第 196 列</t>
        </is>
      </c>
      <c r="I454" t="inlineStr">
        <is>
          <t>2026-05-18</t>
        </is>
      </c>
    </row>
    <row r="455">
      <c r="A455" t="inlineStr">
        <is>
          <t>pay_6834e65ebc5f</t>
        </is>
      </c>
      <c r="B455" t="inlineStr">
        <is>
          <t>Erin</t>
        </is>
      </c>
      <c r="C455" t="inlineStr">
        <is>
          <t>2025-07-14</t>
        </is>
      </c>
      <c r="D455" t="inlineStr">
        <is>
          <t>cus_b8797e0b5e3b</t>
        </is>
      </c>
      <c r="E455" t="inlineStr">
        <is>
          <t>inv_e4de2f13b0e3</t>
        </is>
      </c>
      <c r="F455" t="n">
        <v>10500</v>
      </c>
      <c r="G455" t="inlineStr"/>
      <c r="H455" t="inlineStr">
        <is>
          <t>來源：單次型發票及收款紀錄 第 197 列</t>
        </is>
      </c>
      <c r="I455" t="inlineStr">
        <is>
          <t>2026-05-18</t>
        </is>
      </c>
    </row>
    <row r="456">
      <c r="A456" t="inlineStr">
        <is>
          <t>pay_35c82fd9206e</t>
        </is>
      </c>
      <c r="B456" t="inlineStr">
        <is>
          <t>Cobi</t>
        </is>
      </c>
      <c r="C456" t="inlineStr">
        <is>
          <t>2024-11-29</t>
        </is>
      </c>
      <c r="D456" t="inlineStr">
        <is>
          <t>cus_728435a6d937</t>
        </is>
      </c>
      <c r="E456" t="inlineStr">
        <is>
          <t>inv_5bac0eb386a8</t>
        </is>
      </c>
      <c r="F456" t="n">
        <v>5250</v>
      </c>
      <c r="G456" t="inlineStr"/>
      <c r="H456" t="inlineStr">
        <is>
          <t>來源：單次型發票及收款紀錄 第 198 列</t>
        </is>
      </c>
      <c r="I456" t="inlineStr">
        <is>
          <t>2026-05-18</t>
        </is>
      </c>
    </row>
    <row r="457">
      <c r="A457" t="inlineStr">
        <is>
          <t>pay_d789be3bd7f5</t>
        </is>
      </c>
      <c r="B457" t="inlineStr">
        <is>
          <t>Cobi</t>
        </is>
      </c>
      <c r="C457" t="inlineStr">
        <is>
          <t>2024-12-31</t>
        </is>
      </c>
      <c r="D457" t="inlineStr">
        <is>
          <t>cus_728435a6d937</t>
        </is>
      </c>
      <c r="E457" t="inlineStr">
        <is>
          <t>inv_22b8700f6735</t>
        </is>
      </c>
      <c r="F457" t="n">
        <v>2100</v>
      </c>
      <c r="G457" t="inlineStr"/>
      <c r="H457" t="inlineStr">
        <is>
          <t>來源：單次型發票及收款紀錄 第 199 列</t>
        </is>
      </c>
      <c r="I457" t="inlineStr">
        <is>
          <t>2026-05-18</t>
        </is>
      </c>
    </row>
    <row r="458">
      <c r="A458" t="inlineStr">
        <is>
          <t>pay_f4ce104d8b4f</t>
        </is>
      </c>
      <c r="B458" t="inlineStr">
        <is>
          <t>Cobi</t>
        </is>
      </c>
      <c r="C458" t="inlineStr">
        <is>
          <t>2025-03-31</t>
        </is>
      </c>
      <c r="D458" t="inlineStr">
        <is>
          <t>cus_728435a6d937</t>
        </is>
      </c>
      <c r="E458" t="inlineStr">
        <is>
          <t>inv_bd8c3c3830fb</t>
        </is>
      </c>
      <c r="F458" t="n">
        <v>5250</v>
      </c>
      <c r="G458" t="inlineStr"/>
      <c r="H458" t="inlineStr">
        <is>
          <t>來源：單次型發票及收款紀錄 第 200 列</t>
        </is>
      </c>
      <c r="I458" t="inlineStr">
        <is>
          <t>2026-05-18</t>
        </is>
      </c>
    </row>
    <row r="459">
      <c r="A459" t="inlineStr">
        <is>
          <t>pay_43b69dd0249d</t>
        </is>
      </c>
      <c r="B459" t="inlineStr">
        <is>
          <t>Cobi</t>
        </is>
      </c>
      <c r="C459" t="inlineStr">
        <is>
          <t>2025-04-30</t>
        </is>
      </c>
      <c r="D459" t="inlineStr">
        <is>
          <t>cus_728435a6d937</t>
        </is>
      </c>
      <c r="E459" t="inlineStr">
        <is>
          <t>inv_3659c562be01</t>
        </is>
      </c>
      <c r="F459" t="n">
        <v>2100</v>
      </c>
      <c r="G459" t="inlineStr"/>
      <c r="H459" t="inlineStr">
        <is>
          <t>來源：單次型發票及收款紀錄 第 201 列</t>
        </is>
      </c>
      <c r="I459" t="inlineStr">
        <is>
          <t>2026-05-18</t>
        </is>
      </c>
    </row>
    <row r="460">
      <c r="A460" t="inlineStr">
        <is>
          <t>pay_e668028a3f42</t>
        </is>
      </c>
      <c r="B460" t="inlineStr">
        <is>
          <t>Cobi</t>
        </is>
      </c>
      <c r="C460" t="inlineStr">
        <is>
          <t>2025-08-29</t>
        </is>
      </c>
      <c r="D460" t="inlineStr">
        <is>
          <t>cus_728435a6d937</t>
        </is>
      </c>
      <c r="E460" t="inlineStr">
        <is>
          <t>inv_b82368b1d095</t>
        </is>
      </c>
      <c r="F460" t="n">
        <v>1050</v>
      </c>
      <c r="G460" t="inlineStr"/>
      <c r="H460" t="inlineStr">
        <is>
          <t>來源：單次型發票及收款紀錄 第 202 列</t>
        </is>
      </c>
      <c r="I460" t="inlineStr">
        <is>
          <t>2026-05-18</t>
        </is>
      </c>
    </row>
    <row r="461">
      <c r="A461" t="inlineStr">
        <is>
          <t>pay_d8bdcd15cc6f</t>
        </is>
      </c>
      <c r="B461" t="inlineStr">
        <is>
          <t>Cobi</t>
        </is>
      </c>
      <c r="C461" t="inlineStr">
        <is>
          <t>2024-10-30</t>
        </is>
      </c>
      <c r="D461" t="inlineStr">
        <is>
          <t>cus_253c0ef1fab2</t>
        </is>
      </c>
      <c r="E461" t="inlineStr">
        <is>
          <t>inv_cc67360c6aff</t>
        </is>
      </c>
      <c r="F461" t="n">
        <v>5250</v>
      </c>
      <c r="G461" t="inlineStr"/>
      <c r="H461" t="inlineStr">
        <is>
          <t>來源：單次型發票及收款紀錄 第 203 列</t>
        </is>
      </c>
      <c r="I461" t="inlineStr">
        <is>
          <t>2026-05-18</t>
        </is>
      </c>
    </row>
    <row r="462">
      <c r="A462" t="inlineStr">
        <is>
          <t>pay_d230d2e03a9d</t>
        </is>
      </c>
      <c r="B462" t="inlineStr">
        <is>
          <t>Cobi</t>
        </is>
      </c>
      <c r="C462" t="inlineStr">
        <is>
          <t>2025-10-15</t>
        </is>
      </c>
      <c r="D462" t="inlineStr">
        <is>
          <t>cus_253c0ef1fab2</t>
        </is>
      </c>
      <c r="E462" t="inlineStr">
        <is>
          <t>inv_b621b7d449c3</t>
        </is>
      </c>
      <c r="F462" t="n">
        <v>5250</v>
      </c>
      <c r="G462" t="inlineStr"/>
      <c r="H462" t="inlineStr">
        <is>
          <t>來源：單次型發票及收款紀錄 第 204 列</t>
        </is>
      </c>
      <c r="I462" t="inlineStr">
        <is>
          <t>2026-05-18</t>
        </is>
      </c>
    </row>
    <row r="463">
      <c r="A463" t="inlineStr">
        <is>
          <t>pay_df7f2d42a0aa</t>
        </is>
      </c>
      <c r="B463" t="inlineStr">
        <is>
          <t>Cobi</t>
        </is>
      </c>
      <c r="C463" t="inlineStr">
        <is>
          <t>2025-10-15</t>
        </is>
      </c>
      <c r="D463" t="inlineStr">
        <is>
          <t>cus_253c0ef1fab2</t>
        </is>
      </c>
      <c r="E463" t="inlineStr">
        <is>
          <t>inv_e0424a6b415b</t>
        </is>
      </c>
      <c r="F463" t="n">
        <v>8400</v>
      </c>
      <c r="G463" t="inlineStr"/>
      <c r="H463" t="inlineStr">
        <is>
          <t>來源：單次型發票及收款紀錄 第 205 列</t>
        </is>
      </c>
      <c r="I463" t="inlineStr">
        <is>
          <t>2026-05-18</t>
        </is>
      </c>
    </row>
    <row r="464">
      <c r="A464" t="inlineStr">
        <is>
          <t>pay_f3978c3932ce</t>
        </is>
      </c>
      <c r="B464" t="inlineStr">
        <is>
          <t>Cobi</t>
        </is>
      </c>
      <c r="C464" t="inlineStr">
        <is>
          <t>2025-11-14</t>
        </is>
      </c>
      <c r="D464" t="inlineStr">
        <is>
          <t>cus_253c0ef1fab2</t>
        </is>
      </c>
      <c r="E464" t="inlineStr">
        <is>
          <t>inv_5809d1cb7a4f</t>
        </is>
      </c>
      <c r="F464" t="n">
        <v>5250</v>
      </c>
      <c r="G464" t="inlineStr"/>
      <c r="H464" t="inlineStr">
        <is>
          <t>來源：單次型發票及收款紀錄 第 206 列</t>
        </is>
      </c>
      <c r="I464" t="inlineStr">
        <is>
          <t>2026-05-18</t>
        </is>
      </c>
    </row>
    <row r="465">
      <c r="A465" t="inlineStr">
        <is>
          <t>pay_a85f49faf31c</t>
        </is>
      </c>
      <c r="B465" t="inlineStr">
        <is>
          <t>Kate</t>
        </is>
      </c>
      <c r="C465" t="inlineStr">
        <is>
          <t>2025-11-25</t>
        </is>
      </c>
      <c r="D465" t="inlineStr">
        <is>
          <t>cus_9117758d2ff8</t>
        </is>
      </c>
      <c r="E465" t="inlineStr">
        <is>
          <t>inv_90e90b4d8d7f</t>
        </is>
      </c>
      <c r="F465" t="n">
        <v>10500</v>
      </c>
      <c r="G465" t="inlineStr"/>
      <c r="H465" t="inlineStr">
        <is>
          <t>來源：單次型發票及收款紀錄 第 207 列</t>
        </is>
      </c>
      <c r="I465" t="inlineStr">
        <is>
          <t>2026-05-18</t>
        </is>
      </c>
    </row>
    <row r="466">
      <c r="A466" t="inlineStr">
        <is>
          <t>pay_2d82a4f94f3e</t>
        </is>
      </c>
      <c r="B466" t="inlineStr">
        <is>
          <t>Kate</t>
        </is>
      </c>
      <c r="C466" t="inlineStr">
        <is>
          <t>2025-12-26</t>
        </is>
      </c>
      <c r="D466" t="inlineStr">
        <is>
          <t>cus_9117758d2ff8</t>
        </is>
      </c>
      <c r="E466" t="inlineStr">
        <is>
          <t>inv_f5bb87338fdf</t>
        </is>
      </c>
      <c r="F466" t="n">
        <v>47250</v>
      </c>
      <c r="G466" t="inlineStr"/>
      <c r="H466" t="inlineStr">
        <is>
          <t>來源：單次型發票及收款紀錄 第 208 列</t>
        </is>
      </c>
      <c r="I466" t="inlineStr">
        <is>
          <t>2026-05-18</t>
        </is>
      </c>
    </row>
    <row r="467">
      <c r="A467" t="inlineStr">
        <is>
          <t>pay_449dd3aec421</t>
        </is>
      </c>
      <c r="B467" t="inlineStr">
        <is>
          <t>劉泳成</t>
        </is>
      </c>
      <c r="C467" t="inlineStr">
        <is>
          <t>2024-10-28</t>
        </is>
      </c>
      <c r="D467" t="inlineStr">
        <is>
          <t>cus_07f79144e085</t>
        </is>
      </c>
      <c r="E467" t="inlineStr">
        <is>
          <t>inv_086ffd987550</t>
        </is>
      </c>
      <c r="F467" t="n">
        <v>10500</v>
      </c>
      <c r="G467" t="inlineStr"/>
      <c r="H467" t="inlineStr">
        <is>
          <t>來源：單次型發票及收款紀錄 第 209 列</t>
        </is>
      </c>
      <c r="I467" t="inlineStr">
        <is>
          <t>2026-05-18</t>
        </is>
      </c>
    </row>
    <row r="468">
      <c r="A468" t="inlineStr">
        <is>
          <t>pay_79cd100ee70d</t>
        </is>
      </c>
      <c r="B468" t="inlineStr">
        <is>
          <t>Kate</t>
        </is>
      </c>
      <c r="C468" t="inlineStr">
        <is>
          <t>2025-09-10</t>
        </is>
      </c>
      <c r="D468" t="inlineStr">
        <is>
          <t>cus_e9d3627de720</t>
        </is>
      </c>
      <c r="E468" t="inlineStr">
        <is>
          <t>inv_ca0a645783fb</t>
        </is>
      </c>
      <c r="F468" t="n">
        <v>57750</v>
      </c>
      <c r="G468" t="inlineStr"/>
      <c r="H468" t="inlineStr">
        <is>
          <t>來源：單次型發票及收款紀錄 第 210 列</t>
        </is>
      </c>
      <c r="I468" t="inlineStr">
        <is>
          <t>2026-05-18</t>
        </is>
      </c>
    </row>
    <row r="469">
      <c r="A469" t="inlineStr">
        <is>
          <t>pay_4a59f494e633</t>
        </is>
      </c>
      <c r="B469" t="inlineStr">
        <is>
          <t>Erin</t>
        </is>
      </c>
      <c r="C469" t="inlineStr">
        <is>
          <t>2025-01-15</t>
        </is>
      </c>
      <c r="D469" t="inlineStr">
        <is>
          <t>cus_ca89271da0af</t>
        </is>
      </c>
      <c r="E469" t="inlineStr">
        <is>
          <t>inv_7e67f2ba61e4</t>
        </is>
      </c>
      <c r="F469" t="n">
        <v>157500</v>
      </c>
      <c r="G469" t="inlineStr"/>
      <c r="H469" t="inlineStr">
        <is>
          <t>來源：單次型發票及收款紀錄 第 211 列</t>
        </is>
      </c>
      <c r="I469" t="inlineStr">
        <is>
          <t>2026-05-18</t>
        </is>
      </c>
    </row>
    <row r="470">
      <c r="A470" t="inlineStr">
        <is>
          <t>pay_d583de7ec6c7</t>
        </is>
      </c>
      <c r="B470" t="inlineStr">
        <is>
          <t>黃思睿</t>
        </is>
      </c>
      <c r="C470" t="inlineStr">
        <is>
          <t>2024-01-02</t>
        </is>
      </c>
      <c r="D470" t="inlineStr">
        <is>
          <t>cus_bdd658582436</t>
        </is>
      </c>
      <c r="E470" t="inlineStr">
        <is>
          <t>inv_adbf62124e95</t>
        </is>
      </c>
      <c r="F470" t="n">
        <v>1155</v>
      </c>
      <c r="G470" t="inlineStr"/>
      <c r="H470" t="inlineStr">
        <is>
          <t>來源：單次型發票及收款紀錄 第 212 列</t>
        </is>
      </c>
      <c r="I470" t="inlineStr">
        <is>
          <t>2026-05-18</t>
        </is>
      </c>
    </row>
    <row r="471">
      <c r="A471" t="inlineStr">
        <is>
          <t>pay_0bb4ae0c8758</t>
        </is>
      </c>
      <c r="B471" t="inlineStr">
        <is>
          <t>黃思睿</t>
        </is>
      </c>
      <c r="C471" t="inlineStr">
        <is>
          <t>2023-12-25</t>
        </is>
      </c>
      <c r="D471" t="inlineStr">
        <is>
          <t>cus_bdd658582436</t>
        </is>
      </c>
      <c r="E471" t="inlineStr">
        <is>
          <t>inv_17f6c36b4d1c</t>
        </is>
      </c>
      <c r="F471" t="n">
        <v>723</v>
      </c>
      <c r="G471" t="inlineStr"/>
      <c r="H471" t="inlineStr">
        <is>
          <t>來源：單次型發票及收款紀錄 第 213 列</t>
        </is>
      </c>
      <c r="I471" t="inlineStr">
        <is>
          <t>2026-05-18</t>
        </is>
      </c>
    </row>
    <row r="472">
      <c r="A472" t="inlineStr">
        <is>
          <t>pay_d170f5fda7df</t>
        </is>
      </c>
      <c r="B472" t="inlineStr">
        <is>
          <t>黃思睿</t>
        </is>
      </c>
      <c r="C472" t="inlineStr">
        <is>
          <t>2024-01-31</t>
        </is>
      </c>
      <c r="D472" t="inlineStr">
        <is>
          <t>cus_bdd658582436</t>
        </is>
      </c>
      <c r="E472" t="inlineStr">
        <is>
          <t>inv_cea0d281f5ca</t>
        </is>
      </c>
      <c r="F472" t="n">
        <v>890</v>
      </c>
      <c r="G472" t="inlineStr"/>
      <c r="H472" t="inlineStr">
        <is>
          <t>來源：單次型發票及收款紀錄 第 214 列</t>
        </is>
      </c>
      <c r="I472" t="inlineStr">
        <is>
          <t>2026-05-18</t>
        </is>
      </c>
    </row>
    <row r="473">
      <c r="A473" t="inlineStr">
        <is>
          <t>pay_ac47af9db068</t>
        </is>
      </c>
      <c r="B473" t="inlineStr">
        <is>
          <t>黃思睿</t>
        </is>
      </c>
      <c r="C473" t="inlineStr">
        <is>
          <t>2024-01-25</t>
        </is>
      </c>
      <c r="D473" t="inlineStr">
        <is>
          <t>cus_bdd658582436</t>
        </is>
      </c>
      <c r="E473" t="inlineStr">
        <is>
          <t>inv_9045ddac2f35</t>
        </is>
      </c>
      <c r="F473" t="n">
        <v>582</v>
      </c>
      <c r="G473" t="inlineStr"/>
      <c r="H473" t="inlineStr">
        <is>
          <t>來源：單次型發票及收款紀錄 第 215 列</t>
        </is>
      </c>
      <c r="I473" t="inlineStr">
        <is>
          <t>2026-05-18</t>
        </is>
      </c>
    </row>
    <row r="474">
      <c r="A474" t="inlineStr">
        <is>
          <t>pay_5cdf2c715e22</t>
        </is>
      </c>
      <c r="B474" t="inlineStr">
        <is>
          <t>黃思睿</t>
        </is>
      </c>
      <c r="C474" t="inlineStr">
        <is>
          <t>2024-02-29</t>
        </is>
      </c>
      <c r="D474" t="inlineStr">
        <is>
          <t>cus_bdd658582436</t>
        </is>
      </c>
      <c r="E474" t="inlineStr">
        <is>
          <t>inv_08750d6c07c3</t>
        </is>
      </c>
      <c r="F474" t="n">
        <v>1048</v>
      </c>
      <c r="G474" t="inlineStr"/>
      <c r="H474" t="inlineStr">
        <is>
          <t>來源：單次型發票及收款紀錄 第 216 列</t>
        </is>
      </c>
      <c r="I474" t="inlineStr">
        <is>
          <t>2026-05-18</t>
        </is>
      </c>
    </row>
    <row r="475">
      <c r="A475" t="inlineStr">
        <is>
          <t>pay_18d9bd4ccb9c</t>
        </is>
      </c>
      <c r="B475" t="inlineStr">
        <is>
          <t>黃思睿</t>
        </is>
      </c>
      <c r="C475" t="inlineStr">
        <is>
          <t>2024-02-26</t>
        </is>
      </c>
      <c r="D475" t="inlineStr">
        <is>
          <t>cus_bdd658582436</t>
        </is>
      </c>
      <c r="E475" t="inlineStr">
        <is>
          <t>inv_0f923d3eb35a</t>
        </is>
      </c>
      <c r="F475" t="n">
        <v>752</v>
      </c>
      <c r="G475" t="inlineStr"/>
      <c r="H475" t="inlineStr">
        <is>
          <t>來源：單次型發票及收款紀錄 第 217 列</t>
        </is>
      </c>
      <c r="I475" t="inlineStr">
        <is>
          <t>2026-05-18</t>
        </is>
      </c>
    </row>
    <row r="476">
      <c r="A476" t="inlineStr">
        <is>
          <t>pay_d092bc5940e4</t>
        </is>
      </c>
      <c r="B476" t="inlineStr">
        <is>
          <t>黃思睿</t>
        </is>
      </c>
      <c r="C476" t="inlineStr">
        <is>
          <t>2024-04-01</t>
        </is>
      </c>
      <c r="D476" t="inlineStr">
        <is>
          <t>cus_bdd658582436</t>
        </is>
      </c>
      <c r="E476" t="inlineStr">
        <is>
          <t>inv_412c7818ce82</t>
        </is>
      </c>
      <c r="F476" t="n">
        <v>11</v>
      </c>
      <c r="G476" t="inlineStr"/>
      <c r="H476" t="inlineStr">
        <is>
          <t>來源：單次型發票及收款紀錄 第 218 列</t>
        </is>
      </c>
      <c r="I476" t="inlineStr">
        <is>
          <t>2026-05-18</t>
        </is>
      </c>
    </row>
    <row r="477">
      <c r="A477" t="inlineStr">
        <is>
          <t>pay_5602fbd75d8b</t>
        </is>
      </c>
      <c r="B477" t="inlineStr">
        <is>
          <t>黃思睿</t>
        </is>
      </c>
      <c r="C477" t="inlineStr">
        <is>
          <t>2024-03-25</t>
        </is>
      </c>
      <c r="D477" t="inlineStr">
        <is>
          <t>cus_bdd658582436</t>
        </is>
      </c>
      <c r="E477" t="inlineStr">
        <is>
          <t>inv_ed83934a6f1c</t>
        </is>
      </c>
      <c r="F477" t="n">
        <v>226</v>
      </c>
      <c r="G477" t="inlineStr"/>
      <c r="H477" t="inlineStr">
        <is>
          <t>來源：單次型發票及收款紀錄 第 219 列</t>
        </is>
      </c>
      <c r="I477" t="inlineStr">
        <is>
          <t>2026-05-18</t>
        </is>
      </c>
    </row>
    <row r="478">
      <c r="A478" t="inlineStr">
        <is>
          <t>pay_675ba753d727</t>
        </is>
      </c>
      <c r="B478" t="inlineStr">
        <is>
          <t>Stanley</t>
        </is>
      </c>
      <c r="C478" t="inlineStr">
        <is>
          <t>2025-11-25</t>
        </is>
      </c>
      <c r="D478" t="inlineStr">
        <is>
          <t>cus_bdd658582436</t>
        </is>
      </c>
      <c r="E478" t="inlineStr">
        <is>
          <t>inv_d943a6e30f65</t>
        </is>
      </c>
      <c r="F478" t="n">
        <v>53628</v>
      </c>
      <c r="G478" t="inlineStr"/>
      <c r="H478" t="inlineStr">
        <is>
          <t>來源：單次型發票及收款紀錄 第 220 列</t>
        </is>
      </c>
      <c r="I478" t="inlineStr">
        <is>
          <t>2026-05-18</t>
        </is>
      </c>
    </row>
    <row r="479">
      <c r="A479" t="inlineStr">
        <is>
          <t>pay_ade42cd52116</t>
        </is>
      </c>
      <c r="B479" t="inlineStr">
        <is>
          <t>Stanley</t>
        </is>
      </c>
      <c r="C479" t="inlineStr">
        <is>
          <t>2025-12-01</t>
        </is>
      </c>
      <c r="D479" t="inlineStr">
        <is>
          <t>cus_bdd658582436</t>
        </is>
      </c>
      <c r="E479" t="inlineStr">
        <is>
          <t>inv_9808699c0b00</t>
        </is>
      </c>
      <c r="F479" t="n">
        <v>8649</v>
      </c>
      <c r="G479" t="inlineStr"/>
      <c r="H479" t="inlineStr">
        <is>
          <t>來源：單次型發票及收款紀錄 第 221 列</t>
        </is>
      </c>
      <c r="I479" t="inlineStr">
        <is>
          <t>2026-05-18</t>
        </is>
      </c>
    </row>
    <row r="480">
      <c r="A480" t="inlineStr">
        <is>
          <t>pay_9cb7ac1b82cf</t>
        </is>
      </c>
      <c r="B480" t="inlineStr">
        <is>
          <t>賴亭宜</t>
        </is>
      </c>
      <c r="C480" t="inlineStr">
        <is>
          <t>2025-12-26</t>
        </is>
      </c>
      <c r="D480" t="inlineStr">
        <is>
          <t>cus_bdd658582436</t>
        </is>
      </c>
      <c r="E480" t="inlineStr">
        <is>
          <t>inv_1b55225f12f7</t>
        </is>
      </c>
      <c r="F480" t="n">
        <v>71183</v>
      </c>
      <c r="G480" t="inlineStr"/>
      <c r="H480" t="inlineStr">
        <is>
          <t>來源：單次型發票及收款紀錄 第 222 列</t>
        </is>
      </c>
      <c r="I480" t="inlineStr">
        <is>
          <t>2026-05-18</t>
        </is>
      </c>
    </row>
    <row r="481">
      <c r="A481" t="inlineStr">
        <is>
          <t>pay_1683bf2e9ecf</t>
        </is>
      </c>
      <c r="B481" t="inlineStr">
        <is>
          <t>賴亭宜</t>
        </is>
      </c>
      <c r="C481" t="inlineStr">
        <is>
          <t>2025-12-31</t>
        </is>
      </c>
      <c r="D481" t="inlineStr">
        <is>
          <t>cus_bdd658582436</t>
        </is>
      </c>
      <c r="E481" t="inlineStr">
        <is>
          <t>inv_f920b8208685</t>
        </is>
      </c>
      <c r="F481" t="n">
        <v>8665</v>
      </c>
      <c r="G481" t="inlineStr"/>
      <c r="H481" t="inlineStr">
        <is>
          <t>來源：單次型發票及收款紀錄 第 223 列</t>
        </is>
      </c>
      <c r="I481" t="inlineStr">
        <is>
          <t>2026-05-18</t>
        </is>
      </c>
    </row>
    <row r="482">
      <c r="A482" t="inlineStr">
        <is>
          <t>pay_e148b5e2a304</t>
        </is>
      </c>
      <c r="B482" t="inlineStr">
        <is>
          <t>Stanley</t>
        </is>
      </c>
      <c r="C482" t="inlineStr">
        <is>
          <t>2024-09-30</t>
        </is>
      </c>
      <c r="D482" t="inlineStr">
        <is>
          <t>cus_4ffd0abcf1d4</t>
        </is>
      </c>
      <c r="E482" t="inlineStr">
        <is>
          <t>inv_c48e05198b05</t>
        </is>
      </c>
      <c r="F482" t="n">
        <v>30450</v>
      </c>
      <c r="G482" t="inlineStr"/>
      <c r="H482" t="inlineStr">
        <is>
          <t>來源：單次型發票及收款紀錄 第 224 列</t>
        </is>
      </c>
      <c r="I482" t="inlineStr">
        <is>
          <t>2026-05-18</t>
        </is>
      </c>
    </row>
    <row r="483">
      <c r="A483" t="inlineStr">
        <is>
          <t>pay_4afecb101e50</t>
        </is>
      </c>
      <c r="B483" t="inlineStr">
        <is>
          <t>Stanley</t>
        </is>
      </c>
      <c r="C483" t="inlineStr">
        <is>
          <t>2024-09-30</t>
        </is>
      </c>
      <c r="D483" t="inlineStr">
        <is>
          <t>cus_4ffd0abcf1d4</t>
        </is>
      </c>
      <c r="E483" t="inlineStr">
        <is>
          <t>inv_65930774e843</t>
        </is>
      </c>
      <c r="F483" t="n">
        <v>13755</v>
      </c>
      <c r="G483" t="inlineStr"/>
      <c r="H483" t="inlineStr">
        <is>
          <t>來源：單次型發票及收款紀錄 第 225 列</t>
        </is>
      </c>
      <c r="I483" t="inlineStr">
        <is>
          <t>2026-05-18</t>
        </is>
      </c>
    </row>
    <row r="484">
      <c r="A484" t="inlineStr">
        <is>
          <t>pay_890dbf400929</t>
        </is>
      </c>
      <c r="B484" t="inlineStr">
        <is>
          <t>Stanley</t>
        </is>
      </c>
      <c r="C484" t="inlineStr">
        <is>
          <t>2024-10-31</t>
        </is>
      </c>
      <c r="D484" t="inlineStr">
        <is>
          <t>cus_4ffd0abcf1d4</t>
        </is>
      </c>
      <c r="E484" t="inlineStr">
        <is>
          <t>inv_87a8a7da6bdf</t>
        </is>
      </c>
      <c r="F484" t="n">
        <v>9450</v>
      </c>
      <c r="G484" t="inlineStr"/>
      <c r="H484" t="inlineStr">
        <is>
          <t>來源：單次型發票及收款紀錄 第 226 列</t>
        </is>
      </c>
      <c r="I484" t="inlineStr">
        <is>
          <t>2026-05-18</t>
        </is>
      </c>
    </row>
    <row r="485">
      <c r="A485" t="inlineStr">
        <is>
          <t>pay_ed4e992f8c15</t>
        </is>
      </c>
      <c r="B485" t="inlineStr">
        <is>
          <t>Stanley</t>
        </is>
      </c>
      <c r="C485" t="inlineStr">
        <is>
          <t>2024-11-29</t>
        </is>
      </c>
      <c r="D485" t="inlineStr">
        <is>
          <t>cus_4ffd0abcf1d4</t>
        </is>
      </c>
      <c r="E485" t="inlineStr">
        <is>
          <t>inv_ddf369c2e0aa</t>
        </is>
      </c>
      <c r="F485" t="n">
        <v>8085</v>
      </c>
      <c r="G485" t="inlineStr"/>
      <c r="H485" t="inlineStr">
        <is>
          <t>來源：單次型發票及收款紀錄 第 227 列</t>
        </is>
      </c>
      <c r="I485" t="inlineStr">
        <is>
          <t>2026-05-18</t>
        </is>
      </c>
    </row>
    <row r="486">
      <c r="A486" t="inlineStr">
        <is>
          <t>pay_b9fc6f759ab0</t>
        </is>
      </c>
      <c r="B486" t="inlineStr">
        <is>
          <t>Stanley</t>
        </is>
      </c>
      <c r="C486" t="inlineStr">
        <is>
          <t>2024-12-31</t>
        </is>
      </c>
      <c r="D486" t="inlineStr">
        <is>
          <t>cus_4ffd0abcf1d4</t>
        </is>
      </c>
      <c r="E486" t="inlineStr">
        <is>
          <t>inv_db92279baf92</t>
        </is>
      </c>
      <c r="F486" t="n">
        <v>25620</v>
      </c>
      <c r="G486" t="inlineStr"/>
      <c r="H486" t="inlineStr">
        <is>
          <t>來源：單次型發票及收款紀錄 第 228 列</t>
        </is>
      </c>
      <c r="I486" t="inlineStr">
        <is>
          <t>2026-05-18</t>
        </is>
      </c>
    </row>
    <row r="487">
      <c r="A487" t="inlineStr">
        <is>
          <t>pay_3dc5d103c2b3</t>
        </is>
      </c>
      <c r="B487" t="inlineStr">
        <is>
          <t>Stanley</t>
        </is>
      </c>
      <c r="C487" t="inlineStr">
        <is>
          <t>2025-01-24</t>
        </is>
      </c>
      <c r="D487" t="inlineStr">
        <is>
          <t>cus_4ffd0abcf1d4</t>
        </is>
      </c>
      <c r="E487" t="inlineStr">
        <is>
          <t>inv_d8471665ce0e</t>
        </is>
      </c>
      <c r="F487" t="n">
        <v>30933</v>
      </c>
      <c r="G487" t="inlineStr"/>
      <c r="H487" t="inlineStr">
        <is>
          <t>來源：單次型發票及收款紀錄 第 229 列</t>
        </is>
      </c>
      <c r="I487" t="inlineStr">
        <is>
          <t>2026-05-18</t>
        </is>
      </c>
    </row>
    <row r="488">
      <c r="A488" t="inlineStr">
        <is>
          <t>pay_007566f1e834</t>
        </is>
      </c>
      <c r="B488" t="inlineStr">
        <is>
          <t>Kate</t>
        </is>
      </c>
      <c r="C488" t="inlineStr">
        <is>
          <t>2025-07-23</t>
        </is>
      </c>
      <c r="D488" t="inlineStr">
        <is>
          <t>cus_a8aff9f57d27</t>
        </is>
      </c>
      <c r="E488" t="inlineStr">
        <is>
          <t>inv_617d828611ef</t>
        </is>
      </c>
      <c r="F488" t="n">
        <v>110250</v>
      </c>
      <c r="G488" t="inlineStr"/>
      <c r="H488" t="inlineStr">
        <is>
          <t>來源：單次型發票及收款紀錄 第 230 列</t>
        </is>
      </c>
      <c r="I488" t="inlineStr">
        <is>
          <t>2026-05-18</t>
        </is>
      </c>
    </row>
    <row r="489">
      <c r="A489" t="inlineStr">
        <is>
          <t>pay_70009b6608eb</t>
        </is>
      </c>
      <c r="B489" t="inlineStr">
        <is>
          <t>劉泳成</t>
        </is>
      </c>
      <c r="C489" t="inlineStr">
        <is>
          <t>2024-10-15</t>
        </is>
      </c>
      <c r="D489" t="inlineStr">
        <is>
          <t>cus_17595d90dda0</t>
        </is>
      </c>
      <c r="E489" t="inlineStr">
        <is>
          <t>inv_aacef2f01d2e</t>
        </is>
      </c>
      <c r="F489" t="n">
        <v>3150</v>
      </c>
      <c r="G489" t="inlineStr"/>
      <c r="H489" t="inlineStr">
        <is>
          <t>來源：單次型發票及收款紀錄 第 231 列</t>
        </is>
      </c>
      <c r="I489" t="inlineStr">
        <is>
          <t>2026-05-18</t>
        </is>
      </c>
    </row>
    <row r="490">
      <c r="A490" t="inlineStr">
        <is>
          <t>pay_bec68370f976</t>
        </is>
      </c>
      <c r="B490" t="inlineStr">
        <is>
          <t>Kate</t>
        </is>
      </c>
      <c r="C490" t="inlineStr">
        <is>
          <t>2025-08-20</t>
        </is>
      </c>
      <c r="D490" t="inlineStr">
        <is>
          <t>cus_4ad97e802893</t>
        </is>
      </c>
      <c r="E490" t="inlineStr">
        <is>
          <t>inv_88f1f0ed6d51</t>
        </is>
      </c>
      <c r="F490" t="n">
        <v>189000</v>
      </c>
      <c r="G490" t="inlineStr"/>
      <c r="H490" t="inlineStr">
        <is>
          <t>來源：單次型發票及收款紀錄 第 232 列</t>
        </is>
      </c>
      <c r="I490" t="inlineStr">
        <is>
          <t>2026-05-18</t>
        </is>
      </c>
    </row>
    <row r="491">
      <c r="A491" t="inlineStr">
        <is>
          <t>pay_0807907f8c69</t>
        </is>
      </c>
      <c r="B491" t="inlineStr">
        <is>
          <t>Kate</t>
        </is>
      </c>
      <c r="C491" t="inlineStr">
        <is>
          <t>2026-01-12</t>
        </is>
      </c>
      <c r="D491" t="inlineStr">
        <is>
          <t>cus_4ad97e802893</t>
        </is>
      </c>
      <c r="E491" t="inlineStr">
        <is>
          <t>inv_b2728e7a72e8</t>
        </is>
      </c>
      <c r="F491" t="n">
        <v>94500</v>
      </c>
      <c r="G491" t="inlineStr"/>
      <c r="H491" t="inlineStr">
        <is>
          <t>來源：單次型發票及收款紀錄 第 233 列</t>
        </is>
      </c>
      <c r="I491" t="inlineStr">
        <is>
          <t>2026-05-18</t>
        </is>
      </c>
    </row>
    <row r="492">
      <c r="A492" t="inlineStr">
        <is>
          <t>pay_a9647a487f07</t>
        </is>
      </c>
      <c r="B492" t="inlineStr">
        <is>
          <t>劉泳成</t>
        </is>
      </c>
      <c r="C492" t="inlineStr">
        <is>
          <t>2024-09-25</t>
        </is>
      </c>
      <c r="D492" t="inlineStr">
        <is>
          <t>cus_4351be6be044</t>
        </is>
      </c>
      <c r="E492" t="inlineStr">
        <is>
          <t>inv_e265709aaabd</t>
        </is>
      </c>
      <c r="F492" t="n">
        <v>97650</v>
      </c>
      <c r="G492" t="inlineStr"/>
      <c r="H492" t="inlineStr">
        <is>
          <t>來源：單次型發票及收款紀錄 第 234 列</t>
        </is>
      </c>
      <c r="I492" t="inlineStr">
        <is>
          <t>2026-05-18</t>
        </is>
      </c>
    </row>
    <row r="493">
      <c r="A493" t="inlineStr">
        <is>
          <t>pay_50fbe36f3755</t>
        </is>
      </c>
      <c r="B493" t="inlineStr">
        <is>
          <t>劉泳成</t>
        </is>
      </c>
      <c r="C493" t="inlineStr">
        <is>
          <t>2024-09-25</t>
        </is>
      </c>
      <c r="D493" t="inlineStr">
        <is>
          <t>cus_4351be6be044</t>
        </is>
      </c>
      <c r="E493" t="inlineStr">
        <is>
          <t>inv_ae67905f7ea4</t>
        </is>
      </c>
      <c r="F493" t="n">
        <v>97650</v>
      </c>
      <c r="G493" t="inlineStr"/>
      <c r="H493" t="inlineStr">
        <is>
          <t>來源：單次型發票及收款紀錄 第 235 列</t>
        </is>
      </c>
      <c r="I493" t="inlineStr">
        <is>
          <t>2026-05-18</t>
        </is>
      </c>
    </row>
    <row r="494">
      <c r="A494" t="inlineStr">
        <is>
          <t>pay_818b6a8b2b0f</t>
        </is>
      </c>
      <c r="B494" t="inlineStr">
        <is>
          <t>劉泳成</t>
        </is>
      </c>
      <c r="C494" t="inlineStr">
        <is>
          <t>2024-10-25</t>
        </is>
      </c>
      <c r="D494" t="inlineStr">
        <is>
          <t>cus_4351be6be044</t>
        </is>
      </c>
      <c r="E494" t="inlineStr">
        <is>
          <t>inv_727ea97810d3</t>
        </is>
      </c>
      <c r="F494" t="n">
        <v>97650</v>
      </c>
      <c r="G494" t="inlineStr"/>
      <c r="H494" t="inlineStr">
        <is>
          <t>來源：單次型發票及收款紀錄 第 236 列</t>
        </is>
      </c>
      <c r="I494" t="inlineStr">
        <is>
          <t>2026-05-18</t>
        </is>
      </c>
    </row>
    <row r="495">
      <c r="A495" t="inlineStr">
        <is>
          <t>pay_a85caa15b5a6</t>
        </is>
      </c>
      <c r="B495" t="inlineStr">
        <is>
          <t>Erin</t>
        </is>
      </c>
      <c r="C495" t="inlineStr">
        <is>
          <t>2025-03-14</t>
        </is>
      </c>
      <c r="D495" t="inlineStr">
        <is>
          <t>cus_ff44151c7dc5</t>
        </is>
      </c>
      <c r="E495" t="inlineStr">
        <is>
          <t>inv_8d9594e77610</t>
        </is>
      </c>
      <c r="F495" t="n">
        <v>25000</v>
      </c>
      <c r="G495" t="inlineStr"/>
      <c r="H495" t="inlineStr">
        <is>
          <t>來源：單次型發票及收款紀錄 第 237 列</t>
        </is>
      </c>
      <c r="I495" t="inlineStr">
        <is>
          <t>2026-05-18</t>
        </is>
      </c>
    </row>
    <row r="496">
      <c r="A496" t="inlineStr">
        <is>
          <t>pay_82df94eec194</t>
        </is>
      </c>
      <c r="B496" t="inlineStr">
        <is>
          <t>Kate</t>
        </is>
      </c>
      <c r="C496" t="inlineStr">
        <is>
          <t>2025-06-27</t>
        </is>
      </c>
      <c r="D496" t="inlineStr">
        <is>
          <t>cus_ff44151c7dc5</t>
        </is>
      </c>
      <c r="E496" t="inlineStr">
        <is>
          <t>inv_616fe857508e</t>
        </is>
      </c>
      <c r="F496" t="n">
        <v>36000</v>
      </c>
      <c r="G496" t="inlineStr"/>
      <c r="H496" t="inlineStr">
        <is>
          <t>來源：單次型發票及收款紀錄 第 238 列</t>
        </is>
      </c>
      <c r="I496" t="inlineStr">
        <is>
          <t>2026-05-18</t>
        </is>
      </c>
    </row>
    <row r="497">
      <c r="A497" t="inlineStr">
        <is>
          <t>pay_3b605f656e42</t>
        </is>
      </c>
      <c r="B497" t="inlineStr">
        <is>
          <t>Kate</t>
        </is>
      </c>
      <c r="C497" t="inlineStr">
        <is>
          <t>2025-08-29</t>
        </is>
      </c>
      <c r="D497" t="inlineStr">
        <is>
          <t>cus_ff44151c7dc5</t>
        </is>
      </c>
      <c r="E497" t="inlineStr">
        <is>
          <t>inv_f1ee05a4ebd9</t>
        </is>
      </c>
      <c r="F497" t="n">
        <v>36000</v>
      </c>
      <c r="G497" t="inlineStr"/>
      <c r="H497" t="inlineStr">
        <is>
          <t>來源：單次型發票及收款紀錄 第 239 列</t>
        </is>
      </c>
      <c r="I497" t="inlineStr">
        <is>
          <t>2026-05-18</t>
        </is>
      </c>
    </row>
    <row r="498">
      <c r="A498" t="inlineStr">
        <is>
          <t>pay_62834ebd63a6</t>
        </is>
      </c>
      <c r="B498" t="inlineStr">
        <is>
          <t>Kate</t>
        </is>
      </c>
      <c r="C498" t="inlineStr">
        <is>
          <t>2025-10-07</t>
        </is>
      </c>
      <c r="D498" t="inlineStr">
        <is>
          <t>cus_a363bddaa62c</t>
        </is>
      </c>
      <c r="E498" t="inlineStr">
        <is>
          <t>inv_30b8bac548c4</t>
        </is>
      </c>
      <c r="F498" t="n">
        <v>8400</v>
      </c>
      <c r="G498" t="inlineStr"/>
      <c r="H498" t="inlineStr">
        <is>
          <t>來源：單次型發票及收款紀錄 第 241 列</t>
        </is>
      </c>
      <c r="I498" t="inlineStr">
        <is>
          <t>2026-05-18</t>
        </is>
      </c>
    </row>
    <row r="499">
      <c r="A499" t="inlineStr">
        <is>
          <t>pay_61a6890b5e81</t>
        </is>
      </c>
      <c r="B499" t="inlineStr">
        <is>
          <t>黃思睿</t>
        </is>
      </c>
      <c r="C499" t="inlineStr">
        <is>
          <t>2023-12-11</t>
        </is>
      </c>
      <c r="D499" t="inlineStr">
        <is>
          <t>cus_6b1bc14ed7b3</t>
        </is>
      </c>
      <c r="E499" t="inlineStr">
        <is>
          <t>inv_9d1857d172ca</t>
        </is>
      </c>
      <c r="F499" t="n">
        <v>21000</v>
      </c>
      <c r="G499" t="inlineStr"/>
      <c r="H499" t="inlineStr">
        <is>
          <t>來源：單次型發票及收款紀錄 第 242 列</t>
        </is>
      </c>
      <c r="I499" t="inlineStr">
        <is>
          <t>2026-05-18</t>
        </is>
      </c>
    </row>
    <row r="500">
      <c r="A500" t="inlineStr">
        <is>
          <t>pay_e8b1781e8c17</t>
        </is>
      </c>
      <c r="B500" t="inlineStr">
        <is>
          <t>黃思睿</t>
        </is>
      </c>
      <c r="C500" t="inlineStr">
        <is>
          <t>2024-05-31</t>
        </is>
      </c>
      <c r="D500" t="inlineStr">
        <is>
          <t>cus_7e5c26e3a00a</t>
        </is>
      </c>
      <c r="E500" t="inlineStr">
        <is>
          <t>inv_f24bfeed1a9d</t>
        </is>
      </c>
      <c r="F500" t="n">
        <v>36750</v>
      </c>
      <c r="G500" t="inlineStr"/>
      <c r="H500" t="inlineStr">
        <is>
          <t>來源：單次型發票及收款紀錄 第 243 列</t>
        </is>
      </c>
      <c r="I500" t="inlineStr">
        <is>
          <t>2026-05-18</t>
        </is>
      </c>
    </row>
    <row r="501">
      <c r="A501" t="inlineStr">
        <is>
          <t>pay_efda4c0fc958</t>
        </is>
      </c>
      <c r="B501" t="inlineStr">
        <is>
          <t>黃思睿</t>
        </is>
      </c>
      <c r="C501" t="inlineStr">
        <is>
          <t>2024-07-01</t>
        </is>
      </c>
      <c r="D501" t="inlineStr">
        <is>
          <t>cus_7e5c26e3a00a</t>
        </is>
      </c>
      <c r="E501" t="inlineStr">
        <is>
          <t>inv_e4799015f227</t>
        </is>
      </c>
      <c r="F501" t="n">
        <v>36750</v>
      </c>
      <c r="G501" t="inlineStr"/>
      <c r="H501" t="inlineStr">
        <is>
          <t>來源：單次型發票及收款紀錄 第 244 列</t>
        </is>
      </c>
      <c r="I501" t="inlineStr">
        <is>
          <t>2026-05-18</t>
        </is>
      </c>
    </row>
    <row r="502">
      <c r="A502" t="inlineStr">
        <is>
          <t>pay_9abd330c4fdd</t>
        </is>
      </c>
      <c r="B502" t="inlineStr">
        <is>
          <t>黃思睿</t>
        </is>
      </c>
      <c r="C502" t="inlineStr">
        <is>
          <t>2024-07-31</t>
        </is>
      </c>
      <c r="D502" t="inlineStr">
        <is>
          <t>cus_7e5c26e3a00a</t>
        </is>
      </c>
      <c r="E502" t="inlineStr">
        <is>
          <t>inv_07474f71fd81</t>
        </is>
      </c>
      <c r="F502" t="n">
        <v>15750</v>
      </c>
      <c r="G502" t="inlineStr"/>
      <c r="H502" t="inlineStr">
        <is>
          <t>來源：單次型發票及收款紀錄 第 245 列</t>
        </is>
      </c>
      <c r="I502" t="inlineStr">
        <is>
          <t>2026-05-18</t>
        </is>
      </c>
    </row>
    <row r="503">
      <c r="A503" t="inlineStr">
        <is>
          <t>pay_d9fb46985ccb</t>
        </is>
      </c>
      <c r="B503" t="inlineStr">
        <is>
          <t>黃思睿</t>
        </is>
      </c>
      <c r="C503" t="inlineStr">
        <is>
          <t>2024-09-02</t>
        </is>
      </c>
      <c r="D503" t="inlineStr">
        <is>
          <t>cus_7e5c26e3a00a</t>
        </is>
      </c>
      <c r="E503" t="inlineStr">
        <is>
          <t>inv_b40ed894fa09</t>
        </is>
      </c>
      <c r="F503" t="n">
        <v>68250</v>
      </c>
      <c r="G503" t="inlineStr"/>
      <c r="H503" t="inlineStr">
        <is>
          <t>來源：單次型發票及收款紀錄 第 246 列</t>
        </is>
      </c>
      <c r="I503" t="inlineStr">
        <is>
          <t>2026-05-18</t>
        </is>
      </c>
    </row>
    <row r="504">
      <c r="A504" t="inlineStr">
        <is>
          <t>pay_4a13e4175686</t>
        </is>
      </c>
      <c r="B504" t="inlineStr">
        <is>
          <t>黃思睿</t>
        </is>
      </c>
      <c r="C504" t="inlineStr">
        <is>
          <t>2024-09-30</t>
        </is>
      </c>
      <c r="D504" t="inlineStr">
        <is>
          <t>cus_7e5c26e3a00a</t>
        </is>
      </c>
      <c r="E504" t="inlineStr">
        <is>
          <t>inv_bdd795039c55</t>
        </is>
      </c>
      <c r="F504" t="n">
        <v>42000</v>
      </c>
      <c r="G504" t="inlineStr"/>
      <c r="H504" t="inlineStr">
        <is>
          <t>來源：單次型發票及收款紀錄 第 247 列</t>
        </is>
      </c>
      <c r="I504" t="inlineStr">
        <is>
          <t>2026-05-18</t>
        </is>
      </c>
    </row>
    <row r="505">
      <c r="A505" t="inlineStr">
        <is>
          <t>pay_7840646ebabc</t>
        </is>
      </c>
      <c r="B505" t="inlineStr">
        <is>
          <t>黃思睿</t>
        </is>
      </c>
      <c r="C505" t="inlineStr">
        <is>
          <t>2024-09-30</t>
        </is>
      </c>
      <c r="D505" t="inlineStr">
        <is>
          <t>cus_7e5c26e3a00a</t>
        </is>
      </c>
      <c r="E505" t="inlineStr">
        <is>
          <t>inv_b7023270935e</t>
        </is>
      </c>
      <c r="F505" t="n">
        <v>15750</v>
      </c>
      <c r="G505" t="inlineStr"/>
      <c r="H505" t="inlineStr">
        <is>
          <t>來源：單次型發票及收款紀錄 第 248 列</t>
        </is>
      </c>
      <c r="I505" t="inlineStr">
        <is>
          <t>2026-05-18</t>
        </is>
      </c>
    </row>
    <row r="506">
      <c r="A506" t="inlineStr">
        <is>
          <t>pay_cff4d52e0058</t>
        </is>
      </c>
      <c r="B506" t="inlineStr">
        <is>
          <t>黃思睿</t>
        </is>
      </c>
      <c r="C506" t="inlineStr">
        <is>
          <t>2024-11-01</t>
        </is>
      </c>
      <c r="D506" t="inlineStr">
        <is>
          <t>cus_7e5c26e3a00a</t>
        </is>
      </c>
      <c r="E506" t="inlineStr">
        <is>
          <t>inv_98ddaa0bdd68</t>
        </is>
      </c>
      <c r="F506" t="n">
        <v>42000</v>
      </c>
      <c r="G506" t="inlineStr"/>
      <c r="H506" t="inlineStr">
        <is>
          <t>來源：單次型發票及收款紀錄 第 249 列</t>
        </is>
      </c>
      <c r="I506" t="inlineStr">
        <is>
          <t>2026-05-18</t>
        </is>
      </c>
    </row>
    <row r="507">
      <c r="A507" t="inlineStr">
        <is>
          <t>pay_5cbff941ba90</t>
        </is>
      </c>
      <c r="B507" t="inlineStr">
        <is>
          <t>黃思睿</t>
        </is>
      </c>
      <c r="C507" t="inlineStr">
        <is>
          <t>2024-11-01</t>
        </is>
      </c>
      <c r="D507" t="inlineStr">
        <is>
          <t>cus_7e5c26e3a00a</t>
        </is>
      </c>
      <c r="E507" t="inlineStr">
        <is>
          <t>inv_76035e6c44ae</t>
        </is>
      </c>
      <c r="F507" t="n">
        <v>15750</v>
      </c>
      <c r="G507" t="inlineStr"/>
      <c r="H507" t="inlineStr">
        <is>
          <t>來源：單次型發票及收款紀錄 第 250 列</t>
        </is>
      </c>
      <c r="I507" t="inlineStr">
        <is>
          <t>2026-05-18</t>
        </is>
      </c>
    </row>
    <row r="508">
      <c r="A508" t="inlineStr">
        <is>
          <t>pay_c96e55ce6440</t>
        </is>
      </c>
      <c r="B508" t="inlineStr">
        <is>
          <t>Cobi</t>
        </is>
      </c>
      <c r="C508" t="inlineStr">
        <is>
          <t>2024-12-02</t>
        </is>
      </c>
      <c r="D508" t="inlineStr">
        <is>
          <t>cus_7e5c26e3a00a</t>
        </is>
      </c>
      <c r="E508" t="inlineStr">
        <is>
          <t>inv_4971e352e07f</t>
        </is>
      </c>
      <c r="F508" t="n">
        <v>78750</v>
      </c>
      <c r="G508" t="inlineStr"/>
      <c r="H508" t="inlineStr">
        <is>
          <t>來源：單次型發票及收款紀錄 第 251 列</t>
        </is>
      </c>
      <c r="I508" t="inlineStr">
        <is>
          <t>2026-05-18</t>
        </is>
      </c>
    </row>
    <row r="509">
      <c r="A509" t="inlineStr">
        <is>
          <t>pay_d1f1cdba2c70</t>
        </is>
      </c>
      <c r="B509" t="inlineStr">
        <is>
          <t>Cobi</t>
        </is>
      </c>
      <c r="C509" t="inlineStr">
        <is>
          <t>2024-12-02</t>
        </is>
      </c>
      <c r="D509" t="inlineStr">
        <is>
          <t>cus_7e5c26e3a00a</t>
        </is>
      </c>
      <c r="E509" t="inlineStr">
        <is>
          <t>inv_8901820ec55b</t>
        </is>
      </c>
      <c r="F509" t="n">
        <v>65100</v>
      </c>
      <c r="G509" t="inlineStr"/>
      <c r="H509" t="inlineStr">
        <is>
          <t>來源：單次型發票及收款紀錄 第 252 列</t>
        </is>
      </c>
      <c r="I509" t="inlineStr">
        <is>
          <t>2026-05-18</t>
        </is>
      </c>
    </row>
    <row r="510">
      <c r="A510" t="inlineStr">
        <is>
          <t>pay_35beccf003a6</t>
        </is>
      </c>
      <c r="B510" t="inlineStr">
        <is>
          <t>Cobi</t>
        </is>
      </c>
      <c r="C510" t="inlineStr">
        <is>
          <t>2025-02-03</t>
        </is>
      </c>
      <c r="D510" t="inlineStr">
        <is>
          <t>cus_7e5c26e3a00a</t>
        </is>
      </c>
      <c r="E510" t="inlineStr">
        <is>
          <t>inv_a943ebc3fbba</t>
        </is>
      </c>
      <c r="F510" t="n">
        <v>42000</v>
      </c>
      <c r="G510" t="inlineStr"/>
      <c r="H510" t="inlineStr">
        <is>
          <t>來源：單次型發票及收款紀錄 第 254 列</t>
        </is>
      </c>
      <c r="I510" t="inlineStr">
        <is>
          <t>2026-05-18</t>
        </is>
      </c>
    </row>
    <row r="511">
      <c r="A511" t="inlineStr">
        <is>
          <t>pay_b9dd8c4fc285</t>
        </is>
      </c>
      <c r="B511" t="inlineStr">
        <is>
          <t>Cobi</t>
        </is>
      </c>
      <c r="C511" t="inlineStr">
        <is>
          <t>2025-02-03</t>
        </is>
      </c>
      <c r="D511" t="inlineStr">
        <is>
          <t>cus_7e5c26e3a00a</t>
        </is>
      </c>
      <c r="E511" t="inlineStr">
        <is>
          <t>inv_a32b76fc32a2</t>
        </is>
      </c>
      <c r="F511" t="n">
        <v>21000</v>
      </c>
      <c r="G511" t="inlineStr"/>
      <c r="H511" t="inlineStr">
        <is>
          <t>來源：單次型發票及收款紀錄 第 255 列</t>
        </is>
      </c>
      <c r="I511" t="inlineStr">
        <is>
          <t>2026-05-18</t>
        </is>
      </c>
    </row>
    <row r="512">
      <c r="A512" t="inlineStr">
        <is>
          <t>pay_c4c67d074e8c</t>
        </is>
      </c>
      <c r="B512" t="inlineStr">
        <is>
          <t>Cobi</t>
        </is>
      </c>
      <c r="C512" t="inlineStr">
        <is>
          <t>2025-03-03</t>
        </is>
      </c>
      <c r="D512" t="inlineStr">
        <is>
          <t>cus_7e5c26e3a00a</t>
        </is>
      </c>
      <c r="E512" t="inlineStr">
        <is>
          <t>inv_46013770499a</t>
        </is>
      </c>
      <c r="F512" t="n">
        <v>13650</v>
      </c>
      <c r="G512" t="inlineStr"/>
      <c r="H512" t="inlineStr">
        <is>
          <t>來源：單次型發票及收款紀錄 第 256 列</t>
        </is>
      </c>
      <c r="I512" t="inlineStr">
        <is>
          <t>2026-05-18</t>
        </is>
      </c>
    </row>
    <row r="513">
      <c r="A513" t="inlineStr">
        <is>
          <t>pay_fd90d317f730</t>
        </is>
      </c>
      <c r="B513" t="inlineStr">
        <is>
          <t>Cobi</t>
        </is>
      </c>
      <c r="C513" t="inlineStr">
        <is>
          <t>2025-03-03</t>
        </is>
      </c>
      <c r="D513" t="inlineStr">
        <is>
          <t>cus_7e5c26e3a00a</t>
        </is>
      </c>
      <c r="E513" t="inlineStr">
        <is>
          <t>inv_0fb2ae166dde</t>
        </is>
      </c>
      <c r="F513" t="n">
        <v>59850</v>
      </c>
      <c r="G513" t="inlineStr"/>
      <c r="H513" t="inlineStr">
        <is>
          <t>來源：單次型發票及收款紀錄 第 257 列</t>
        </is>
      </c>
      <c r="I513" t="inlineStr">
        <is>
          <t>2026-05-18</t>
        </is>
      </c>
    </row>
    <row r="514">
      <c r="A514" t="inlineStr">
        <is>
          <t>pay_e3f8be5a92d6</t>
        </is>
      </c>
      <c r="B514" t="inlineStr">
        <is>
          <t>Cobi</t>
        </is>
      </c>
      <c r="C514" t="inlineStr">
        <is>
          <t>2025-03-03</t>
        </is>
      </c>
      <c r="D514" t="inlineStr">
        <is>
          <t>cus_7e5c26e3a00a</t>
        </is>
      </c>
      <c r="E514" t="inlineStr">
        <is>
          <t>inv_1125014bc12c</t>
        </is>
      </c>
      <c r="F514" t="n">
        <v>47250</v>
      </c>
      <c r="G514" t="inlineStr"/>
      <c r="H514" t="inlineStr">
        <is>
          <t>來源：單次型發票及收款紀錄 第 258 列</t>
        </is>
      </c>
      <c r="I514" t="inlineStr">
        <is>
          <t>2026-05-18</t>
        </is>
      </c>
    </row>
    <row r="515">
      <c r="A515" t="inlineStr">
        <is>
          <t>pay_815d7d272ee3</t>
        </is>
      </c>
      <c r="B515" t="inlineStr">
        <is>
          <t>Cobi</t>
        </is>
      </c>
      <c r="C515" t="inlineStr">
        <is>
          <t>2025-04-30</t>
        </is>
      </c>
      <c r="D515" t="inlineStr">
        <is>
          <t>cus_7e5c26e3a00a</t>
        </is>
      </c>
      <c r="E515" t="inlineStr">
        <is>
          <t>inv_93f04fc1660e</t>
        </is>
      </c>
      <c r="F515" t="n">
        <v>73500</v>
      </c>
      <c r="G515" t="inlineStr"/>
      <c r="H515" t="inlineStr">
        <is>
          <t>來源：單次型發票及收款紀錄 第 259 列</t>
        </is>
      </c>
      <c r="I515" t="inlineStr">
        <is>
          <t>2026-05-18</t>
        </is>
      </c>
    </row>
    <row r="516">
      <c r="A516" t="inlineStr">
        <is>
          <t>pay_bf231bed9ce2</t>
        </is>
      </c>
      <c r="B516" t="inlineStr">
        <is>
          <t>Cobi</t>
        </is>
      </c>
      <c r="C516" t="inlineStr">
        <is>
          <t>2025-04-31</t>
        </is>
      </c>
      <c r="D516" t="inlineStr">
        <is>
          <t>cus_7e5c26e3a00a</t>
        </is>
      </c>
      <c r="E516" t="inlineStr">
        <is>
          <t>inv_2e551e9f26bf</t>
        </is>
      </c>
      <c r="F516" t="n">
        <v>55650</v>
      </c>
      <c r="G516" t="inlineStr"/>
      <c r="H516" t="inlineStr">
        <is>
          <t>來源：單次型發票及收款紀錄 第 260 列</t>
        </is>
      </c>
      <c r="I516" t="inlineStr">
        <is>
          <t>2026-05-18</t>
        </is>
      </c>
    </row>
    <row r="517">
      <c r="A517" t="inlineStr">
        <is>
          <t>pay_0866f95a8488</t>
        </is>
      </c>
      <c r="B517" t="inlineStr">
        <is>
          <t>Cobi</t>
        </is>
      </c>
      <c r="C517" t="inlineStr">
        <is>
          <t>2025-04-31</t>
        </is>
      </c>
      <c r="D517" t="inlineStr">
        <is>
          <t>cus_7e5c26e3a00a</t>
        </is>
      </c>
      <c r="E517" t="inlineStr">
        <is>
          <t>inv_1be8ea1c6a4a</t>
        </is>
      </c>
      <c r="F517" t="n">
        <v>3150</v>
      </c>
      <c r="G517" t="inlineStr"/>
      <c r="H517" t="inlineStr">
        <is>
          <t>來源：單次型發票及收款紀錄 第 261 列</t>
        </is>
      </c>
      <c r="I517" t="inlineStr">
        <is>
          <t>2026-05-18</t>
        </is>
      </c>
    </row>
    <row r="518">
      <c r="A518" t="inlineStr">
        <is>
          <t>pay_38a13485169b</t>
        </is>
      </c>
      <c r="B518" t="inlineStr">
        <is>
          <t>Cobi</t>
        </is>
      </c>
      <c r="C518" t="inlineStr">
        <is>
          <t>2025-06-02</t>
        </is>
      </c>
      <c r="D518" t="inlineStr">
        <is>
          <t>cus_7e5c26e3a00a</t>
        </is>
      </c>
      <c r="E518" t="inlineStr">
        <is>
          <t>inv_2617d5615ee8</t>
        </is>
      </c>
      <c r="F518" t="n">
        <v>52500</v>
      </c>
      <c r="G518" t="inlineStr"/>
      <c r="H518" t="inlineStr">
        <is>
          <t>來源：單次型發票及收款紀錄 第 262 列</t>
        </is>
      </c>
      <c r="I518" t="inlineStr">
        <is>
          <t>2026-05-18</t>
        </is>
      </c>
    </row>
    <row r="519">
      <c r="A519" t="inlineStr">
        <is>
          <t>pay_6fa1681795d2</t>
        </is>
      </c>
      <c r="B519" t="inlineStr">
        <is>
          <t>Cobi</t>
        </is>
      </c>
      <c r="C519" t="inlineStr">
        <is>
          <t>2025-06-30</t>
        </is>
      </c>
      <c r="D519" t="inlineStr">
        <is>
          <t>cus_7e5c26e3a00a</t>
        </is>
      </c>
      <c r="E519" t="inlineStr">
        <is>
          <t>inv_06e2315bc094</t>
        </is>
      </c>
      <c r="F519" t="n">
        <v>78750</v>
      </c>
      <c r="G519" t="inlineStr"/>
      <c r="H519" t="inlineStr">
        <is>
          <t>來源：單次型發票及收款紀錄 第 263 列</t>
        </is>
      </c>
      <c r="I519" t="inlineStr">
        <is>
          <t>2026-05-18</t>
        </is>
      </c>
    </row>
    <row r="520">
      <c r="A520" t="inlineStr">
        <is>
          <t>pay_7ac1a5d30c31</t>
        </is>
      </c>
      <c r="B520" t="inlineStr">
        <is>
          <t>Cobi</t>
        </is>
      </c>
      <c r="C520" t="inlineStr">
        <is>
          <t>2025-06-30</t>
        </is>
      </c>
      <c r="D520" t="inlineStr">
        <is>
          <t>cus_7e5c26e3a00a</t>
        </is>
      </c>
      <c r="E520" t="inlineStr">
        <is>
          <t>inv_4145c78fbc20</t>
        </is>
      </c>
      <c r="F520" t="n">
        <v>68250</v>
      </c>
      <c r="G520" t="inlineStr"/>
      <c r="H520" t="inlineStr">
        <is>
          <t>來源：單次型發票及收款紀錄 第 264 列</t>
        </is>
      </c>
      <c r="I520" t="inlineStr">
        <is>
          <t>2026-05-18</t>
        </is>
      </c>
    </row>
    <row r="521">
      <c r="A521" t="inlineStr">
        <is>
          <t>pay_bf72c15055e2</t>
        </is>
      </c>
      <c r="B521" t="inlineStr">
        <is>
          <t>Cobi</t>
        </is>
      </c>
      <c r="C521" t="inlineStr">
        <is>
          <t>2025-06-30</t>
        </is>
      </c>
      <c r="D521" t="inlineStr">
        <is>
          <t>cus_7e5c26e3a00a</t>
        </is>
      </c>
      <c r="E521" t="inlineStr">
        <is>
          <t>inv_c67e0a8fcf4d</t>
        </is>
      </c>
      <c r="F521" t="n">
        <v>60900</v>
      </c>
      <c r="G521" t="inlineStr"/>
      <c r="H521" t="inlineStr">
        <is>
          <t>來源：單次型發票及收款紀錄 第 265 列</t>
        </is>
      </c>
      <c r="I521" t="inlineStr">
        <is>
          <t>2026-05-18</t>
        </is>
      </c>
    </row>
    <row r="522">
      <c r="A522" t="inlineStr">
        <is>
          <t>pay_f6755c392431</t>
        </is>
      </c>
      <c r="B522" t="inlineStr">
        <is>
          <t>Cobi</t>
        </is>
      </c>
      <c r="C522" t="inlineStr">
        <is>
          <t>2025-06-30</t>
        </is>
      </c>
      <c r="D522" t="inlineStr">
        <is>
          <t>cus_7e5c26e3a00a</t>
        </is>
      </c>
      <c r="E522" t="inlineStr">
        <is>
          <t>inv_70140b585999</t>
        </is>
      </c>
      <c r="F522" t="n">
        <v>37275</v>
      </c>
      <c r="G522" t="inlineStr"/>
      <c r="H522" t="inlineStr">
        <is>
          <t>來源：單次型發票及收款紀錄 第 266 列</t>
        </is>
      </c>
      <c r="I522" t="inlineStr">
        <is>
          <t>2026-05-18</t>
        </is>
      </c>
    </row>
    <row r="523">
      <c r="A523" t="inlineStr">
        <is>
          <t>pay_7ae2d6b11314</t>
        </is>
      </c>
      <c r="B523" t="inlineStr">
        <is>
          <t>Cobi</t>
        </is>
      </c>
      <c r="C523" t="inlineStr">
        <is>
          <t>2025-07-31</t>
        </is>
      </c>
      <c r="D523" t="inlineStr">
        <is>
          <t>cus_7e5c26e3a00a</t>
        </is>
      </c>
      <c r="E523" t="inlineStr">
        <is>
          <t>inv_b7cf2f919dbb</t>
        </is>
      </c>
      <c r="F523" t="n">
        <v>36750</v>
      </c>
      <c r="G523" t="inlineStr"/>
      <c r="H523" t="inlineStr">
        <is>
          <t>來源：單次型發票及收款紀錄 第 267 列</t>
        </is>
      </c>
      <c r="I523" t="inlineStr">
        <is>
          <t>2026-05-18</t>
        </is>
      </c>
    </row>
    <row r="524">
      <c r="A524" t="inlineStr">
        <is>
          <t>pay_923b9f31eafa</t>
        </is>
      </c>
      <c r="B524" t="inlineStr">
        <is>
          <t>Cobi</t>
        </is>
      </c>
      <c r="C524" t="inlineStr">
        <is>
          <t>2025-07-31</t>
        </is>
      </c>
      <c r="D524" t="inlineStr">
        <is>
          <t>cus_7e5c26e3a00a</t>
        </is>
      </c>
      <c r="E524" t="inlineStr">
        <is>
          <t>inv_18c82232dfa3</t>
        </is>
      </c>
      <c r="F524" t="n">
        <v>75600</v>
      </c>
      <c r="G524" t="inlineStr"/>
      <c r="H524" t="inlineStr">
        <is>
          <t>來源：單次型發票及收款紀錄 第 268 列</t>
        </is>
      </c>
      <c r="I524" t="inlineStr">
        <is>
          <t>2026-05-18</t>
        </is>
      </c>
    </row>
    <row r="525">
      <c r="A525" t="inlineStr">
        <is>
          <t>pay_82b9548b7bd9</t>
        </is>
      </c>
      <c r="B525" t="inlineStr">
        <is>
          <t>Peggy</t>
        </is>
      </c>
      <c r="C525" t="inlineStr">
        <is>
          <t>2025-12-01</t>
        </is>
      </c>
      <c r="D525" t="inlineStr">
        <is>
          <t>cus_41dc0723f069</t>
        </is>
      </c>
      <c r="E525" t="inlineStr">
        <is>
          <t>inv_f0550e4c23fc</t>
        </is>
      </c>
      <c r="F525" t="n">
        <v>44100</v>
      </c>
      <c r="G525" t="inlineStr"/>
      <c r="H525" t="inlineStr">
        <is>
          <t>來源：單次型發票及收款紀錄 第 269 列</t>
        </is>
      </c>
      <c r="I525" t="inlineStr">
        <is>
          <t>2026-05-18</t>
        </is>
      </c>
    </row>
    <row r="526">
      <c r="A526" t="inlineStr">
        <is>
          <t>pay_be2b4019a277</t>
        </is>
      </c>
      <c r="B526" t="inlineStr">
        <is>
          <t>Cobi</t>
        </is>
      </c>
      <c r="C526" t="inlineStr">
        <is>
          <t>2025-06-12</t>
        </is>
      </c>
      <c r="D526" t="inlineStr">
        <is>
          <t>cus_9bf4e5d4c066</t>
        </is>
      </c>
      <c r="E526" t="inlineStr">
        <is>
          <t>inv_8f5f20f8ad32</t>
        </is>
      </c>
      <c r="F526" t="n">
        <v>31500</v>
      </c>
      <c r="G526" t="inlineStr"/>
      <c r="H526" t="inlineStr">
        <is>
          <t>來源：單次型發票及收款紀錄 第 270 列</t>
        </is>
      </c>
      <c r="I526" t="inlineStr">
        <is>
          <t>2026-05-18</t>
        </is>
      </c>
    </row>
    <row r="527">
      <c r="A527" t="inlineStr">
        <is>
          <t>pay_bc37f82bed8b</t>
        </is>
      </c>
      <c r="B527" t="inlineStr">
        <is>
          <t>Kate</t>
        </is>
      </c>
      <c r="C527" t="inlineStr">
        <is>
          <t>2025-10-31</t>
        </is>
      </c>
      <c r="D527" t="inlineStr">
        <is>
          <t>cus_53be4ec64b37</t>
        </is>
      </c>
      <c r="E527" t="inlineStr">
        <is>
          <t>inv_7c636564d64d</t>
        </is>
      </c>
      <c r="F527" t="n">
        <v>47250</v>
      </c>
      <c r="G527" t="inlineStr"/>
      <c r="H527" t="inlineStr">
        <is>
          <t>來源：單次型發票及收款紀錄 第 271 列</t>
        </is>
      </c>
      <c r="I527" t="inlineStr">
        <is>
          <t>2026-05-18</t>
        </is>
      </c>
    </row>
    <row r="528">
      <c r="A528" t="inlineStr">
        <is>
          <t>pay_2e23234816a7</t>
        </is>
      </c>
      <c r="B528" t="inlineStr">
        <is>
          <t>Kate</t>
        </is>
      </c>
      <c r="C528" t="inlineStr">
        <is>
          <t>2025-12-31</t>
        </is>
      </c>
      <c r="D528" t="inlineStr">
        <is>
          <t>cus_53be4ec64b37</t>
        </is>
      </c>
      <c r="E528" t="inlineStr">
        <is>
          <t>inv_06fcc0586ff5</t>
        </is>
      </c>
      <c r="F528" t="n">
        <v>54600</v>
      </c>
      <c r="G528" t="inlineStr"/>
      <c r="H528" t="inlineStr">
        <is>
          <t>來源：單次型發票及收款紀錄 第 272 列</t>
        </is>
      </c>
      <c r="I528" t="inlineStr">
        <is>
          <t>2026-05-18</t>
        </is>
      </c>
    </row>
    <row r="529">
      <c r="A529" t="inlineStr">
        <is>
          <t>pay_1d5925de929e</t>
        </is>
      </c>
      <c r="B529" t="inlineStr">
        <is>
          <t>Cobi</t>
        </is>
      </c>
      <c r="C529" t="inlineStr">
        <is>
          <t>2024-12-31</t>
        </is>
      </c>
      <c r="D529" t="inlineStr">
        <is>
          <t>cus_398d7208bbd0</t>
        </is>
      </c>
      <c r="E529" t="inlineStr">
        <is>
          <t>inv_a0b4509e95a6</t>
        </is>
      </c>
      <c r="F529" t="n">
        <v>105000</v>
      </c>
      <c r="G529" t="inlineStr"/>
      <c r="H529" t="inlineStr">
        <is>
          <t>來源：單次型發票及收款紀錄 第 273 列</t>
        </is>
      </c>
      <c r="I529" t="inlineStr">
        <is>
          <t>2026-05-18</t>
        </is>
      </c>
    </row>
    <row r="530">
      <c r="A530" t="inlineStr">
        <is>
          <t>pay_4b6a435bc752</t>
        </is>
      </c>
      <c r="B530" t="inlineStr">
        <is>
          <t>Cobi</t>
        </is>
      </c>
      <c r="C530" t="inlineStr">
        <is>
          <t>2025-07-31</t>
        </is>
      </c>
      <c r="D530" t="inlineStr">
        <is>
          <t>cus_398d7208bbd0</t>
        </is>
      </c>
      <c r="E530" t="inlineStr">
        <is>
          <t>inv_ded1fd4e0a66</t>
        </is>
      </c>
      <c r="F530" t="n">
        <v>3255</v>
      </c>
      <c r="G530" t="inlineStr"/>
      <c r="H530" t="inlineStr">
        <is>
          <t>來源：單次型發票及收款紀錄 第 274 列</t>
        </is>
      </c>
      <c r="I530" t="inlineStr">
        <is>
          <t>2026-05-18</t>
        </is>
      </c>
    </row>
    <row r="531">
      <c r="A531" t="inlineStr">
        <is>
          <t>pay_81a272c1eae5</t>
        </is>
      </c>
      <c r="B531" t="inlineStr">
        <is>
          <t>Cobi</t>
        </is>
      </c>
      <c r="C531" t="inlineStr">
        <is>
          <t>2025-07-07</t>
        </is>
      </c>
      <c r="D531" t="inlineStr">
        <is>
          <t>cus_3816722e3e66</t>
        </is>
      </c>
      <c r="E531" t="inlineStr">
        <is>
          <t>inv_556756c65ff5</t>
        </is>
      </c>
      <c r="F531" t="n">
        <v>151200</v>
      </c>
      <c r="G531" t="inlineStr"/>
      <c r="H531" t="inlineStr">
        <is>
          <t>來源：單次型發票及收款紀錄 第 276 列</t>
        </is>
      </c>
      <c r="I531" t="inlineStr">
        <is>
          <t>2026-05-18</t>
        </is>
      </c>
    </row>
    <row r="532">
      <c r="A532" t="inlineStr">
        <is>
          <t>pay_cd93ccbf76c6</t>
        </is>
      </c>
      <c r="B532" t="inlineStr">
        <is>
          <t>Cobi</t>
        </is>
      </c>
      <c r="C532" t="inlineStr">
        <is>
          <t>2025-08-20</t>
        </is>
      </c>
      <c r="D532" t="inlineStr">
        <is>
          <t>cus_3816722e3e66</t>
        </is>
      </c>
      <c r="E532" t="inlineStr">
        <is>
          <t>inv_763ff2ddeb2e</t>
        </is>
      </c>
      <c r="F532" t="n">
        <v>977760</v>
      </c>
      <c r="G532" t="inlineStr"/>
      <c r="H532" t="inlineStr">
        <is>
          <t>來源：單次型發票及收款紀錄 第 277 列</t>
        </is>
      </c>
      <c r="I532" t="inlineStr">
        <is>
          <t>2026-05-18</t>
        </is>
      </c>
    </row>
    <row r="533">
      <c r="A533" t="inlineStr">
        <is>
          <t>pay_f427923113fe</t>
        </is>
      </c>
      <c r="B533" t="inlineStr">
        <is>
          <t>Cobi</t>
        </is>
      </c>
      <c r="C533" t="inlineStr">
        <is>
          <t>2025-08-05</t>
        </is>
      </c>
      <c r="D533" t="inlineStr">
        <is>
          <t>cus_3816722e3e66</t>
        </is>
      </c>
      <c r="E533" t="inlineStr">
        <is>
          <t>inv_bdba37915f85</t>
        </is>
      </c>
      <c r="F533" t="n">
        <v>201600</v>
      </c>
      <c r="G533" t="inlineStr"/>
      <c r="H533" t="inlineStr">
        <is>
          <t>來源：單次型發票及收款紀錄 第 278 列</t>
        </is>
      </c>
      <c r="I533" t="inlineStr">
        <is>
          <t>2026-05-18</t>
        </is>
      </c>
    </row>
    <row r="534">
      <c r="A534" t="inlineStr">
        <is>
          <t>pay_836fb7fec508</t>
        </is>
      </c>
      <c r="B534" t="inlineStr">
        <is>
          <t>Cobi</t>
        </is>
      </c>
      <c r="C534" t="inlineStr">
        <is>
          <t>2025-12-22</t>
        </is>
      </c>
      <c r="D534" t="inlineStr">
        <is>
          <t>cus_3816722e3e66</t>
        </is>
      </c>
      <c r="E534" t="inlineStr">
        <is>
          <t>inv_c9c556712bd2</t>
        </is>
      </c>
      <c r="F534" t="n">
        <v>733320</v>
      </c>
      <c r="G534" t="inlineStr"/>
      <c r="H534" t="inlineStr">
        <is>
          <t>來源：單次型發票及收款紀錄 第 279 列</t>
        </is>
      </c>
      <c r="I534" t="inlineStr">
        <is>
          <t>2026-05-18</t>
        </is>
      </c>
    </row>
    <row r="535">
      <c r="A535" t="inlineStr">
        <is>
          <t>pay_98eb39ada5c5</t>
        </is>
      </c>
      <c r="B535" t="inlineStr">
        <is>
          <t>Cobi</t>
        </is>
      </c>
      <c r="C535" t="inlineStr">
        <is>
          <t>*****</t>
        </is>
      </c>
      <c r="D535" t="inlineStr">
        <is>
          <t>cus_3816722e3e66</t>
        </is>
      </c>
      <c r="E535" t="inlineStr">
        <is>
          <t>inv_9483f007e2ef</t>
        </is>
      </c>
      <c r="F535" t="n">
        <v>1179360</v>
      </c>
      <c r="G535" t="inlineStr"/>
      <c r="H535" t="inlineStr">
        <is>
          <t>來源：單次型發票及收款紀錄 第 280 列</t>
        </is>
      </c>
      <c r="I535" t="inlineStr">
        <is>
          <t>2026-05-18</t>
        </is>
      </c>
    </row>
    <row r="536">
      <c r="A536" t="inlineStr">
        <is>
          <t>pay_eaaf3a3849a3</t>
        </is>
      </c>
      <c r="B536" t="inlineStr">
        <is>
          <t>Cobi</t>
        </is>
      </c>
      <c r="C536" t="inlineStr">
        <is>
          <t>2025-12-22</t>
        </is>
      </c>
      <c r="D536" t="inlineStr">
        <is>
          <t>cus_3816722e3e66</t>
        </is>
      </c>
      <c r="E536" t="inlineStr">
        <is>
          <t>inv_448d6c9e7cd7</t>
        </is>
      </c>
      <c r="F536" t="n">
        <v>151200</v>
      </c>
      <c r="G536" t="inlineStr"/>
      <c r="H536" t="inlineStr">
        <is>
          <t>來源：單次型發票及收款紀錄 第 281 列</t>
        </is>
      </c>
      <c r="I536" t="inlineStr">
        <is>
          <t>2026-05-18</t>
        </is>
      </c>
    </row>
    <row r="537">
      <c r="A537" t="inlineStr">
        <is>
          <t>pay_22a4bf13c19f</t>
        </is>
      </c>
      <c r="B537" t="inlineStr">
        <is>
          <t>Cobi</t>
        </is>
      </c>
      <c r="C537" t="inlineStr">
        <is>
          <t>2025-10-07</t>
        </is>
      </c>
      <c r="D537" t="inlineStr">
        <is>
          <t>cus_3816722e3e66</t>
        </is>
      </c>
      <c r="E537" t="inlineStr">
        <is>
          <t>inv_66b18c1a81b8</t>
        </is>
      </c>
      <c r="F537" t="n">
        <v>86100</v>
      </c>
      <c r="G537" t="inlineStr"/>
      <c r="H537" t="inlineStr">
        <is>
          <t>來源：單次型發票及收款紀錄 第 282 列</t>
        </is>
      </c>
      <c r="I537" t="inlineStr">
        <is>
          <t>2026-05-18</t>
        </is>
      </c>
    </row>
    <row r="538">
      <c r="A538" t="inlineStr">
        <is>
          <t>pay_bf3d849666fe</t>
        </is>
      </c>
      <c r="B538" t="inlineStr">
        <is>
          <t>Cobi</t>
        </is>
      </c>
      <c r="C538" t="inlineStr">
        <is>
          <t>2025-10-07</t>
        </is>
      </c>
      <c r="D538" t="inlineStr">
        <is>
          <t>cus_3816722e3e66</t>
        </is>
      </c>
      <c r="E538" t="inlineStr">
        <is>
          <t>inv_1ae670a4c005</t>
        </is>
      </c>
      <c r="F538" t="n">
        <v>50400</v>
      </c>
      <c r="G538" t="inlineStr"/>
      <c r="H538" t="inlineStr">
        <is>
          <t>來源：單次型發票及收款紀錄 第 283 列</t>
        </is>
      </c>
      <c r="I538" t="inlineStr">
        <is>
          <t>2026-05-18</t>
        </is>
      </c>
    </row>
    <row r="539">
      <c r="A539" t="inlineStr">
        <is>
          <t>pay_65a04d1b96be</t>
        </is>
      </c>
      <c r="B539" t="inlineStr">
        <is>
          <t>Cobi</t>
        </is>
      </c>
      <c r="C539" t="inlineStr">
        <is>
          <t>2025-10-20</t>
        </is>
      </c>
      <c r="D539" t="inlineStr">
        <is>
          <t>cus_3816722e3e66</t>
        </is>
      </c>
      <c r="E539" t="inlineStr">
        <is>
          <t>inv_1c5e2d9f5e61</t>
        </is>
      </c>
      <c r="F539" t="n">
        <v>94500</v>
      </c>
      <c r="G539" t="inlineStr"/>
      <c r="H539" t="inlineStr">
        <is>
          <t>來源：單次型發票及收款紀錄 第 284 列</t>
        </is>
      </c>
      <c r="I539" t="inlineStr">
        <is>
          <t>2026-05-18</t>
        </is>
      </c>
    </row>
    <row r="540">
      <c r="A540" t="inlineStr">
        <is>
          <t>pay_b87bf227862e</t>
        </is>
      </c>
      <c r="B540" t="inlineStr">
        <is>
          <t>Cobi</t>
        </is>
      </c>
      <c r="C540" t="inlineStr">
        <is>
          <t>2025-10-20</t>
        </is>
      </c>
      <c r="D540" t="inlineStr">
        <is>
          <t>cus_3816722e3e66</t>
        </is>
      </c>
      <c r="E540" t="inlineStr">
        <is>
          <t>inv_dfcf5bb6b984</t>
        </is>
      </c>
      <c r="F540" t="n">
        <v>86100</v>
      </c>
      <c r="G540" t="inlineStr"/>
      <c r="H540" t="inlineStr">
        <is>
          <t>來源：單次型發票及收款紀錄 第 285 列</t>
        </is>
      </c>
      <c r="I540" t="inlineStr">
        <is>
          <t>2026-05-18</t>
        </is>
      </c>
    </row>
    <row r="541">
      <c r="A541" t="inlineStr">
        <is>
          <t>pay_deab5439badf</t>
        </is>
      </c>
      <c r="B541" t="inlineStr">
        <is>
          <t>Cobi</t>
        </is>
      </c>
      <c r="C541" t="inlineStr">
        <is>
          <t>2025-11-20</t>
        </is>
      </c>
      <c r="D541" t="inlineStr">
        <is>
          <t>cus_3816722e3e66</t>
        </is>
      </c>
      <c r="E541" t="inlineStr">
        <is>
          <t>inv_22e9113d1f5b</t>
        </is>
      </c>
      <c r="F541" t="n">
        <v>94500</v>
      </c>
      <c r="G541" t="inlineStr"/>
      <c r="H541" t="inlineStr">
        <is>
          <t>來源：單次型發票及收款紀錄 第 286 列</t>
        </is>
      </c>
      <c r="I541" t="inlineStr">
        <is>
          <t>2026-05-18</t>
        </is>
      </c>
    </row>
    <row r="542">
      <c r="A542" t="inlineStr">
        <is>
          <t>pay_0f9e376bdcb1</t>
        </is>
      </c>
      <c r="B542" t="inlineStr">
        <is>
          <t>Cobi</t>
        </is>
      </c>
      <c r="C542" t="inlineStr">
        <is>
          <t>2025-11-20</t>
        </is>
      </c>
      <c r="D542" t="inlineStr">
        <is>
          <t>cus_3816722e3e66</t>
        </is>
      </c>
      <c r="E542" t="inlineStr">
        <is>
          <t>inv_3f609c797b9d</t>
        </is>
      </c>
      <c r="F542" t="n">
        <v>86100</v>
      </c>
      <c r="G542" t="inlineStr"/>
      <c r="H542" t="inlineStr">
        <is>
          <t>來源：單次型發票及收款紀錄 第 287 列</t>
        </is>
      </c>
      <c r="I542" t="inlineStr">
        <is>
          <t>2026-05-18</t>
        </is>
      </c>
    </row>
    <row r="543">
      <c r="A543" t="inlineStr">
        <is>
          <t>pay_da1e8c0308c4</t>
        </is>
      </c>
      <c r="B543" t="inlineStr">
        <is>
          <t>Erin</t>
        </is>
      </c>
      <c r="C543" t="inlineStr">
        <is>
          <t>2025-03-03</t>
        </is>
      </c>
      <c r="D543" t="inlineStr">
        <is>
          <t>cus_8e2c1e861768</t>
        </is>
      </c>
      <c r="E543" t="inlineStr">
        <is>
          <t>inv_e2eddc3cfa50</t>
        </is>
      </c>
      <c r="F543" t="n">
        <v>19950</v>
      </c>
      <c r="G543" t="inlineStr"/>
      <c r="H543" t="inlineStr">
        <is>
          <t>來源：單次型發票及收款紀錄 第 288 列</t>
        </is>
      </c>
      <c r="I543" t="inlineStr">
        <is>
          <t>2026-05-18</t>
        </is>
      </c>
    </row>
    <row r="544">
      <c r="A544" t="inlineStr">
        <is>
          <t>pay_7e66c3f6b4fb</t>
        </is>
      </c>
      <c r="B544" t="inlineStr">
        <is>
          <t>劉泳成</t>
        </is>
      </c>
      <c r="C544" t="inlineStr">
        <is>
          <t>2025-02-17</t>
        </is>
      </c>
      <c r="D544" t="inlineStr">
        <is>
          <t>cus_e47cc067a54d</t>
        </is>
      </c>
      <c r="E544" t="inlineStr">
        <is>
          <t>inv_48d6a84908a2</t>
        </is>
      </c>
      <c r="F544" t="n">
        <v>184800</v>
      </c>
      <c r="G544" t="inlineStr"/>
      <c r="H544" t="inlineStr">
        <is>
          <t>來源：單次型發票及收款紀錄 第 289 列</t>
        </is>
      </c>
      <c r="I544" t="inlineStr">
        <is>
          <t>2026-05-18</t>
        </is>
      </c>
    </row>
    <row r="545">
      <c r="A545" t="inlineStr">
        <is>
          <t>pay_8ee334c4017f</t>
        </is>
      </c>
      <c r="B545" t="inlineStr">
        <is>
          <t>黃思睿</t>
        </is>
      </c>
      <c r="C545" t="inlineStr">
        <is>
          <t>2023-12-07</t>
        </is>
      </c>
      <c r="D545" t="inlineStr">
        <is>
          <t>cus_1133b1c53784</t>
        </is>
      </c>
      <c r="E545" t="inlineStr">
        <is>
          <t>inv_ef7c9603c6e2</t>
        </is>
      </c>
      <c r="F545" t="n">
        <v>945</v>
      </c>
      <c r="G545" t="inlineStr"/>
      <c r="H545" t="inlineStr">
        <is>
          <t>來源：單次型發票及收款紀錄 第 290 列</t>
        </is>
      </c>
      <c r="I545" t="inlineStr">
        <is>
          <t>2026-05-18</t>
        </is>
      </c>
    </row>
    <row r="546">
      <c r="A546" t="inlineStr">
        <is>
          <t>pay_da5a6a93310e</t>
        </is>
      </c>
      <c r="B546" t="inlineStr">
        <is>
          <t>黃思睿</t>
        </is>
      </c>
      <c r="C546" t="inlineStr">
        <is>
          <t>2023-12-26</t>
        </is>
      </c>
      <c r="D546" t="inlineStr">
        <is>
          <t>cus_1133b1c53784</t>
        </is>
      </c>
      <c r="E546" t="inlineStr">
        <is>
          <t>inv_593d9ad94f6b</t>
        </is>
      </c>
      <c r="F546" t="n">
        <v>315</v>
      </c>
      <c r="G546" t="inlineStr"/>
      <c r="H546" t="inlineStr">
        <is>
          <t>來源：單次型發票及收款紀錄 第 291 列</t>
        </is>
      </c>
      <c r="I546" t="inlineStr">
        <is>
          <t>2026-05-18</t>
        </is>
      </c>
    </row>
    <row r="547">
      <c r="A547" t="inlineStr">
        <is>
          <t>pay_35ea96418a07</t>
        </is>
      </c>
      <c r="B547" t="inlineStr">
        <is>
          <t>Peggy</t>
        </is>
      </c>
      <c r="C547" t="inlineStr">
        <is>
          <t>2025-10-13</t>
        </is>
      </c>
      <c r="D547" t="inlineStr">
        <is>
          <t>cus_add08fd38101</t>
        </is>
      </c>
      <c r="E547" t="inlineStr">
        <is>
          <t>inv_d6a45955f85c</t>
        </is>
      </c>
      <c r="F547" t="n">
        <v>63000</v>
      </c>
      <c r="G547" t="inlineStr"/>
      <c r="H547" t="inlineStr">
        <is>
          <t>來源：單次型發票及收款紀錄 第 292 列</t>
        </is>
      </c>
      <c r="I547" t="inlineStr">
        <is>
          <t>2026-05-18</t>
        </is>
      </c>
    </row>
    <row r="548">
      <c r="A548" t="inlineStr">
        <is>
          <t>pay_5a9634a23bdb</t>
        </is>
      </c>
      <c r="B548" t="inlineStr">
        <is>
          <t>Kate</t>
        </is>
      </c>
      <c r="C548" t="inlineStr">
        <is>
          <t>2025-10-02</t>
        </is>
      </c>
      <c r="D548" t="inlineStr">
        <is>
          <t>cus_7d5213d1db43</t>
        </is>
      </c>
      <c r="E548" t="inlineStr">
        <is>
          <t>inv_180a3e24e267</t>
        </is>
      </c>
      <c r="F548" t="n">
        <v>37800</v>
      </c>
      <c r="G548" t="inlineStr"/>
      <c r="H548" t="inlineStr">
        <is>
          <t>來源：單次型發票及收款紀錄 第 293 列</t>
        </is>
      </c>
      <c r="I548" t="inlineStr">
        <is>
          <t>2026-05-18</t>
        </is>
      </c>
    </row>
    <row r="549">
      <c r="A549" t="inlineStr">
        <is>
          <t>pay_d718495d7685</t>
        </is>
      </c>
      <c r="B549" t="inlineStr">
        <is>
          <t>Maggie</t>
        </is>
      </c>
      <c r="C549" t="inlineStr">
        <is>
          <t>2025-04-02</t>
        </is>
      </c>
      <c r="D549" t="inlineStr">
        <is>
          <t>cus_8ef8663fbfb8</t>
        </is>
      </c>
      <c r="E549" t="inlineStr">
        <is>
          <t>inv_7d5c51ebc15e</t>
        </is>
      </c>
      <c r="F549" t="n">
        <v>9300</v>
      </c>
      <c r="G549" t="inlineStr"/>
      <c r="H549" t="inlineStr">
        <is>
          <t>來源：單次型發票及收款紀錄 第 294 列</t>
        </is>
      </c>
      <c r="I549" t="inlineStr">
        <is>
          <t>2026-05-18</t>
        </is>
      </c>
    </row>
    <row r="550">
      <c r="A550" t="inlineStr">
        <is>
          <t>pay_695507ea49ea</t>
        </is>
      </c>
      <c r="B550" t="inlineStr">
        <is>
          <t>Maggie</t>
        </is>
      </c>
      <c r="C550" t="inlineStr">
        <is>
          <t>2025-04-02</t>
        </is>
      </c>
      <c r="D550" t="inlineStr">
        <is>
          <t>cus_8ef8663fbfb8</t>
        </is>
      </c>
      <c r="E550" t="inlineStr">
        <is>
          <t>inv_4beb90ca4513</t>
        </is>
      </c>
      <c r="F550" t="n">
        <v>9300</v>
      </c>
      <c r="G550" t="inlineStr"/>
      <c r="H550" t="inlineStr">
        <is>
          <t>來源：單次型發票及收款紀錄 第 299 列</t>
        </is>
      </c>
      <c r="I550" t="inlineStr">
        <is>
          <t>2026-05-18</t>
        </is>
      </c>
    </row>
    <row r="551">
      <c r="A551" t="inlineStr">
        <is>
          <t>pay_1c29a5c26ee8</t>
        </is>
      </c>
      <c r="B551" t="inlineStr">
        <is>
          <t>Cobi</t>
        </is>
      </c>
      <c r="C551" t="inlineStr">
        <is>
          <t>2026-01-20</t>
        </is>
      </c>
      <c r="D551" t="inlineStr">
        <is>
          <t>cus_3816722e3e66</t>
        </is>
      </c>
      <c r="E551" t="inlineStr">
        <is>
          <t>inv_9a493cffc223</t>
        </is>
      </c>
      <c r="F551" t="n">
        <v>114000</v>
      </c>
      <c r="G551" t="inlineStr"/>
      <c r="H551" t="inlineStr">
        <is>
          <t>來源：單次型發票及收款紀錄 第 302 列</t>
        </is>
      </c>
      <c r="I551" t="inlineStr">
        <is>
          <t>2026-05-18</t>
        </is>
      </c>
    </row>
    <row r="552">
      <c r="A552" t="inlineStr">
        <is>
          <t>pay_8c1e235212c5</t>
        </is>
      </c>
      <c r="B552" t="inlineStr">
        <is>
          <t>Kate</t>
        </is>
      </c>
      <c r="C552" t="inlineStr">
        <is>
          <t>2026-02-02</t>
        </is>
      </c>
      <c r="D552" t="inlineStr">
        <is>
          <t>cus_00cf1d9fc303</t>
        </is>
      </c>
      <c r="E552" t="inlineStr">
        <is>
          <t>inv_e41b3be1f50e</t>
        </is>
      </c>
      <c r="F552" t="n">
        <v>52500</v>
      </c>
      <c r="G552" t="inlineStr"/>
      <c r="H552" t="inlineStr">
        <is>
          <t>來源：單次型發票及收款紀錄 第 303 列</t>
        </is>
      </c>
      <c r="I552" t="inlineStr">
        <is>
          <t>2026-05-18</t>
        </is>
      </c>
    </row>
    <row r="553">
      <c r="A553" t="inlineStr">
        <is>
          <t>pay_485b21c986f4</t>
        </is>
      </c>
      <c r="B553" t="inlineStr">
        <is>
          <t>Erin</t>
        </is>
      </c>
      <c r="C553" t="inlineStr">
        <is>
          <t>2026-03-02</t>
        </is>
      </c>
      <c r="D553" t="inlineStr">
        <is>
          <t>cus_d70917d65656</t>
        </is>
      </c>
      <c r="E553" t="inlineStr">
        <is>
          <t>inv_d9bb9daa96e9</t>
        </is>
      </c>
      <c r="F553" t="n">
        <v>5250</v>
      </c>
      <c r="G553" t="inlineStr"/>
      <c r="H553" t="inlineStr">
        <is>
          <t>來源：單次型發票及收款紀錄 第 305 列</t>
        </is>
      </c>
      <c r="I553" t="inlineStr">
        <is>
          <t>2026-05-18</t>
        </is>
      </c>
    </row>
    <row r="554">
      <c r="A554" t="inlineStr">
        <is>
          <t>pay_544bff4e1c91</t>
        </is>
      </c>
      <c r="B554" t="inlineStr">
        <is>
          <t>Erin</t>
        </is>
      </c>
      <c r="C554" t="inlineStr">
        <is>
          <t>2026-03-02</t>
        </is>
      </c>
      <c r="D554" t="inlineStr">
        <is>
          <t>cus_d70917d65656</t>
        </is>
      </c>
      <c r="E554" t="inlineStr">
        <is>
          <t>inv_4e88bba9c3cf</t>
        </is>
      </c>
      <c r="F554" t="n">
        <v>42000</v>
      </c>
      <c r="G554" t="inlineStr"/>
      <c r="H554" t="inlineStr">
        <is>
          <t>來源：單次型發票及收款紀錄 第 306 列</t>
        </is>
      </c>
      <c r="I554" t="inlineStr">
        <is>
          <t>2026-05-18</t>
        </is>
      </c>
    </row>
    <row r="555">
      <c r="A555" t="inlineStr">
        <is>
          <t>pay_8c92f38c3049</t>
        </is>
      </c>
      <c r="B555" t="inlineStr">
        <is>
          <t>Erin</t>
        </is>
      </c>
      <c r="C555" t="inlineStr">
        <is>
          <t>2026-01-29</t>
        </is>
      </c>
      <c r="D555" t="inlineStr">
        <is>
          <t>cus_056fa47ed237</t>
        </is>
      </c>
      <c r="E555" t="inlineStr">
        <is>
          <t>inv_75010d66cb1d</t>
        </is>
      </c>
      <c r="F555" t="n">
        <v>128000</v>
      </c>
      <c r="G555" t="inlineStr"/>
      <c r="H555" t="inlineStr">
        <is>
          <t>來源：單次型發票及收款紀錄 第 307 列</t>
        </is>
      </c>
      <c r="I555" t="inlineStr">
        <is>
          <t>2026-05-18</t>
        </is>
      </c>
    </row>
    <row r="556">
      <c r="A556" t="inlineStr">
        <is>
          <t>pay_4cbdb28ebdfa</t>
        </is>
      </c>
      <c r="B556" t="inlineStr">
        <is>
          <t>Kate</t>
        </is>
      </c>
      <c r="C556" t="inlineStr">
        <is>
          <t>2026-02-05</t>
        </is>
      </c>
      <c r="D556" t="inlineStr">
        <is>
          <t>cus_e47cc067a54d</t>
        </is>
      </c>
      <c r="E556" t="inlineStr">
        <is>
          <t>inv_0a6f9c7bc042</t>
        </is>
      </c>
      <c r="F556" t="n">
        <v>210000</v>
      </c>
      <c r="G556" t="inlineStr"/>
      <c r="H556" t="inlineStr">
        <is>
          <t>來源：單次型發票及收款紀錄 第 308 列</t>
        </is>
      </c>
      <c r="I556" t="inlineStr">
        <is>
          <t>2026-05-18</t>
        </is>
      </c>
    </row>
    <row r="557">
      <c r="A557" t="inlineStr">
        <is>
          <t>pay_744652fc5003</t>
        </is>
      </c>
      <c r="B557" t="inlineStr">
        <is>
          <t>Stanley</t>
        </is>
      </c>
      <c r="C557" t="inlineStr">
        <is>
          <t>2026-01-26</t>
        </is>
      </c>
      <c r="D557" t="inlineStr">
        <is>
          <t>cus_bdd658582436</t>
        </is>
      </c>
      <c r="E557" t="inlineStr">
        <is>
          <t>inv_00c6772a7ab4</t>
        </is>
      </c>
      <c r="F557" t="n">
        <v>28492</v>
      </c>
      <c r="G557" t="inlineStr"/>
      <c r="H557" t="inlineStr">
        <is>
          <t>來源：單次型發票及收款紀錄 第 309 列</t>
        </is>
      </c>
      <c r="I557" t="inlineStr">
        <is>
          <t>2026-05-18</t>
        </is>
      </c>
    </row>
    <row r="558">
      <c r="A558" t="inlineStr">
        <is>
          <t>pay_d66caed2fb99</t>
        </is>
      </c>
      <c r="B558" t="inlineStr">
        <is>
          <t>Stanley</t>
        </is>
      </c>
      <c r="C558" t="inlineStr">
        <is>
          <t>2026-02-02</t>
        </is>
      </c>
      <c r="D558" t="inlineStr">
        <is>
          <t>cus_bdd658582436</t>
        </is>
      </c>
      <c r="E558" t="inlineStr">
        <is>
          <t>inv_33248c08328d</t>
        </is>
      </c>
      <c r="F558" t="n">
        <v>4194</v>
      </c>
      <c r="G558" t="inlineStr"/>
      <c r="H558" t="inlineStr">
        <is>
          <t>來源：單次型發票及收款紀錄 第 310 列</t>
        </is>
      </c>
      <c r="I558" t="inlineStr">
        <is>
          <t>2026-05-18</t>
        </is>
      </c>
    </row>
    <row r="559">
      <c r="A559" t="inlineStr">
        <is>
          <t>pay_20ff25840968</t>
        </is>
      </c>
      <c r="B559" t="inlineStr">
        <is>
          <t>Cobi</t>
        </is>
      </c>
      <c r="C559" t="inlineStr">
        <is>
          <t>2025-12-26</t>
        </is>
      </c>
      <c r="D559" t="inlineStr">
        <is>
          <t>cus_2397e7849eba</t>
        </is>
      </c>
      <c r="E559" t="inlineStr">
        <is>
          <t>inv_b72ccd29aaa0</t>
        </is>
      </c>
      <c r="F559" t="n">
        <v>60000</v>
      </c>
      <c r="G559" t="inlineStr"/>
      <c r="H559" t="inlineStr">
        <is>
          <t>來源：單次型發票及收款紀錄 第 311 列</t>
        </is>
      </c>
      <c r="I559" t="inlineStr">
        <is>
          <t>2026-05-18</t>
        </is>
      </c>
    </row>
    <row r="560">
      <c r="A560" t="inlineStr">
        <is>
          <t>pay_6c4e2cd0ec73</t>
        </is>
      </c>
      <c r="B560" t="inlineStr">
        <is>
          <t>Peggy</t>
        </is>
      </c>
      <c r="C560" t="inlineStr">
        <is>
          <t>2026-01-15</t>
        </is>
      </c>
      <c r="D560" t="inlineStr">
        <is>
          <t>cus_c5dc9d1310ce</t>
        </is>
      </c>
      <c r="E560" t="inlineStr">
        <is>
          <t>inv_5fdc7deb7070</t>
        </is>
      </c>
      <c r="F560" t="n">
        <v>112875</v>
      </c>
      <c r="G560" t="inlineStr"/>
      <c r="H560" t="inlineStr">
        <is>
          <t>來源：單次型發票及收款紀錄 第 312 列</t>
        </is>
      </c>
      <c r="I560" t="inlineStr">
        <is>
          <t>2026-05-18</t>
        </is>
      </c>
    </row>
    <row r="561">
      <c r="A561" t="inlineStr">
        <is>
          <t>pay_2e620a9a3ec1</t>
        </is>
      </c>
      <c r="B561" t="inlineStr">
        <is>
          <t>Kate</t>
        </is>
      </c>
      <c r="C561" t="inlineStr">
        <is>
          <t>2026-02-02</t>
        </is>
      </c>
      <c r="D561" t="inlineStr">
        <is>
          <t>cus_00cf1d9fc303</t>
        </is>
      </c>
      <c r="E561" t="inlineStr">
        <is>
          <t>inv_05267dc5cde8</t>
        </is>
      </c>
      <c r="F561" t="n">
        <v>687500</v>
      </c>
      <c r="G561" t="inlineStr"/>
      <c r="H561" t="inlineStr">
        <is>
          <t>來源：單次型發票及收款紀錄 第 313 列</t>
        </is>
      </c>
      <c r="I561" t="inlineStr">
        <is>
          <t>2026-05-18</t>
        </is>
      </c>
    </row>
    <row r="562">
      <c r="A562" t="inlineStr">
        <is>
          <t>pay_c18a93739e8b</t>
        </is>
      </c>
      <c r="B562" t="inlineStr">
        <is>
          <t>Kate</t>
        </is>
      </c>
      <c r="C562" t="inlineStr">
        <is>
          <t>2026-03-31</t>
        </is>
      </c>
      <c r="D562" t="inlineStr">
        <is>
          <t>cus_11ce6c1312cf</t>
        </is>
      </c>
      <c r="E562" t="inlineStr">
        <is>
          <t>inv_febfc250131f</t>
        </is>
      </c>
      <c r="F562" t="n">
        <v>50400</v>
      </c>
      <c r="G562" t="inlineStr"/>
      <c r="H562" t="inlineStr">
        <is>
          <t>來源：單次型發票及收款紀錄 第 314 列</t>
        </is>
      </c>
      <c r="I562" t="inlineStr">
        <is>
          <t>2026-05-18</t>
        </is>
      </c>
    </row>
    <row r="563">
      <c r="A563" t="inlineStr">
        <is>
          <t>pay_1657993f780e</t>
        </is>
      </c>
      <c r="B563" t="inlineStr">
        <is>
          <t>Peggy</t>
        </is>
      </c>
      <c r="C563" t="inlineStr">
        <is>
          <t>2026-01-23</t>
        </is>
      </c>
      <c r="D563" t="inlineStr">
        <is>
          <t>cus_a586aac3e559</t>
        </is>
      </c>
      <c r="E563" t="inlineStr">
        <is>
          <t>inv_7c525ad11c37</t>
        </is>
      </c>
      <c r="F563" t="n">
        <v>59970</v>
      </c>
      <c r="G563" t="inlineStr"/>
      <c r="H563" t="inlineStr">
        <is>
          <t>來源：單次型發票及收款紀錄 第 315 列</t>
        </is>
      </c>
      <c r="I563" t="inlineStr">
        <is>
          <t>2026-05-18</t>
        </is>
      </c>
    </row>
    <row r="564">
      <c r="A564" t="inlineStr">
        <is>
          <t>pay_dbe9fb095f6f</t>
        </is>
      </c>
      <c r="B564" t="inlineStr">
        <is>
          <t>Cobi</t>
        </is>
      </c>
      <c r="C564" t="inlineStr">
        <is>
          <t>2026-01-12</t>
        </is>
      </c>
      <c r="D564" t="inlineStr">
        <is>
          <t>cus_2397e7849eba</t>
        </is>
      </c>
      <c r="E564" t="inlineStr">
        <is>
          <t>inv_3ab2f5dd1d42</t>
        </is>
      </c>
      <c r="F564" t="n">
        <v>210000</v>
      </c>
      <c r="G564" t="inlineStr"/>
      <c r="H564" t="inlineStr">
        <is>
          <t>來源：單次型發票及收款紀錄 第 316 列</t>
        </is>
      </c>
      <c r="I564" t="inlineStr">
        <is>
          <t>2026-05-18</t>
        </is>
      </c>
    </row>
    <row r="565">
      <c r="A565" t="inlineStr">
        <is>
          <t>pay_4dd8125f63e2</t>
        </is>
      </c>
      <c r="B565" t="inlineStr">
        <is>
          <t>Kate</t>
        </is>
      </c>
      <c r="C565" t="inlineStr">
        <is>
          <t>1/7作廢</t>
        </is>
      </c>
      <c r="D565" t="inlineStr">
        <is>
          <t>cus_e47cc067a54d</t>
        </is>
      </c>
      <c r="E565" t="inlineStr">
        <is>
          <t>inv_250b38038527</t>
        </is>
      </c>
      <c r="F565" t="n">
        <v>189000</v>
      </c>
      <c r="G565" t="inlineStr"/>
      <c r="H565" t="inlineStr">
        <is>
          <t>來源：單次型發票及收款紀錄 第 319 列</t>
        </is>
      </c>
      <c r="I565" t="inlineStr">
        <is>
          <t>2026-05-18</t>
        </is>
      </c>
    </row>
    <row r="566">
      <c r="A566" t="inlineStr">
        <is>
          <t>pay_43ecde80bb5f</t>
        </is>
      </c>
      <c r="B566" t="inlineStr">
        <is>
          <t>Peggy</t>
        </is>
      </c>
      <c r="C566" t="inlineStr">
        <is>
          <t>2025-12-31</t>
        </is>
      </c>
      <c r="D566" t="inlineStr">
        <is>
          <t>cus_9ad075234312</t>
        </is>
      </c>
      <c r="E566" t="inlineStr">
        <is>
          <t>inv_255629b93686</t>
        </is>
      </c>
      <c r="F566" t="n">
        <v>14000</v>
      </c>
      <c r="G566" t="inlineStr"/>
      <c r="H566" t="inlineStr">
        <is>
          <t>來源：單次型發票及收款紀錄 第 320 列</t>
        </is>
      </c>
      <c r="I566" t="inlineStr">
        <is>
          <t>2026-05-18</t>
        </is>
      </c>
    </row>
    <row r="567">
      <c r="A567" t="inlineStr">
        <is>
          <t>pay_99166da3133f</t>
        </is>
      </c>
      <c r="B567" t="inlineStr">
        <is>
          <t>Peggy</t>
        </is>
      </c>
      <c r="C567" t="inlineStr">
        <is>
          <t>2025-12-24</t>
        </is>
      </c>
      <c r="D567" t="inlineStr">
        <is>
          <t>cus_d37d7a6d8a4e</t>
        </is>
      </c>
      <c r="E567" t="inlineStr">
        <is>
          <t>inv_efae44f103eb</t>
        </is>
      </c>
      <c r="F567" t="n">
        <v>56700</v>
      </c>
      <c r="G567" t="inlineStr"/>
      <c r="H567" t="inlineStr">
        <is>
          <t>來源：單次型發票及收款紀錄 第 321 列</t>
        </is>
      </c>
      <c r="I567" t="inlineStr">
        <is>
          <t>2026-05-18</t>
        </is>
      </c>
    </row>
    <row r="568">
      <c r="A568" t="inlineStr">
        <is>
          <t>pay_b6747fd87e8a</t>
        </is>
      </c>
      <c r="B568" t="inlineStr">
        <is>
          <t>Stanley</t>
        </is>
      </c>
      <c r="C568" t="inlineStr">
        <is>
          <t>2026-02-25</t>
        </is>
      </c>
      <c r="D568" t="inlineStr">
        <is>
          <t>cus_9117758d2ff8</t>
        </is>
      </c>
      <c r="E568" t="inlineStr">
        <is>
          <t>inv_8a741258b766</t>
        </is>
      </c>
      <c r="F568" t="n">
        <v>500000</v>
      </c>
      <c r="G568" t="inlineStr"/>
      <c r="H568" t="inlineStr">
        <is>
          <t>來源：單次型發票及收款紀錄 第 322 列</t>
        </is>
      </c>
      <c r="I568" t="inlineStr">
        <is>
          <t>2026-05-18</t>
        </is>
      </c>
    </row>
    <row r="569">
      <c r="A569" t="inlineStr">
        <is>
          <t>pay_a9864951abfa</t>
        </is>
      </c>
      <c r="B569" t="inlineStr">
        <is>
          <t>Kate</t>
        </is>
      </c>
      <c r="C569" t="inlineStr">
        <is>
          <t>2026-03-02</t>
        </is>
      </c>
      <c r="D569" t="inlineStr">
        <is>
          <t>cus_ee0cc57cfefa</t>
        </is>
      </c>
      <c r="E569" t="inlineStr">
        <is>
          <t>inv_8a52310ba59c</t>
        </is>
      </c>
      <c r="F569" t="n">
        <v>105000</v>
      </c>
      <c r="G569" t="inlineStr"/>
      <c r="H569" t="inlineStr">
        <is>
          <t>來源：單次型發票及收款紀錄 第 323 列</t>
        </is>
      </c>
      <c r="I569" t="inlineStr">
        <is>
          <t>2026-05-18</t>
        </is>
      </c>
    </row>
    <row r="570">
      <c r="A570" t="inlineStr">
        <is>
          <t>pay_76b4d446092f</t>
        </is>
      </c>
      <c r="B570" t="inlineStr">
        <is>
          <t>Erin</t>
        </is>
      </c>
      <c r="C570" t="inlineStr">
        <is>
          <t>2026-04-01</t>
        </is>
      </c>
      <c r="D570" t="inlineStr">
        <is>
          <t>cus_769b585645b5</t>
        </is>
      </c>
      <c r="E570" t="inlineStr">
        <is>
          <t>inv_e719635a31cd</t>
        </is>
      </c>
      <c r="F570" t="n">
        <v>55650</v>
      </c>
      <c r="G570" t="inlineStr"/>
      <c r="H570" t="inlineStr">
        <is>
          <t>來源：單次型發票及收款紀錄 第 324 列</t>
        </is>
      </c>
      <c r="I570" t="inlineStr">
        <is>
          <t>2026-05-18</t>
        </is>
      </c>
    </row>
    <row r="571">
      <c r="A571" t="inlineStr">
        <is>
          <t>pay_93b12081000c</t>
        </is>
      </c>
      <c r="B571" t="inlineStr">
        <is>
          <t>Erin</t>
        </is>
      </c>
      <c r="C571" t="inlineStr">
        <is>
          <t>2026-04-01</t>
        </is>
      </c>
      <c r="D571" t="inlineStr">
        <is>
          <t>cus_769b585645b5</t>
        </is>
      </c>
      <c r="E571" t="inlineStr">
        <is>
          <t>inv_543624b2a787</t>
        </is>
      </c>
      <c r="F571" t="n">
        <v>5250</v>
      </c>
      <c r="G571" t="inlineStr"/>
      <c r="H571" t="inlineStr">
        <is>
          <t>來源：單次型發票及收款紀錄 第 325 列</t>
        </is>
      </c>
      <c r="I571" t="inlineStr">
        <is>
          <t>2026-05-18</t>
        </is>
      </c>
    </row>
    <row r="572">
      <c r="A572" t="inlineStr">
        <is>
          <t>pay_667f17551937</t>
        </is>
      </c>
      <c r="B572" t="inlineStr">
        <is>
          <t>Erin</t>
        </is>
      </c>
      <c r="C572" t="inlineStr">
        <is>
          <t>2026-04-01</t>
        </is>
      </c>
      <c r="D572" t="inlineStr">
        <is>
          <t>cus_769b585645b5</t>
        </is>
      </c>
      <c r="E572" t="inlineStr">
        <is>
          <t>inv_06ed0bb14f4e</t>
        </is>
      </c>
      <c r="F572" t="n">
        <v>42000</v>
      </c>
      <c r="G572" t="inlineStr"/>
      <c r="H572" t="inlineStr">
        <is>
          <t>來源：單次型發票及收款紀錄 第 326 列</t>
        </is>
      </c>
      <c r="I572" t="inlineStr">
        <is>
          <t>2026-05-18</t>
        </is>
      </c>
    </row>
    <row r="573">
      <c r="A573" t="inlineStr">
        <is>
          <t>pay_802cd221871d</t>
        </is>
      </c>
      <c r="B573" t="inlineStr">
        <is>
          <t>Cobi</t>
        </is>
      </c>
      <c r="C573" t="inlineStr">
        <is>
          <t>2026-01-26</t>
        </is>
      </c>
      <c r="D573" t="inlineStr">
        <is>
          <t>cus_2397e7849eba</t>
        </is>
      </c>
      <c r="E573" t="inlineStr">
        <is>
          <t>inv_e96c183b6ee1</t>
        </is>
      </c>
      <c r="F573" t="n">
        <v>60000</v>
      </c>
      <c r="G573" t="inlineStr"/>
      <c r="H573" t="inlineStr">
        <is>
          <t>來源：單次型發票及收款紀錄 第 327 列</t>
        </is>
      </c>
      <c r="I573" t="inlineStr">
        <is>
          <t>2026-05-18</t>
        </is>
      </c>
    </row>
    <row r="574">
      <c r="A574" t="inlineStr">
        <is>
          <t>pay_919884a64017</t>
        </is>
      </c>
      <c r="B574" t="inlineStr">
        <is>
          <t>Kate</t>
        </is>
      </c>
      <c r="C574" t="inlineStr">
        <is>
          <t>2026-04-30</t>
        </is>
      </c>
      <c r="D574" t="inlineStr">
        <is>
          <t>cus_11ce6c1312cf</t>
        </is>
      </c>
      <c r="E574" t="inlineStr">
        <is>
          <t>inv_73ba6ea552ad</t>
        </is>
      </c>
      <c r="F574" t="n">
        <v>143850</v>
      </c>
      <c r="G574" t="inlineStr"/>
      <c r="H574" t="inlineStr">
        <is>
          <t>來源：單次型發票及收款紀錄 第 328 列</t>
        </is>
      </c>
      <c r="I574" t="inlineStr">
        <is>
          <t>2026-05-18</t>
        </is>
      </c>
    </row>
    <row r="575">
      <c r="A575" t="inlineStr">
        <is>
          <t>pay_9580554a7cbe</t>
        </is>
      </c>
      <c r="B575" t="inlineStr">
        <is>
          <t>Kate</t>
        </is>
      </c>
      <c r="C575" t="inlineStr">
        <is>
          <t>2026-01-30</t>
        </is>
      </c>
      <c r="D575" t="inlineStr">
        <is>
          <t>cus_253c0ef1fab2</t>
        </is>
      </c>
      <c r="E575" t="inlineStr">
        <is>
          <t>inv_d5cddd8c5246</t>
        </is>
      </c>
      <c r="F575" t="n">
        <v>5250</v>
      </c>
      <c r="G575" t="inlineStr"/>
      <c r="H575" t="inlineStr">
        <is>
          <t>來源：單次型發票及收款紀錄 第 329 列</t>
        </is>
      </c>
      <c r="I575" t="inlineStr">
        <is>
          <t>2026-05-18</t>
        </is>
      </c>
    </row>
    <row r="576">
      <c r="A576" t="inlineStr">
        <is>
          <t>pay_5e452ada93e7</t>
        </is>
      </c>
      <c r="B576" t="inlineStr">
        <is>
          <t>Peggy</t>
        </is>
      </c>
      <c r="C576" t="inlineStr">
        <is>
          <t>2026-02-13</t>
        </is>
      </c>
      <c r="D576" t="inlineStr">
        <is>
          <t>cus_c5dc9d1310ce</t>
        </is>
      </c>
      <c r="E576" t="inlineStr">
        <is>
          <t>inv_7657036af0ed</t>
        </is>
      </c>
      <c r="F576" t="n">
        <v>42000</v>
      </c>
      <c r="G576" t="inlineStr"/>
      <c r="H576" t="inlineStr">
        <is>
          <t>來源：單次型發票及收款紀錄 第 330 列</t>
        </is>
      </c>
      <c r="I576" t="inlineStr">
        <is>
          <t>2026-05-18</t>
        </is>
      </c>
    </row>
    <row r="577">
      <c r="A577" t="inlineStr">
        <is>
          <t>pay_dfbb086f401b</t>
        </is>
      </c>
      <c r="B577" t="inlineStr">
        <is>
          <t>Kate</t>
        </is>
      </c>
      <c r="C577" t="inlineStr">
        <is>
          <t>2026-02-04</t>
        </is>
      </c>
      <c r="D577" t="inlineStr">
        <is>
          <t>cus_a8aff9f57d27</t>
        </is>
      </c>
      <c r="E577" t="inlineStr">
        <is>
          <t>inv_a2c6d9f5dfe2</t>
        </is>
      </c>
      <c r="F577" t="n">
        <v>57750</v>
      </c>
      <c r="G577" t="inlineStr"/>
      <c r="H577" t="inlineStr">
        <is>
          <t>來源：單次型發票及收款紀錄 第 331 列</t>
        </is>
      </c>
      <c r="I577" t="inlineStr">
        <is>
          <t>2026-05-18</t>
        </is>
      </c>
    </row>
    <row r="578">
      <c r="A578" t="inlineStr">
        <is>
          <t>pay_9064a5afb2c9</t>
        </is>
      </c>
      <c r="B578" t="inlineStr">
        <is>
          <t>Erin</t>
        </is>
      </c>
      <c r="C578" t="inlineStr">
        <is>
          <t>2026-04-01</t>
        </is>
      </c>
      <c r="D578" t="inlineStr">
        <is>
          <t>cus_769b585645b5</t>
        </is>
      </c>
      <c r="E578" t="inlineStr">
        <is>
          <t>inv_9b77e680fa1d</t>
        </is>
      </c>
      <c r="F578" t="n">
        <v>10500</v>
      </c>
      <c r="G578" t="inlineStr"/>
      <c r="H578" t="inlineStr">
        <is>
          <t>來源：單次型發票及收款紀錄 第 333 列</t>
        </is>
      </c>
      <c r="I578" t="inlineStr">
        <is>
          <t>2026-05-18</t>
        </is>
      </c>
    </row>
    <row r="579">
      <c r="A579" t="inlineStr">
        <is>
          <t>pay_8aae01d4ae4d</t>
        </is>
      </c>
      <c r="B579" t="inlineStr">
        <is>
          <t>Kate</t>
        </is>
      </c>
      <c r="C579" t="inlineStr">
        <is>
          <t>2026-02-27</t>
        </is>
      </c>
      <c r="D579" t="inlineStr">
        <is>
          <t>cus_7fe65642b817</t>
        </is>
      </c>
      <c r="E579" t="inlineStr">
        <is>
          <t>inv_e5c8bd3bef49</t>
        </is>
      </c>
      <c r="F579" t="n">
        <v>15750</v>
      </c>
      <c r="G579" t="inlineStr"/>
      <c r="H579" t="inlineStr">
        <is>
          <t>來源：單次型發票及收款紀錄 第 334 列</t>
        </is>
      </c>
      <c r="I579" t="inlineStr">
        <is>
          <t>2026-05-18</t>
        </is>
      </c>
    </row>
    <row r="580">
      <c r="A580" t="inlineStr">
        <is>
          <t>pay_bbaf23435410</t>
        </is>
      </c>
      <c r="B580" t="inlineStr">
        <is>
          <t>Peggy</t>
        </is>
      </c>
      <c r="C580" t="inlineStr">
        <is>
          <t>2025-12-31</t>
        </is>
      </c>
      <c r="D580" t="inlineStr">
        <is>
          <t>cus_9ad075234312</t>
        </is>
      </c>
      <c r="E580" t="inlineStr">
        <is>
          <t>inv_302744c7feb8</t>
        </is>
      </c>
      <c r="F580" t="n">
        <v>28000</v>
      </c>
      <c r="G580" t="inlineStr"/>
      <c r="H580" t="inlineStr">
        <is>
          <t>來源：單次型發票及收款紀錄 第 335 列</t>
        </is>
      </c>
      <c r="I580" t="inlineStr">
        <is>
          <t>2026-05-18</t>
        </is>
      </c>
    </row>
    <row r="581">
      <c r="A581" t="inlineStr">
        <is>
          <t>pay_4fd054dea65c</t>
        </is>
      </c>
      <c r="B581" t="inlineStr">
        <is>
          <t>Erin</t>
        </is>
      </c>
      <c r="C581" t="inlineStr">
        <is>
          <t>2026-05-04</t>
        </is>
      </c>
      <c r="D581" t="inlineStr">
        <is>
          <t>cus_769b585645b5</t>
        </is>
      </c>
      <c r="E581" t="inlineStr">
        <is>
          <t>inv_3cf8acad0fa5</t>
        </is>
      </c>
      <c r="F581" t="n">
        <v>15750</v>
      </c>
      <c r="G581" t="inlineStr"/>
      <c r="H581" t="inlineStr">
        <is>
          <t>來源：單次型發票及收款紀錄 第 338 列</t>
        </is>
      </c>
      <c r="I581" t="inlineStr">
        <is>
          <t>2026-05-18</t>
        </is>
      </c>
    </row>
    <row r="582">
      <c r="A582" t="inlineStr">
        <is>
          <t>pay_5ff083d393e2</t>
        </is>
      </c>
      <c r="B582" t="inlineStr">
        <is>
          <t>Erin</t>
        </is>
      </c>
      <c r="C582" t="inlineStr">
        <is>
          <t>2026-05-04</t>
        </is>
      </c>
      <c r="D582" t="inlineStr">
        <is>
          <t>cus_769b585645b5</t>
        </is>
      </c>
      <c r="E582" t="inlineStr">
        <is>
          <t>inv_8d74ec4550d2</t>
        </is>
      </c>
      <c r="F582" t="n">
        <v>47250</v>
      </c>
      <c r="G582" t="inlineStr"/>
      <c r="H582" t="inlineStr">
        <is>
          <t>來源：單次型發票及收款紀錄 第 339 列</t>
        </is>
      </c>
      <c r="I582" t="inlineStr">
        <is>
          <t>2026-05-18</t>
        </is>
      </c>
    </row>
    <row r="583">
      <c r="A583" t="inlineStr">
        <is>
          <t>pay_0993f4700e96</t>
        </is>
      </c>
      <c r="B583" t="inlineStr">
        <is>
          <t>Erin</t>
        </is>
      </c>
      <c r="C583" t="inlineStr">
        <is>
          <t>2026-05-04</t>
        </is>
      </c>
      <c r="D583" t="inlineStr">
        <is>
          <t>cus_950ead3db6e5</t>
        </is>
      </c>
      <c r="E583" t="inlineStr">
        <is>
          <t>inv_87cc72dcb86a</t>
        </is>
      </c>
      <c r="F583" t="n">
        <v>63000</v>
      </c>
      <c r="G583" t="inlineStr"/>
      <c r="H583" t="inlineStr">
        <is>
          <t>來源：單次型發票及收款紀錄 第 340 列</t>
        </is>
      </c>
      <c r="I583" t="inlineStr">
        <is>
          <t>2026-05-18</t>
        </is>
      </c>
    </row>
    <row r="584">
      <c r="A584" t="inlineStr">
        <is>
          <t>pay_b510549a3de8</t>
        </is>
      </c>
      <c r="B584" t="inlineStr">
        <is>
          <t>Erin</t>
        </is>
      </c>
      <c r="C584" t="inlineStr">
        <is>
          <t>2026-05-04</t>
        </is>
      </c>
      <c r="D584" t="inlineStr">
        <is>
          <t>cus_769b585645b5</t>
        </is>
      </c>
      <c r="E584" t="inlineStr">
        <is>
          <t>inv_a00e8d05c962</t>
        </is>
      </c>
      <c r="F584" t="n">
        <v>5250</v>
      </c>
      <c r="G584" t="inlineStr"/>
      <c r="H584" t="inlineStr">
        <is>
          <t>來源：單次型發票及收款紀錄 第 341 列</t>
        </is>
      </c>
      <c r="I584" t="inlineStr">
        <is>
          <t>2026-05-18</t>
        </is>
      </c>
    </row>
    <row r="585">
      <c r="A585" t="inlineStr">
        <is>
          <t>pay_d483ec855cdd</t>
        </is>
      </c>
      <c r="B585" t="inlineStr">
        <is>
          <t>Stanley</t>
        </is>
      </c>
      <c r="C585" t="inlineStr">
        <is>
          <t>2026-03-20</t>
        </is>
      </c>
      <c r="D585" t="inlineStr">
        <is>
          <t>cus_bdd658582436</t>
        </is>
      </c>
      <c r="E585" t="inlineStr">
        <is>
          <t>inv_e0ac7e4b4814</t>
        </is>
      </c>
      <c r="F585" t="n">
        <v>30778</v>
      </c>
      <c r="G585" t="inlineStr"/>
      <c r="H585" t="inlineStr">
        <is>
          <t>來源：單次型發票及收款紀錄 第 342 列</t>
        </is>
      </c>
      <c r="I585" t="inlineStr">
        <is>
          <t>2026-05-18</t>
        </is>
      </c>
    </row>
    <row r="586">
      <c r="A586" t="inlineStr">
        <is>
          <t>pay_2ab4150c1353</t>
        </is>
      </c>
      <c r="B586" t="inlineStr">
        <is>
          <t>Stanley</t>
        </is>
      </c>
      <c r="C586" t="inlineStr">
        <is>
          <t>2026-03-31</t>
        </is>
      </c>
      <c r="D586" t="inlineStr">
        <is>
          <t>cus_bdd658582436</t>
        </is>
      </c>
      <c r="E586" t="inlineStr">
        <is>
          <t>inv_1599201ee4c9</t>
        </is>
      </c>
      <c r="F586" t="n">
        <v>6870</v>
      </c>
      <c r="G586" t="inlineStr"/>
      <c r="H586" t="inlineStr">
        <is>
          <t>來源：單次型發票及收款紀錄 第 343 列</t>
        </is>
      </c>
      <c r="I586" t="inlineStr">
        <is>
          <t>2026-05-18</t>
        </is>
      </c>
    </row>
    <row r="587">
      <c r="A587" t="inlineStr">
        <is>
          <t>pay_7743027d9195</t>
        </is>
      </c>
      <c r="B587" t="inlineStr">
        <is>
          <t>Stanley</t>
        </is>
      </c>
      <c r="C587" t="inlineStr">
        <is>
          <t>2026-03-20</t>
        </is>
      </c>
      <c r="D587" t="inlineStr">
        <is>
          <t>cus_bdd658582436</t>
        </is>
      </c>
      <c r="E587" t="inlineStr">
        <is>
          <t>inv_ed86ee2603f0</t>
        </is>
      </c>
      <c r="F587" t="n">
        <v>11271</v>
      </c>
      <c r="G587" t="inlineStr"/>
      <c r="H587" t="inlineStr">
        <is>
          <t>來源：單次型發票及收款紀錄 第 344 列</t>
        </is>
      </c>
      <c r="I587" t="inlineStr">
        <is>
          <t>2026-05-18</t>
        </is>
      </c>
    </row>
    <row r="588">
      <c r="A588" t="inlineStr">
        <is>
          <t>pay_e9d33d37a9a3</t>
        </is>
      </c>
      <c r="B588" t="inlineStr">
        <is>
          <t>Stanley</t>
        </is>
      </c>
      <c r="C588" t="inlineStr">
        <is>
          <t>2026-03-31</t>
        </is>
      </c>
      <c r="D588" t="inlineStr">
        <is>
          <t>cus_bdd658582436</t>
        </is>
      </c>
      <c r="E588" t="inlineStr">
        <is>
          <t>inv_d73ea9aff109</t>
        </is>
      </c>
      <c r="F588" t="n">
        <v>6540</v>
      </c>
      <c r="G588" t="inlineStr"/>
      <c r="H588" t="inlineStr">
        <is>
          <t>來源：單次型發票及收款紀錄 第 345 列</t>
        </is>
      </c>
      <c r="I588" t="inlineStr">
        <is>
          <t>2026-05-18</t>
        </is>
      </c>
    </row>
    <row r="589">
      <c r="A589" t="inlineStr">
        <is>
          <t>pay_87a19d5afe44</t>
        </is>
      </c>
      <c r="B589" t="inlineStr">
        <is>
          <t>Stanley</t>
        </is>
      </c>
      <c r="C589" t="inlineStr">
        <is>
          <t>2026-03-26</t>
        </is>
      </c>
      <c r="D589" t="inlineStr">
        <is>
          <t>cus_d85c0eed3b4a</t>
        </is>
      </c>
      <c r="E589" t="inlineStr">
        <is>
          <t>inv_d3657e6d44a5</t>
        </is>
      </c>
      <c r="F589" t="n">
        <v>250000</v>
      </c>
      <c r="G589" t="inlineStr"/>
      <c r="H589" t="inlineStr">
        <is>
          <t>來源：單次型發票及收款紀錄 第 346 列</t>
        </is>
      </c>
      <c r="I589" t="inlineStr">
        <is>
          <t>2026-05-18</t>
        </is>
      </c>
    </row>
    <row r="590">
      <c r="A590" t="inlineStr">
        <is>
          <t>pay_b427b4c314b6</t>
        </is>
      </c>
      <c r="B590" t="inlineStr">
        <is>
          <t>Peggy</t>
        </is>
      </c>
      <c r="C590" t="inlineStr">
        <is>
          <t>2026-02-11</t>
        </is>
      </c>
      <c r="D590" t="inlineStr">
        <is>
          <t>cus_2dcbf927e90b</t>
        </is>
      </c>
      <c r="E590" t="inlineStr">
        <is>
          <t>inv_082103e256cf</t>
        </is>
      </c>
      <c r="F590" t="n">
        <v>89775</v>
      </c>
      <c r="G590" t="inlineStr"/>
      <c r="H590" t="inlineStr">
        <is>
          <t>來源：單次型發票及收款紀錄 第 351 列</t>
        </is>
      </c>
      <c r="I590" t="inlineStr">
        <is>
          <t>2026-05-18</t>
        </is>
      </c>
    </row>
    <row r="591">
      <c r="A591" t="inlineStr">
        <is>
          <t>pay_31aa888a76f6</t>
        </is>
      </c>
      <c r="B591" t="inlineStr">
        <is>
          <t>Cobi</t>
        </is>
      </c>
      <c r="C591" t="inlineStr">
        <is>
          <t>2026-05-05</t>
        </is>
      </c>
      <c r="D591" t="inlineStr">
        <is>
          <t>cus_3816722e3e66</t>
        </is>
      </c>
      <c r="E591" t="inlineStr">
        <is>
          <t>inv_6d8012227131</t>
        </is>
      </c>
      <c r="F591" t="n">
        <v>151200</v>
      </c>
      <c r="G591" t="inlineStr"/>
      <c r="H591" t="inlineStr">
        <is>
          <t>來源：單次型發票及收款紀錄 第 358 列</t>
        </is>
      </c>
      <c r="I591" t="inlineStr">
        <is>
          <t>2026-05-18</t>
        </is>
      </c>
    </row>
    <row r="592">
      <c r="A592" t="inlineStr">
        <is>
          <t>pay_f343d81e6d7b</t>
        </is>
      </c>
      <c r="B592" t="inlineStr">
        <is>
          <t>Kate</t>
        </is>
      </c>
      <c r="C592" t="inlineStr">
        <is>
          <t>2026-03-31</t>
        </is>
      </c>
      <c r="D592" t="inlineStr">
        <is>
          <t>cus_00cf1d9fc303</t>
        </is>
      </c>
      <c r="E592" t="inlineStr">
        <is>
          <t>inv_0ad2e51d8bc8</t>
        </is>
      </c>
      <c r="F592" t="n">
        <v>315000</v>
      </c>
      <c r="G592" t="inlineStr"/>
      <c r="H592" t="inlineStr">
        <is>
          <t>來源：單次型發票及收款紀錄 第 359 列</t>
        </is>
      </c>
      <c r="I592" t="inlineStr">
        <is>
          <t>2026-05-18</t>
        </is>
      </c>
    </row>
    <row r="593">
      <c r="A593" t="inlineStr">
        <is>
          <t>pay_def42f7e5907</t>
        </is>
      </c>
      <c r="B593" t="inlineStr">
        <is>
          <t>Cobi</t>
        </is>
      </c>
      <c r="C593" t="inlineStr">
        <is>
          <t>2026-02-25</t>
        </is>
      </c>
      <c r="D593" t="inlineStr">
        <is>
          <t>cus_2397e7849eba</t>
        </is>
      </c>
      <c r="E593" t="inlineStr">
        <is>
          <t>inv_78c5b29d140c</t>
        </is>
      </c>
      <c r="F593" t="n">
        <v>40000</v>
      </c>
      <c r="G593" t="inlineStr"/>
      <c r="H593" t="inlineStr">
        <is>
          <t>來源：單次型發票及收款紀錄 第 361 列</t>
        </is>
      </c>
      <c r="I593" t="inlineStr">
        <is>
          <t>2026-05-18</t>
        </is>
      </c>
    </row>
    <row r="594">
      <c r="A594" t="inlineStr">
        <is>
          <t>pay_2c6a2728dedb</t>
        </is>
      </c>
      <c r="B594" t="inlineStr">
        <is>
          <t>Kate</t>
        </is>
      </c>
      <c r="C594" t="inlineStr">
        <is>
          <t>2026-03-25</t>
        </is>
      </c>
      <c r="D594" t="inlineStr">
        <is>
          <t>cus_9117758d2ff8</t>
        </is>
      </c>
      <c r="E594" t="inlineStr">
        <is>
          <t>inv_cca8581ccd9c</t>
        </is>
      </c>
      <c r="F594" t="n">
        <v>47250</v>
      </c>
      <c r="G594" t="inlineStr"/>
      <c r="H594" t="inlineStr">
        <is>
          <t>來源：單次型發票及收款紀錄 第 362 列</t>
        </is>
      </c>
      <c r="I594" t="inlineStr">
        <is>
          <t>2026-05-18</t>
        </is>
      </c>
    </row>
    <row r="595">
      <c r="A595" t="inlineStr">
        <is>
          <t>pay_20012e58741c</t>
        </is>
      </c>
      <c r="B595" t="inlineStr">
        <is>
          <t>Kate</t>
        </is>
      </c>
      <c r="C595" t="inlineStr">
        <is>
          <t>2026-03-20</t>
        </is>
      </c>
      <c r="D595" t="inlineStr">
        <is>
          <t>cus_4ad97e802893</t>
        </is>
      </c>
      <c r="E595" t="inlineStr">
        <is>
          <t>inv_6934298d13d2</t>
        </is>
      </c>
      <c r="F595" t="n">
        <v>94500</v>
      </c>
      <c r="G595" t="inlineStr"/>
      <c r="H595" t="inlineStr">
        <is>
          <t>來源：單次型發票及收款紀錄 第 366 列</t>
        </is>
      </c>
      <c r="I595" t="inlineStr">
        <is>
          <t>2026-05-18</t>
        </is>
      </c>
    </row>
    <row r="596">
      <c r="A596" t="inlineStr">
        <is>
          <t>pay_c01c672da7bd</t>
        </is>
      </c>
      <c r="B596" t="inlineStr">
        <is>
          <t>Stanley</t>
        </is>
      </c>
      <c r="C596" t="inlineStr">
        <is>
          <t>2026-04-27</t>
        </is>
      </c>
      <c r="D596" t="inlineStr">
        <is>
          <t>cus_bdd658582436</t>
        </is>
      </c>
      <c r="E596" t="inlineStr">
        <is>
          <t>inv_8002df6245b0</t>
        </is>
      </c>
      <c r="F596" t="n">
        <v>14651</v>
      </c>
      <c r="G596" t="inlineStr"/>
      <c r="H596" t="inlineStr">
        <is>
          <t>來源：單次型發票及收款紀錄 第 368 列</t>
        </is>
      </c>
      <c r="I596" t="inlineStr">
        <is>
          <t>2026-05-18</t>
        </is>
      </c>
    </row>
    <row r="597">
      <c r="A597" t="inlineStr">
        <is>
          <t>pay_6d64c7f1c24b</t>
        </is>
      </c>
      <c r="B597" t="inlineStr">
        <is>
          <t>Stanley</t>
        </is>
      </c>
      <c r="C597" t="inlineStr">
        <is>
          <t>2026-04-30</t>
        </is>
      </c>
      <c r="D597" t="inlineStr">
        <is>
          <t>cus_bdd658582436</t>
        </is>
      </c>
      <c r="E597" t="inlineStr">
        <is>
          <t>inv_9d13281c4d28</t>
        </is>
      </c>
      <c r="F597" t="n">
        <v>8230</v>
      </c>
      <c r="G597" t="inlineStr"/>
      <c r="H597" t="inlineStr">
        <is>
          <t>來源：單次型發票及收款紀錄 第 369 列</t>
        </is>
      </c>
      <c r="I597" t="inlineStr">
        <is>
          <t>2026-05-18</t>
        </is>
      </c>
    </row>
    <row r="598">
      <c r="A598" t="inlineStr">
        <is>
          <t>pay_aef56b187b12</t>
        </is>
      </c>
      <c r="B598" t="inlineStr">
        <is>
          <t>Cobi</t>
        </is>
      </c>
      <c r="C598" t="inlineStr">
        <is>
          <t>2026-03-25</t>
        </is>
      </c>
      <c r="D598" t="inlineStr">
        <is>
          <t>cus_2397e7849eba</t>
        </is>
      </c>
      <c r="E598" t="inlineStr">
        <is>
          <t>inv_af043f4755a3</t>
        </is>
      </c>
      <c r="F598" t="n">
        <v>40000</v>
      </c>
      <c r="G598" t="inlineStr"/>
      <c r="H598" t="inlineStr">
        <is>
          <t>來源：單次型發票及收款紀錄 第 370 列</t>
        </is>
      </c>
      <c r="I598" t="inlineStr">
        <is>
          <t>2026-05-18</t>
        </is>
      </c>
    </row>
    <row r="599">
      <c r="A599" t="inlineStr">
        <is>
          <t>pay_76e213d3ac35</t>
        </is>
      </c>
      <c r="B599" t="inlineStr">
        <is>
          <t>Peggy</t>
        </is>
      </c>
      <c r="C599" t="inlineStr">
        <is>
          <t>2026-03-13</t>
        </is>
      </c>
      <c r="D599" t="inlineStr">
        <is>
          <t>cus_a586aac3e559</t>
        </is>
      </c>
      <c r="E599" t="inlineStr">
        <is>
          <t>inv_fc6ca11b4db8</t>
        </is>
      </c>
      <c r="F599" t="n">
        <v>168000</v>
      </c>
      <c r="G599" t="inlineStr"/>
      <c r="H599" t="inlineStr">
        <is>
          <t>來源：單次型發票及收款紀錄 第 371 列</t>
        </is>
      </c>
      <c r="I599" t="inlineStr">
        <is>
          <t>2026-05-18</t>
        </is>
      </c>
    </row>
    <row r="600">
      <c r="A600" t="inlineStr">
        <is>
          <t>pay_61969f727c8e</t>
        </is>
      </c>
      <c r="B600" t="inlineStr">
        <is>
          <t>Peggy</t>
        </is>
      </c>
      <c r="C600" t="inlineStr">
        <is>
          <t>2026-03-19</t>
        </is>
      </c>
      <c r="D600" t="inlineStr">
        <is>
          <t>cus_ae9dd5ab3f97</t>
        </is>
      </c>
      <c r="E600" t="inlineStr">
        <is>
          <t>inv_844084eba678</t>
        </is>
      </c>
      <c r="F600" t="n">
        <v>10500</v>
      </c>
      <c r="G600" t="inlineStr"/>
      <c r="H600" t="inlineStr">
        <is>
          <t>來源：單次型發票及收款紀錄 第 377 列</t>
        </is>
      </c>
      <c r="I600" t="inlineStr">
        <is>
          <t>2026-05-18</t>
        </is>
      </c>
    </row>
    <row r="601">
      <c r="A601" t="inlineStr">
        <is>
          <t>pay_ed2b4ad8b377</t>
        </is>
      </c>
      <c r="B601" t="inlineStr">
        <is>
          <t>Cobi</t>
        </is>
      </c>
      <c r="C601" t="inlineStr">
        <is>
          <t>2026-04-27</t>
        </is>
      </c>
      <c r="D601" t="inlineStr">
        <is>
          <t>cus_2397e7849eba</t>
        </is>
      </c>
      <c r="E601" t="inlineStr">
        <is>
          <t>inv_3ad1e1d66760</t>
        </is>
      </c>
      <c r="F601" t="n">
        <v>40000</v>
      </c>
      <c r="G601" t="inlineStr"/>
      <c r="H601" t="inlineStr">
        <is>
          <t>來源：單次型發票及收款紀錄 第 387 列</t>
        </is>
      </c>
      <c r="I601" t="inlineStr">
        <is>
          <t>2026-05-18</t>
        </is>
      </c>
    </row>
    <row r="602">
      <c r="A602" t="inlineStr">
        <is>
          <t>pay_f9df0ca72061</t>
        </is>
      </c>
      <c r="B602" t="inlineStr">
        <is>
          <t>Peggy</t>
        </is>
      </c>
      <c r="C602" t="inlineStr">
        <is>
          <t>2026-04-10</t>
        </is>
      </c>
      <c r="D602" t="inlineStr">
        <is>
          <t>cus_b8e52468d76b</t>
        </is>
      </c>
      <c r="E602" t="inlineStr">
        <is>
          <t>inv_a6b68583b717</t>
        </is>
      </c>
      <c r="F602" t="n">
        <v>56700</v>
      </c>
      <c r="G602" t="inlineStr"/>
      <c r="H602" t="inlineStr">
        <is>
          <t>來源：單次型發票及收款紀錄 第 398 列</t>
        </is>
      </c>
      <c r="I602" t="inlineStr">
        <is>
          <t>2026-05-18</t>
        </is>
      </c>
    </row>
    <row r="603">
      <c r="A603" t="inlineStr">
        <is>
          <t>pay_0f2a46289b30</t>
        </is>
      </c>
      <c r="B603" t="inlineStr">
        <is>
          <t>Peggy</t>
        </is>
      </c>
      <c r="C603" t="inlineStr">
        <is>
          <t>2026-04-10</t>
        </is>
      </c>
      <c r="D603" t="inlineStr">
        <is>
          <t>cus_b8e52468d76b</t>
        </is>
      </c>
      <c r="E603" t="inlineStr">
        <is>
          <t>inv_fcc177ab3467</t>
        </is>
      </c>
      <c r="F603" t="n">
        <v>56700</v>
      </c>
      <c r="G603" t="inlineStr"/>
      <c r="H603" t="inlineStr">
        <is>
          <t>來源：單次型發票及收款紀錄 第 403 列</t>
        </is>
      </c>
      <c r="I603" t="inlineStr">
        <is>
          <t>2026-05-18</t>
        </is>
      </c>
    </row>
  </sheetData>
  <autoFilter ref="A1:I6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bd</t>
        </is>
      </c>
      <c r="C1" s="1" t="inlineStr">
        <is>
          <t>activityDate</t>
        </is>
      </c>
      <c r="D1" s="1" t="inlineStr">
        <is>
          <t>customerId</t>
        </is>
      </c>
      <c r="E1" s="1" t="inlineStr">
        <is>
          <t>type</t>
        </is>
      </c>
      <c r="F1" s="1" t="inlineStr">
        <is>
          <t>content</t>
        </is>
      </c>
      <c r="G1" s="1" t="inlineStr">
        <is>
          <t>nextFollowUp</t>
        </is>
      </c>
      <c r="H1" s="1" t="inlineStr">
        <is>
          <t>updatedAt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12" customWidth="1" min="5" max="5"/>
    <col width="26" customWidth="1" min="6" max="6"/>
    <col width="13" customWidth="1" min="7" max="7"/>
    <col width="30" customWidth="1" min="8" max="8"/>
    <col width="16" customWidth="1" min="9" max="9"/>
    <col width="16" customWidth="1" min="10" max="10"/>
    <col width="15" customWidth="1" min="11" max="11"/>
    <col width="12" customWidth="1" min="12" max="12"/>
    <col width="12" customWidth="1" min="13" max="13"/>
    <col width="15" customWidth="1" min="14" max="14"/>
    <col width="13" customWidth="1" min="15" max="15"/>
    <col width="13" customWidth="1" min="16" max="16"/>
    <col width="40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bd</t>
        </is>
      </c>
      <c r="C1" s="1" t="inlineStr">
        <is>
          <t>category</t>
        </is>
      </c>
      <c r="D1" s="1" t="inlineStr">
        <is>
          <t>companyName</t>
        </is>
      </c>
      <c r="E1" s="1" t="inlineStr">
        <is>
          <t>department</t>
        </is>
      </c>
      <c r="F1" s="1" t="inlineStr">
        <is>
          <t>contactTitle</t>
        </is>
      </c>
      <c r="G1" s="1" t="inlineStr">
        <is>
          <t>contactName</t>
        </is>
      </c>
      <c r="H1" s="1" t="inlineStr">
        <is>
          <t>phone</t>
        </is>
      </c>
      <c r="I1" s="1" t="inlineStr">
        <is>
          <t>primaryContact</t>
        </is>
      </c>
      <c r="J1" s="1" t="inlineStr">
        <is>
          <t>customerStatus</t>
        </is>
      </c>
      <c r="K1" s="1" t="inlineStr">
        <is>
          <t>contractType</t>
        </is>
      </c>
      <c r="L1" s="1" t="inlineStr">
        <is>
          <t>startDate</t>
        </is>
      </c>
      <c r="M1" s="1" t="inlineStr">
        <is>
          <t>endDate</t>
        </is>
      </c>
      <c r="N1" s="1" t="inlineStr">
        <is>
          <t>contractPrice</t>
        </is>
      </c>
      <c r="O1" s="1" t="inlineStr">
        <is>
          <t>annualValue</t>
        </is>
      </c>
      <c r="P1" s="1" t="inlineStr">
        <is>
          <t>billingMode</t>
        </is>
      </c>
      <c r="Q1" s="1" t="inlineStr">
        <is>
          <t>notes</t>
        </is>
      </c>
      <c r="R1" s="1" t="inlineStr">
        <is>
          <t>updatedAt</t>
        </is>
      </c>
    </row>
    <row r="2">
      <c r="A2" t="inlineStr">
        <is>
          <t>con_ef57909f42ea</t>
        </is>
      </c>
      <c r="B2" t="inlineStr"/>
      <c r="C2" t="inlineStr">
        <is>
          <t>市調公司</t>
        </is>
      </c>
      <c r="D2" t="inlineStr">
        <is>
          <t>尼爾森</t>
        </is>
      </c>
      <c r="E2" t="inlineStr"/>
      <c r="F2" t="inlineStr"/>
      <c r="G2" t="inlineStr">
        <is>
          <t>Jennifer</t>
        </is>
      </c>
      <c r="H2" t="inlineStr"/>
      <c r="I2" t="inlineStr">
        <is>
          <t>Line</t>
        </is>
      </c>
      <c r="J2" t="inlineStr">
        <is>
          <t>合約終止</t>
        </is>
      </c>
      <c r="K2" t="inlineStr">
        <is>
          <t>數據銷售(Rawdata)</t>
        </is>
      </c>
      <c r="L2" t="inlineStr">
        <is>
          <t>2022-05-24</t>
        </is>
      </c>
      <c r="M2" t="inlineStr">
        <is>
          <t>2023-01-02</t>
        </is>
      </c>
      <c r="N2" t="n">
        <v>210000</v>
      </c>
      <c r="O2" t="n">
        <v>0</v>
      </c>
      <c r="P2" t="inlineStr">
        <is>
          <t>每月</t>
        </is>
      </c>
      <c r="Q2" t="inlineStr">
        <is>
          <t>每筆發票1.8元/上限一年240萬(未稅)
來源：合約追蹤 第 2 列</t>
        </is>
      </c>
      <c r="R2" t="inlineStr">
        <is>
          <t>2026-05-18</t>
        </is>
      </c>
    </row>
    <row r="3">
      <c r="A3" t="inlineStr">
        <is>
          <t>con_94e6b3ac55e3</t>
        </is>
      </c>
      <c r="B3" t="inlineStr"/>
      <c r="C3" t="inlineStr">
        <is>
          <t>市調公司</t>
        </is>
      </c>
      <c r="D3" t="inlineStr">
        <is>
          <t>尼爾森</t>
        </is>
      </c>
      <c r="E3" t="inlineStr"/>
      <c r="F3" t="inlineStr"/>
      <c r="G3" t="inlineStr">
        <is>
          <t>Jennifer</t>
        </is>
      </c>
      <c r="H3" t="inlineStr"/>
      <c r="I3" t="inlineStr">
        <is>
          <t>Line</t>
        </is>
      </c>
      <c r="J3" t="inlineStr">
        <is>
          <t>合約中</t>
        </is>
      </c>
      <c r="K3" t="inlineStr">
        <is>
          <t>數據銷售(Rawdata)</t>
        </is>
      </c>
      <c r="L3" t="inlineStr">
        <is>
          <t>2024-01-01</t>
        </is>
      </c>
      <c r="M3" t="inlineStr">
        <is>
          <t>無期限</t>
        </is>
      </c>
      <c r="N3" t="n">
        <v>300000</v>
      </c>
      <c r="O3" t="n">
        <v>0</v>
      </c>
      <c r="P3" t="inlineStr">
        <is>
          <t>每月</t>
        </is>
      </c>
      <c r="Q3" t="inlineStr">
        <is>
          <t>每兩年半重新檢視發票量, 如發票量YoY成長超過10%可重新議價, 上限為合約價10%/第一次為2026/06月檢視
來源：合約追蹤 第 3 列</t>
        </is>
      </c>
      <c r="R3" t="inlineStr">
        <is>
          <t>2026-05-18</t>
        </is>
      </c>
    </row>
    <row r="4">
      <c r="A4" t="inlineStr">
        <is>
          <t>con_ca8d3c4419ec</t>
        </is>
      </c>
      <c r="B4" t="inlineStr"/>
      <c r="C4" t="inlineStr">
        <is>
          <t>市調公司</t>
        </is>
      </c>
      <c r="D4" t="inlineStr">
        <is>
          <t>東方線上(2021合約)</t>
        </is>
      </c>
      <c r="E4" t="inlineStr"/>
      <c r="F4" t="inlineStr"/>
      <c r="G4" t="inlineStr"/>
      <c r="H4" t="inlineStr"/>
      <c r="I4" t="inlineStr"/>
      <c r="J4" t="inlineStr">
        <is>
          <t>合約終止</t>
        </is>
      </c>
      <c r="K4" t="inlineStr">
        <is>
          <t>數據銷售(Rawdata)</t>
        </is>
      </c>
      <c r="L4" t="inlineStr">
        <is>
          <t>2018-11-01</t>
        </is>
      </c>
      <c r="M4" t="inlineStr">
        <is>
          <t>2024-01-15</t>
        </is>
      </c>
      <c r="N4" t="n">
        <v>226000</v>
      </c>
      <c r="O4" t="n">
        <v>0</v>
      </c>
      <c r="P4" t="inlineStr">
        <is>
          <t>雙月</t>
        </is>
      </c>
      <c r="Q4" t="inlineStr">
        <is>
          <t>自動續約
來源：合約追蹤 第 4 列</t>
        </is>
      </c>
      <c r="R4" t="inlineStr">
        <is>
          <t>2026-05-18</t>
        </is>
      </c>
    </row>
    <row r="5">
      <c r="A5" t="inlineStr">
        <is>
          <t>con_0779038a228d</t>
        </is>
      </c>
      <c r="B5" t="inlineStr"/>
      <c r="C5" t="inlineStr">
        <is>
          <t>市調公司</t>
        </is>
      </c>
      <c r="D5" t="inlineStr">
        <is>
          <t>東方線上(2024合約)</t>
        </is>
      </c>
      <c r="E5" t="inlineStr"/>
      <c r="F5" t="inlineStr"/>
      <c r="G5" t="inlineStr">
        <is>
          <t>Grace</t>
        </is>
      </c>
      <c r="H5" t="inlineStr"/>
      <c r="I5" t="inlineStr">
        <is>
          <t>Line</t>
        </is>
      </c>
      <c r="J5" t="inlineStr">
        <is>
          <t>合約中</t>
        </is>
      </c>
      <c r="K5" t="inlineStr">
        <is>
          <t>數據銷售(Rawdata)</t>
        </is>
      </c>
      <c r="L5" t="inlineStr">
        <is>
          <t>2024-01-16</t>
        </is>
      </c>
      <c r="M5" t="inlineStr">
        <is>
          <t>2028-01-15</t>
        </is>
      </c>
      <c r="N5" t="n">
        <v>300000</v>
      </c>
      <c r="O5" t="n">
        <v>0</v>
      </c>
      <c r="P5" t="inlineStr">
        <is>
          <t>雙月</t>
        </is>
      </c>
      <c r="Q5" t="inlineStr">
        <is>
          <t>自動續約
來源：合約追蹤 第 5 列</t>
        </is>
      </c>
      <c r="R5" t="inlineStr">
        <is>
          <t>2026-05-18</t>
        </is>
      </c>
    </row>
    <row r="6">
      <c r="A6" t="inlineStr">
        <is>
          <t>con_573e929af0b5</t>
        </is>
      </c>
      <c r="B6" t="inlineStr"/>
      <c r="C6" t="inlineStr">
        <is>
          <t>數據公司</t>
        </is>
      </c>
      <c r="D6" t="inlineStr">
        <is>
          <t>紅門</t>
        </is>
      </c>
      <c r="E6" t="inlineStr"/>
      <c r="F6" t="inlineStr"/>
      <c r="G6" t="inlineStr">
        <is>
          <t>Mars</t>
        </is>
      </c>
      <c r="H6" t="inlineStr"/>
      <c r="I6" t="inlineStr">
        <is>
          <t>Line</t>
        </is>
      </c>
      <c r="J6" t="inlineStr">
        <is>
          <t>合約中</t>
        </is>
      </c>
      <c r="K6" t="inlineStr">
        <is>
          <t>數據銷售(Rawdata)</t>
        </is>
      </c>
      <c r="L6" t="inlineStr">
        <is>
          <t>2022-06-15</t>
        </is>
      </c>
      <c r="M6" t="inlineStr">
        <is>
          <t>2025-05-31</t>
        </is>
      </c>
      <c r="N6" t="n">
        <v>157500</v>
      </c>
      <c r="O6" t="n">
        <v>0</v>
      </c>
      <c r="P6" t="inlineStr">
        <is>
          <t>每月</t>
        </is>
      </c>
      <c r="Q6" t="inlineStr">
        <is>
          <t>來源：合約追蹤 第 6 列</t>
        </is>
      </c>
      <c r="R6" t="inlineStr">
        <is>
          <t>2026-05-18</t>
        </is>
      </c>
    </row>
    <row r="7">
      <c r="A7" t="inlineStr">
        <is>
          <t>con_122401871b78</t>
        </is>
      </c>
      <c r="B7" t="inlineStr"/>
      <c r="C7" t="inlineStr">
        <is>
          <t>數據公司</t>
        </is>
      </c>
      <c r="D7" t="inlineStr">
        <is>
          <t>Vpon</t>
        </is>
      </c>
      <c r="E7" t="inlineStr"/>
      <c r="F7" t="inlineStr"/>
      <c r="G7" t="inlineStr">
        <is>
          <t>Paul</t>
        </is>
      </c>
      <c r="H7" t="inlineStr"/>
      <c r="I7" t="inlineStr">
        <is>
          <t>Line</t>
        </is>
      </c>
      <c r="J7" t="inlineStr">
        <is>
          <t>合約中</t>
        </is>
      </c>
      <c r="K7" t="inlineStr">
        <is>
          <t>數據銷售(Rawdata)</t>
        </is>
      </c>
      <c r="L7" t="inlineStr">
        <is>
          <t>2023-01-01</t>
        </is>
      </c>
      <c r="M7" t="inlineStr">
        <is>
          <t>2024-12-31</t>
        </is>
      </c>
      <c r="N7" t="n">
        <v>450000</v>
      </c>
      <c r="O7" t="n">
        <v>0</v>
      </c>
      <c r="P7" t="inlineStr">
        <is>
          <t>每季</t>
        </is>
      </c>
      <c r="Q7" t="inlineStr">
        <is>
          <t>調整價格 126萬-&gt;180萬(120天付款)
來源：合約追蹤 第 7 列</t>
        </is>
      </c>
      <c r="R7" t="inlineStr">
        <is>
          <t>2026-05-18</t>
        </is>
      </c>
    </row>
    <row r="8">
      <c r="A8" t="inlineStr">
        <is>
          <t>con_eeb9b20ade35</t>
        </is>
      </c>
      <c r="B8" t="inlineStr"/>
      <c r="C8" t="inlineStr">
        <is>
          <t>數據公司</t>
        </is>
      </c>
      <c r="D8" t="inlineStr">
        <is>
          <t>Vpon</t>
        </is>
      </c>
      <c r="E8" t="inlineStr"/>
      <c r="F8" t="inlineStr"/>
      <c r="G8" t="inlineStr">
        <is>
          <t>Paul</t>
        </is>
      </c>
      <c r="H8" t="inlineStr"/>
      <c r="I8" t="inlineStr">
        <is>
          <t>Line</t>
        </is>
      </c>
      <c r="J8" t="inlineStr">
        <is>
          <t>合約中</t>
        </is>
      </c>
      <c r="K8" t="inlineStr">
        <is>
          <t>數據銷售(Rawdata)</t>
        </is>
      </c>
      <c r="L8" t="inlineStr">
        <is>
          <t>2025-01-01</t>
        </is>
      </c>
      <c r="M8" t="inlineStr">
        <is>
          <t>2025-12-31</t>
        </is>
      </c>
      <c r="N8" t="n">
        <v>450000</v>
      </c>
      <c r="O8" t="n">
        <v>0</v>
      </c>
      <c r="P8" t="inlineStr">
        <is>
          <t>每季</t>
        </is>
      </c>
      <c r="Q8" t="inlineStr">
        <is>
          <t>80萬(季結30天付款)
來源：合約追蹤 第 8 列</t>
        </is>
      </c>
      <c r="R8" t="inlineStr">
        <is>
          <t>2026-05-18</t>
        </is>
      </c>
    </row>
    <row r="9">
      <c r="A9" t="inlineStr">
        <is>
          <t>con_0a397ac3059e</t>
        </is>
      </c>
      <c r="B9" t="inlineStr"/>
      <c r="C9" t="inlineStr">
        <is>
          <t>數據公司</t>
        </is>
      </c>
      <c r="D9" t="inlineStr">
        <is>
          <t>麟數據(LNData)</t>
        </is>
      </c>
      <c r="E9" t="inlineStr">
        <is>
          <t>總公司</t>
        </is>
      </c>
      <c r="F9" t="inlineStr">
        <is>
          <t>策略長</t>
        </is>
      </c>
      <c r="G9" t="inlineStr">
        <is>
          <t>Nicky</t>
        </is>
      </c>
      <c r="H9" t="inlineStr">
        <is>
          <t>02-23948800</t>
        </is>
      </c>
      <c r="I9" t="inlineStr">
        <is>
          <t>Line</t>
        </is>
      </c>
      <c r="J9" t="inlineStr">
        <is>
          <t>合約中</t>
        </is>
      </c>
      <c r="K9" t="inlineStr">
        <is>
          <t>數據銷售(Rawdata)</t>
        </is>
      </c>
      <c r="L9" t="inlineStr">
        <is>
          <t>2025-06-01</t>
        </is>
      </c>
      <c r="M9" t="inlineStr">
        <is>
          <t>2026-05-31</t>
        </is>
      </c>
      <c r="N9" t="n">
        <v>131250</v>
      </c>
      <c r="O9" t="n">
        <v>0</v>
      </c>
      <c r="P9" t="inlineStr">
        <is>
          <t>每月</t>
        </is>
      </c>
      <c r="Q9" t="inlineStr">
        <is>
          <t>2025漲價5%
來源：合約追蹤 第 9 列</t>
        </is>
      </c>
      <c r="R9" t="inlineStr">
        <is>
          <t>2026-05-18</t>
        </is>
      </c>
    </row>
    <row r="10">
      <c r="A10" t="inlineStr">
        <is>
          <t>con_aac9cd33be44</t>
        </is>
      </c>
      <c r="B10" t="inlineStr"/>
      <c r="C10" t="inlineStr">
        <is>
          <t>廣告代理商</t>
        </is>
      </c>
      <c r="D10" t="inlineStr">
        <is>
          <t>果實(OneAD)</t>
        </is>
      </c>
      <c r="E10" t="inlineStr">
        <is>
          <t>總公司</t>
        </is>
      </c>
      <c r="F10" t="inlineStr">
        <is>
          <t>BD</t>
        </is>
      </c>
      <c r="G10" t="inlineStr">
        <is>
          <t>Emma</t>
        </is>
      </c>
      <c r="H10" t="inlineStr"/>
      <c r="I10" t="inlineStr">
        <is>
          <t>Line</t>
        </is>
      </c>
      <c r="J10" t="inlineStr">
        <is>
          <t>合約中</t>
        </is>
      </c>
      <c r="K10" t="inlineStr">
        <is>
          <t>數據銷售(Rawdata)</t>
        </is>
      </c>
      <c r="L10" t="inlineStr">
        <is>
          <t>2024-08-01</t>
        </is>
      </c>
      <c r="M10" t="inlineStr">
        <is>
          <t>2025-07-31</t>
        </is>
      </c>
      <c r="N10" t="n">
        <v>420000</v>
      </c>
      <c r="O10" t="n">
        <v>0</v>
      </c>
      <c r="P10" t="inlineStr">
        <is>
          <t>每季</t>
        </is>
      </c>
      <c r="Q10" t="inlineStr">
        <is>
          <t>資料採月交付
來源：合約追蹤 第 10 列</t>
        </is>
      </c>
      <c r="R10" t="inlineStr">
        <is>
          <t>2026-05-18</t>
        </is>
      </c>
    </row>
    <row r="11">
      <c r="A11" t="inlineStr">
        <is>
          <t>con_f8a84a9f27aa</t>
        </is>
      </c>
      <c r="B11" t="inlineStr"/>
      <c r="C11" t="inlineStr">
        <is>
          <t>廣告代理商</t>
        </is>
      </c>
      <c r="D11" t="inlineStr">
        <is>
          <t>禾多移動</t>
        </is>
      </c>
      <c r="E11" t="inlineStr">
        <is>
          <t>總公司</t>
        </is>
      </c>
      <c r="F11" t="inlineStr">
        <is>
          <t>總經理特助</t>
        </is>
      </c>
      <c r="G11" t="inlineStr">
        <is>
          <t>Max</t>
        </is>
      </c>
      <c r="H11" t="inlineStr"/>
      <c r="I11" t="inlineStr">
        <is>
          <t>Line</t>
        </is>
      </c>
      <c r="J11" t="inlineStr">
        <is>
          <t>合約終止</t>
        </is>
      </c>
      <c r="K11" t="inlineStr">
        <is>
          <t>數據銷售(Rawdata)</t>
        </is>
      </c>
      <c r="L11" t="inlineStr">
        <is>
          <t>2025-06-01</t>
        </is>
      </c>
      <c r="M11" t="inlineStr">
        <is>
          <t>2025-05-31</t>
        </is>
      </c>
      <c r="N11" t="n">
        <v>157500</v>
      </c>
      <c r="O11" t="n">
        <v>0</v>
      </c>
      <c r="P11" t="inlineStr">
        <is>
          <t>每月</t>
        </is>
      </c>
      <c r="Q11" t="inlineStr">
        <is>
          <t>資料採週交付
來源：合約追蹤 第 11 列</t>
        </is>
      </c>
      <c r="R11" t="inlineStr">
        <is>
          <t>2026-05-18</t>
        </is>
      </c>
    </row>
    <row r="12">
      <c r="A12" t="inlineStr">
        <is>
          <t>con_33c86f9d3851</t>
        </is>
      </c>
      <c r="B12" t="inlineStr"/>
      <c r="C12" t="inlineStr">
        <is>
          <t>廣告代理商</t>
        </is>
      </c>
      <c r="D12" t="inlineStr">
        <is>
          <t>域動行銷</t>
        </is>
      </c>
      <c r="E12" t="inlineStr">
        <is>
          <t>總公司</t>
        </is>
      </c>
      <c r="F12" t="inlineStr"/>
      <c r="G12" t="inlineStr"/>
      <c r="H12" t="inlineStr"/>
      <c r="I12" t="inlineStr">
        <is>
          <t>Line</t>
        </is>
      </c>
      <c r="J12" t="inlineStr">
        <is>
          <t>合約中</t>
        </is>
      </c>
      <c r="K12" t="inlineStr">
        <is>
          <t>數據銷售(Rawdata)</t>
        </is>
      </c>
      <c r="L12" t="inlineStr">
        <is>
          <t>2024-12-01</t>
        </is>
      </c>
      <c r="M12" t="inlineStr">
        <is>
          <t>2025-09-30</t>
        </is>
      </c>
      <c r="N12" t="n">
        <v>160000</v>
      </c>
      <c r="O12" t="n">
        <v>0</v>
      </c>
      <c r="P12" t="inlineStr">
        <is>
          <t>每月</t>
        </is>
      </c>
      <c r="Q12" t="inlineStr">
        <is>
          <t>資料採週交付
來源：合約追蹤 第 12 列</t>
        </is>
      </c>
      <c r="R12" t="inlineStr">
        <is>
          <t>2026-05-18</t>
        </is>
      </c>
    </row>
    <row r="13">
      <c r="A13" t="inlineStr">
        <is>
          <t>con_0f56f92c89c6</t>
        </is>
      </c>
      <c r="B13" t="inlineStr"/>
      <c r="C13" t="inlineStr">
        <is>
          <t>廣告代理商</t>
        </is>
      </c>
      <c r="D13" t="inlineStr">
        <is>
          <t>TenMax 騰學廣告科技</t>
        </is>
      </c>
      <c r="E13" t="inlineStr">
        <is>
          <t>總公司</t>
        </is>
      </c>
      <c r="F13" t="inlineStr">
        <is>
          <t>產品主管</t>
        </is>
      </c>
      <c r="G13" t="inlineStr">
        <is>
          <t>Tom</t>
        </is>
      </c>
      <c r="H13" t="inlineStr"/>
      <c r="I13" t="inlineStr">
        <is>
          <t>Line</t>
        </is>
      </c>
      <c r="J13" t="inlineStr">
        <is>
          <t>合約中</t>
        </is>
      </c>
      <c r="K13" t="inlineStr">
        <is>
          <t>廣告ID銷售</t>
        </is>
      </c>
      <c r="L13" t="inlineStr">
        <is>
          <t>2023-07-01</t>
        </is>
      </c>
      <c r="M13" t="inlineStr"/>
      <c r="N13" t="n">
        <v>0</v>
      </c>
      <c r="O13" t="n">
        <v>0</v>
      </c>
      <c r="P13" t="inlineStr">
        <is>
          <t>每月</t>
        </is>
      </c>
      <c r="Q13" t="inlineStr">
        <is>
          <t>廣告ID銷售
來源：合約追蹤 第 13 列</t>
        </is>
      </c>
      <c r="R13" t="inlineStr">
        <is>
          <t>2026-05-18</t>
        </is>
      </c>
    </row>
    <row r="14">
      <c r="A14" t="inlineStr">
        <is>
          <t>con_68dd9b1fe075</t>
        </is>
      </c>
      <c r="B14" t="inlineStr"/>
      <c r="C14" t="inlineStr">
        <is>
          <t>廣告代理商</t>
        </is>
      </c>
      <c r="D14" t="inlineStr">
        <is>
          <t>Appier</t>
        </is>
      </c>
      <c r="E14" t="inlineStr">
        <is>
          <t>總公司</t>
        </is>
      </c>
      <c r="F14" t="inlineStr">
        <is>
          <t>BD主管</t>
        </is>
      </c>
      <c r="G14" t="inlineStr">
        <is>
          <t>Eddie</t>
        </is>
      </c>
      <c r="H14" t="inlineStr">
        <is>
          <t>eddie.chen@appier.com</t>
        </is>
      </c>
      <c r="I14" t="inlineStr">
        <is>
          <t>Line</t>
        </is>
      </c>
      <c r="J14" t="inlineStr">
        <is>
          <t>合約中</t>
        </is>
      </c>
      <c r="K14" t="inlineStr">
        <is>
          <t>廣告ID銷售</t>
        </is>
      </c>
      <c r="L14" t="inlineStr">
        <is>
          <t>2023-09-01</t>
        </is>
      </c>
      <c r="M14" t="inlineStr"/>
      <c r="N14" t="n">
        <v>0</v>
      </c>
      <c r="O14" t="n">
        <v>0</v>
      </c>
      <c r="P14" t="inlineStr">
        <is>
          <t>每月</t>
        </is>
      </c>
      <c r="Q14" t="inlineStr">
        <is>
          <t>廣告ID銷售
來源：合約追蹤 第 14 列</t>
        </is>
      </c>
      <c r="R14" t="inlineStr">
        <is>
          <t>2026-05-18</t>
        </is>
      </c>
    </row>
    <row r="15">
      <c r="A15" t="inlineStr">
        <is>
          <t>con_98224f5a099e</t>
        </is>
      </c>
      <c r="B15" t="inlineStr"/>
      <c r="C15" t="inlineStr">
        <is>
          <t>品牌公司</t>
        </is>
      </c>
      <c r="D15" t="inlineStr">
        <is>
          <t>富利</t>
        </is>
      </c>
      <c r="E15" t="inlineStr">
        <is>
          <t>總公司</t>
        </is>
      </c>
      <c r="F15" t="inlineStr">
        <is>
          <t>異業合作</t>
        </is>
      </c>
      <c r="G15" t="inlineStr">
        <is>
          <t>Eric</t>
        </is>
      </c>
      <c r="H15" t="inlineStr">
        <is>
          <t>eric.shen@jrgtw.com</t>
        </is>
      </c>
      <c r="I15" t="inlineStr">
        <is>
          <t>Line</t>
        </is>
      </c>
      <c r="J15" t="inlineStr">
        <is>
          <t>合約中</t>
        </is>
      </c>
      <c r="K15" t="inlineStr">
        <is>
          <t>回饋券分潤</t>
        </is>
      </c>
      <c r="L15" t="inlineStr">
        <is>
          <t>2023-09-01</t>
        </is>
      </c>
      <c r="M15" t="inlineStr"/>
      <c r="N15" t="n">
        <v>0</v>
      </c>
      <c r="O15" t="n">
        <v>0</v>
      </c>
      <c r="P15" t="inlineStr">
        <is>
          <t>每月</t>
        </is>
      </c>
      <c r="Q15" t="inlineStr">
        <is>
          <t>線上訂單回饋
來源：合約追蹤 第 15 列</t>
        </is>
      </c>
      <c r="R15" t="inlineStr">
        <is>
          <t>2026-05-18</t>
        </is>
      </c>
    </row>
    <row r="16">
      <c r="A16" t="inlineStr">
        <is>
          <t>con_4746ba33e574</t>
        </is>
      </c>
      <c r="B16" t="inlineStr"/>
      <c r="C16" t="inlineStr">
        <is>
          <t>品牌公司</t>
        </is>
      </c>
      <c r="D16" t="inlineStr">
        <is>
          <t>中租</t>
        </is>
      </c>
      <c r="E16" t="inlineStr">
        <is>
          <t>總公司</t>
        </is>
      </c>
      <c r="F16" t="inlineStr">
        <is>
          <t>數位投放</t>
        </is>
      </c>
      <c r="G16" t="inlineStr">
        <is>
          <t>Tracy</t>
        </is>
      </c>
      <c r="H16" t="inlineStr">
        <is>
          <t>TzuYingChen@chailease.com.tw</t>
        </is>
      </c>
      <c r="I16" t="inlineStr">
        <is>
          <t>Line</t>
        </is>
      </c>
      <c r="J16" t="inlineStr">
        <is>
          <t>合約中</t>
        </is>
      </c>
      <c r="K16" t="inlineStr">
        <is>
          <t>廣告ID銷售</t>
        </is>
      </c>
      <c r="L16" t="inlineStr">
        <is>
          <t>2023-09-01</t>
        </is>
      </c>
      <c r="M16" t="inlineStr"/>
      <c r="N16" t="n">
        <v>0</v>
      </c>
      <c r="O16" t="n">
        <v>0</v>
      </c>
      <c r="P16" t="inlineStr">
        <is>
          <t>每月</t>
        </is>
      </c>
      <c r="Q16" t="inlineStr">
        <is>
          <t>廣告ID+轉名單
來源：合約追蹤 第 16 列</t>
        </is>
      </c>
      <c r="R16" t="inlineStr">
        <is>
          <t>2026-05-18</t>
        </is>
      </c>
    </row>
    <row r="17">
      <c r="A17" t="inlineStr">
        <is>
          <t>con_f6b5c3dc1436</t>
        </is>
      </c>
      <c r="B17" t="inlineStr"/>
      <c r="C17" t="inlineStr">
        <is>
          <t>廣告代理商</t>
        </is>
      </c>
      <c r="D17" t="inlineStr">
        <is>
          <t>電通</t>
        </is>
      </c>
      <c r="E17" t="inlineStr">
        <is>
          <t>總公司</t>
        </is>
      </c>
      <c r="F17" t="inlineStr">
        <is>
          <t>Platform Director</t>
        </is>
      </c>
      <c r="G17" t="inlineStr">
        <is>
          <t>CY</t>
        </is>
      </c>
      <c r="H17" t="inlineStr">
        <is>
          <t>cy.wang@dentsu.com</t>
        </is>
      </c>
      <c r="I17" t="inlineStr">
        <is>
          <t>手機</t>
        </is>
      </c>
      <c r="J17" t="inlineStr">
        <is>
          <t>合約中</t>
        </is>
      </c>
      <c r="K17" t="inlineStr">
        <is>
          <t>廣告ID銷售</t>
        </is>
      </c>
      <c r="L17" t="inlineStr">
        <is>
          <t>2024-01-01</t>
        </is>
      </c>
      <c r="M17" t="inlineStr"/>
      <c r="N17" t="n">
        <v>0</v>
      </c>
      <c r="O17" t="n">
        <v>0</v>
      </c>
      <c r="P17" t="inlineStr">
        <is>
          <t>每月</t>
        </is>
      </c>
      <c r="Q17" t="inlineStr">
        <is>
          <t>來源：合約追蹤 第 17 列</t>
        </is>
      </c>
      <c r="R17" t="inlineStr">
        <is>
          <t>2026-05-18</t>
        </is>
      </c>
    </row>
    <row r="18">
      <c r="A18" t="inlineStr">
        <is>
          <t>con_e033c8720581</t>
        </is>
      </c>
      <c r="B18" t="inlineStr"/>
      <c r="C18" t="inlineStr">
        <is>
          <t>市調公司</t>
        </is>
      </c>
      <c r="D18" t="inlineStr">
        <is>
          <t>益索普</t>
        </is>
      </c>
      <c r="E18" t="inlineStr">
        <is>
          <t>總公司</t>
        </is>
      </c>
      <c r="F18" t="inlineStr">
        <is>
          <t>online Assistant Manager</t>
        </is>
      </c>
      <c r="G18" t="inlineStr">
        <is>
          <t>Jimmy</t>
        </is>
      </c>
      <c r="H18" t="inlineStr">
        <is>
          <t>Jimmy.Chiu@ipsos.com</t>
        </is>
      </c>
      <c r="I18" t="inlineStr">
        <is>
          <t>Email</t>
        </is>
      </c>
      <c r="J18" t="inlineStr">
        <is>
          <t>合約中</t>
        </is>
      </c>
      <c r="K18" t="inlineStr">
        <is>
          <t>廣告ID銷售</t>
        </is>
      </c>
      <c r="L18" t="inlineStr">
        <is>
          <t>2024-01-01</t>
        </is>
      </c>
      <c r="M18" t="inlineStr"/>
      <c r="N18" t="n">
        <v>0</v>
      </c>
      <c r="O18" t="n">
        <v>0</v>
      </c>
      <c r="P18" t="inlineStr">
        <is>
          <t>每月</t>
        </is>
      </c>
      <c r="Q18" t="inlineStr">
        <is>
          <t>來源：合約追蹤 第 18 列</t>
        </is>
      </c>
      <c r="R18" t="inlineStr">
        <is>
          <t>2026-05-18</t>
        </is>
      </c>
    </row>
    <row r="19">
      <c r="A19" t="inlineStr">
        <is>
          <t>con_bae0e9ef60ea</t>
        </is>
      </c>
      <c r="B19" t="inlineStr"/>
      <c r="C19" t="inlineStr">
        <is>
          <t>系統代理商</t>
        </is>
      </c>
      <c r="D19" t="inlineStr">
        <is>
          <t>12CM</t>
        </is>
      </c>
      <c r="E19" t="inlineStr">
        <is>
          <t>總公司</t>
        </is>
      </c>
      <c r="F19" t="inlineStr">
        <is>
          <t>GM</t>
        </is>
      </c>
      <c r="G19" t="inlineStr">
        <is>
          <t>Paul</t>
        </is>
      </c>
      <c r="H19" t="inlineStr">
        <is>
          <t>paulchen@12cm.com.tw</t>
        </is>
      </c>
      <c r="I19" t="inlineStr">
        <is>
          <t>Line</t>
        </is>
      </c>
      <c r="J19" t="inlineStr">
        <is>
          <t>合約中</t>
        </is>
      </c>
      <c r="K19" t="inlineStr">
        <is>
          <t>廣告ID銷售</t>
        </is>
      </c>
      <c r="L19" t="inlineStr">
        <is>
          <t>2023-12-01</t>
        </is>
      </c>
      <c r="M19" t="inlineStr"/>
      <c r="N19" t="n">
        <v>0</v>
      </c>
      <c r="O19" t="n">
        <v>0</v>
      </c>
      <c r="P19" t="inlineStr">
        <is>
          <t>每月</t>
        </is>
      </c>
      <c r="Q19" t="inlineStr">
        <is>
          <t>api串接
來源：合約追蹤 第 19 列</t>
        </is>
      </c>
      <c r="R19" t="inlineStr">
        <is>
          <t>2026-05-18</t>
        </is>
      </c>
    </row>
    <row r="20">
      <c r="A20" t="inlineStr">
        <is>
          <t>con_f52aa567eee9</t>
        </is>
      </c>
      <c r="B20" t="inlineStr"/>
      <c r="C20" t="inlineStr">
        <is>
          <t>廣告代理商</t>
        </is>
      </c>
      <c r="D20" t="inlineStr">
        <is>
          <t>OneAD</t>
        </is>
      </c>
      <c r="E20" t="inlineStr">
        <is>
          <t>總公司</t>
        </is>
      </c>
      <c r="F20" t="inlineStr">
        <is>
          <t>Sr. PM</t>
        </is>
      </c>
      <c r="G20" t="inlineStr">
        <is>
          <t>Lucy</t>
        </is>
      </c>
      <c r="H20" t="inlineStr">
        <is>
          <t>lucychou@onead.com.tw</t>
        </is>
      </c>
      <c r="I20" t="inlineStr">
        <is>
          <t>Line</t>
        </is>
      </c>
      <c r="J20" t="inlineStr">
        <is>
          <t>合約中</t>
        </is>
      </c>
      <c r="K20" t="inlineStr">
        <is>
          <t>廣告ID銷售</t>
        </is>
      </c>
      <c r="L20" t="inlineStr">
        <is>
          <t>2025-08-01</t>
        </is>
      </c>
      <c r="M20" t="inlineStr">
        <is>
          <t>2026-07-01</t>
        </is>
      </c>
      <c r="N20" t="n">
        <v>0</v>
      </c>
      <c r="O20" t="n">
        <v>2467500</v>
      </c>
      <c r="P20" t="inlineStr">
        <is>
          <t>每月</t>
        </is>
      </c>
      <c r="Q20" t="inlineStr">
        <is>
          <t>記帳廣告ID 1.5元
來源：合約追蹤 第 20 列</t>
        </is>
      </c>
      <c r="R20" t="inlineStr">
        <is>
          <t>2026-05-18</t>
        </is>
      </c>
    </row>
    <row r="21">
      <c r="A21" t="inlineStr">
        <is>
          <t>con_c6538055f7a6</t>
        </is>
      </c>
      <c r="B21" t="inlineStr"/>
      <c r="C21" t="inlineStr">
        <is>
          <t>廣告代理商</t>
        </is>
      </c>
      <c r="D21" t="inlineStr">
        <is>
          <t>Leadup</t>
        </is>
      </c>
      <c r="E21" t="inlineStr">
        <is>
          <t>總公司</t>
        </is>
      </c>
      <c r="F21" t="inlineStr">
        <is>
          <t>COO</t>
        </is>
      </c>
      <c r="G21" t="inlineStr">
        <is>
          <t>Daphne</t>
        </is>
      </c>
      <c r="H21" t="inlineStr">
        <is>
          <t>daphnek@leapup.com.tw</t>
        </is>
      </c>
      <c r="I21" t="inlineStr">
        <is>
          <t>Line</t>
        </is>
      </c>
      <c r="J21" t="inlineStr">
        <is>
          <t>合約中</t>
        </is>
      </c>
      <c r="K21" t="inlineStr">
        <is>
          <t>廣告ID銷售</t>
        </is>
      </c>
      <c r="L21" t="inlineStr">
        <is>
          <t>2024-07-01</t>
        </is>
      </c>
      <c r="M21" t="inlineStr"/>
      <c r="N21" t="n">
        <v>0</v>
      </c>
      <c r="O21" t="n">
        <v>0</v>
      </c>
      <c r="P21" t="inlineStr">
        <is>
          <t>每月</t>
        </is>
      </c>
      <c r="Q21" t="inlineStr">
        <is>
          <t>同TenMax
來源：合約追蹤 第 21 列</t>
        </is>
      </c>
      <c r="R21" t="inlineStr">
        <is>
          <t>2026-05-18</t>
        </is>
      </c>
    </row>
    <row r="22">
      <c r="A22" t="inlineStr">
        <is>
          <t>con_f38ec0f92e21</t>
        </is>
      </c>
      <c r="B22" t="inlineStr"/>
      <c r="C22" t="inlineStr">
        <is>
          <t>廣告代理商</t>
        </is>
      </c>
      <c r="D22" t="inlineStr">
        <is>
          <t>永恆跳動</t>
        </is>
      </c>
      <c r="E22" t="inlineStr">
        <is>
          <t>總公司</t>
        </is>
      </c>
      <c r="F22" t="inlineStr">
        <is>
          <t>GM</t>
        </is>
      </c>
      <c r="G22" t="inlineStr">
        <is>
          <t>Ken</t>
        </is>
      </c>
      <c r="H22" t="inlineStr"/>
      <c r="I22" t="inlineStr">
        <is>
          <t>Line</t>
        </is>
      </c>
      <c r="J22" t="inlineStr">
        <is>
          <t>合約中</t>
        </is>
      </c>
      <c r="K22" t="inlineStr">
        <is>
          <t>廣告ID銷售</t>
        </is>
      </c>
      <c r="L22" t="inlineStr">
        <is>
          <t>2025-01-01</t>
        </is>
      </c>
      <c r="M22" t="inlineStr">
        <is>
          <t>2025-12-31</t>
        </is>
      </c>
      <c r="N22" t="n">
        <v>0</v>
      </c>
      <c r="O22" t="n">
        <v>0</v>
      </c>
      <c r="P22" t="inlineStr">
        <is>
          <t>每月</t>
        </is>
      </c>
      <c r="Q22" t="inlineStr">
        <is>
          <t>代理商銷售分潤
來源：合約追蹤 第 22 列</t>
        </is>
      </c>
      <c r="R22" t="inlineStr">
        <is>
          <t>2026-05-18</t>
        </is>
      </c>
    </row>
    <row r="23">
      <c r="A23" t="inlineStr">
        <is>
          <t>con_cd1a2818cc70</t>
        </is>
      </c>
      <c r="B23" t="inlineStr"/>
      <c r="C23" t="inlineStr">
        <is>
          <t>數據公司</t>
        </is>
      </c>
      <c r="D23" t="inlineStr">
        <is>
          <t>Amiko</t>
        </is>
      </c>
      <c r="E23" t="inlineStr">
        <is>
          <t>總公司</t>
        </is>
      </c>
      <c r="F23" t="inlineStr">
        <is>
          <t>Founder</t>
        </is>
      </c>
      <c r="G23" t="inlineStr">
        <is>
          <t>Allen</t>
        </is>
      </c>
      <c r="H23" t="inlineStr">
        <is>
          <t>allen@amiko.net</t>
        </is>
      </c>
      <c r="I23" t="inlineStr">
        <is>
          <t>Line</t>
        </is>
      </c>
      <c r="J23" t="inlineStr">
        <is>
          <t>合約終止</t>
        </is>
      </c>
      <c r="K23" t="inlineStr">
        <is>
          <t>數據銷售(Rawdata)</t>
        </is>
      </c>
      <c r="L23" t="inlineStr">
        <is>
          <t>2025-01-01</t>
        </is>
      </c>
      <c r="M23" t="inlineStr">
        <is>
          <t>2030-02-28</t>
        </is>
      </c>
      <c r="N23" t="n">
        <v>168000</v>
      </c>
      <c r="O23" t="n">
        <v>0</v>
      </c>
      <c r="P23" t="inlineStr">
        <is>
          <t>每月</t>
        </is>
      </c>
      <c r="Q23" t="inlineStr">
        <is>
          <t>月付/45天.最後兩個月為贈送
來源：合約追蹤 第 23 列</t>
        </is>
      </c>
      <c r="R23" t="inlineStr">
        <is>
          <t>2026-05-18</t>
        </is>
      </c>
    </row>
    <row r="24">
      <c r="A24" t="inlineStr">
        <is>
          <t>con_aea3ac8e673e</t>
        </is>
      </c>
      <c r="B24" t="inlineStr"/>
      <c r="C24" t="inlineStr">
        <is>
          <t>廣告代理商</t>
        </is>
      </c>
      <c r="D24" t="inlineStr">
        <is>
          <t>關鍵評論</t>
        </is>
      </c>
      <c r="E24" t="inlineStr">
        <is>
          <t>總公司</t>
        </is>
      </c>
      <c r="F24" t="inlineStr">
        <is>
          <t>BD主管</t>
        </is>
      </c>
      <c r="G24" t="inlineStr">
        <is>
          <t>Kai</t>
        </is>
      </c>
      <c r="H24" t="inlineStr">
        <is>
          <t>kai.chang@thenewslens.com</t>
        </is>
      </c>
      <c r="I24" t="inlineStr">
        <is>
          <t>Line</t>
        </is>
      </c>
      <c r="J24" t="inlineStr">
        <is>
          <t>合約中</t>
        </is>
      </c>
      <c r="K24" t="inlineStr">
        <is>
          <t>數據銷售(Rawdata)</t>
        </is>
      </c>
      <c r="L24" t="inlineStr">
        <is>
          <t>2025-08-01</t>
        </is>
      </c>
      <c r="M24" t="inlineStr">
        <is>
          <t>2025-07-01</t>
        </is>
      </c>
      <c r="N24" t="n">
        <v>140000</v>
      </c>
      <c r="O24" t="n">
        <v>0</v>
      </c>
      <c r="P24" t="inlineStr">
        <is>
          <t>每月</t>
        </is>
      </c>
      <c r="Q24" t="inlineStr">
        <is>
          <t>來源：合約追蹤 第 24 列</t>
        </is>
      </c>
      <c r="R24" t="inlineStr">
        <is>
          <t>2026-05-18</t>
        </is>
      </c>
    </row>
  </sheetData>
  <autoFilter ref="A1:R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</cols>
  <sheetData>
    <row r="1">
      <c r="A1" s="1" t="inlineStr">
        <is>
          <t>key</t>
        </is>
      </c>
      <c r="B1" s="1" t="inlineStr">
        <is>
          <t>values</t>
        </is>
      </c>
      <c r="C1" s="1" t="inlineStr">
        <is>
          <t>updatedAt</t>
        </is>
      </c>
    </row>
    <row r="2">
      <c r="A2" t="inlineStr">
        <is>
          <t>paymentTerms</t>
        </is>
      </c>
      <c r="B2" t="inlineStr">
        <is>
          <t>現結
月結 30 天
月結 45 天
月結 60 天</t>
        </is>
      </c>
      <c r="C2" t="inlineStr">
        <is>
          <t>2026-05-18</t>
        </is>
      </c>
    </row>
    <row r="3">
      <c r="A3" t="inlineStr">
        <is>
          <t>bd</t>
        </is>
      </c>
      <c r="B3" t="inlineStr">
        <is>
          <t>Erin
Kate
Peggy
Stanley
Cobi</t>
        </is>
      </c>
      <c r="C3" t="inlineStr">
        <is>
          <t>2026-05-18</t>
        </is>
      </c>
    </row>
    <row r="4">
      <c r="A4" t="inlineStr">
        <is>
          <t>salesType</t>
        </is>
      </c>
      <c r="B4" t="inlineStr">
        <is>
          <t>廣告受眾包
簡訊/推播
問券調查
單次報告
單次發票數據
專案
APP廣告曝光
廣告平台訂閱</t>
        </is>
      </c>
      <c r="C4" t="inlineStr">
        <is>
          <t>2026-05-18</t>
        </is>
      </c>
    </row>
    <row r="5">
      <c r="A5" t="inlineStr">
        <is>
          <t>industry</t>
        </is>
      </c>
      <c r="B5" t="inlineStr">
        <is>
          <t>快消品
零售產業
菸酒產業
醫療保健
休閒娛樂
電子商務
教育產業
APP、遊戲
公部門
電信通訊
其他
財務金融
美妝產業
家電產業
科技產業
汽車產業
房地產</t>
        </is>
      </c>
      <c r="C5" t="inlineStr">
        <is>
          <t>2026-05-18</t>
        </is>
      </c>
    </row>
    <row r="6">
      <c r="A6" t="inlineStr">
        <is>
          <t>invoiceStatus</t>
        </is>
      </c>
      <c r="B6" t="inlineStr">
        <is>
          <t>未收款
部分入款
已收款
作廢</t>
        </is>
      </c>
      <c r="C6" t="inlineStr">
        <is>
          <t>2026-05-18</t>
        </is>
      </c>
    </row>
    <row r="7">
      <c r="A7" t="inlineStr">
        <is>
          <t>paymentMethod</t>
        </is>
      </c>
      <c r="B7" t="inlineStr">
        <is>
          <t>匯款
支票
現金
信用卡</t>
        </is>
      </c>
      <c r="C7" t="inlineStr">
        <is>
          <t>2026-05-18</t>
        </is>
      </c>
    </row>
    <row r="8">
      <c r="A8" t="inlineStr">
        <is>
          <t>customerStatus</t>
        </is>
      </c>
      <c r="B8" t="inlineStr">
        <is>
          <t>合約終止
合約中</t>
        </is>
      </c>
      <c r="C8" t="inlineStr">
        <is>
          <t>2026-05-18</t>
        </is>
      </c>
    </row>
    <row r="9">
      <c r="A9" t="inlineStr">
        <is>
          <t>billingMode</t>
        </is>
      </c>
      <c r="B9" t="inlineStr">
        <is>
          <t>每月
雙月
每季</t>
        </is>
      </c>
      <c r="C9" t="inlineStr">
        <is>
          <t>2026-05-18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2026-05-18T02:46:44Z</dcterms:created>
  <dcterms:modified xmlns:dcterms="http://purl.org/dc/terms/" xmlns:xsi="http://www.w3.org/2001/XMLSchema-instance" xsi:type="dcterms:W3CDTF">2026-05-18T02:46:44Z</dcterms:modified>
</cp:coreProperties>
</file>